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robertoalmanza/Pagina/pensamiento-caribe/"/>
    </mc:Choice>
  </mc:AlternateContent>
  <xr:revisionPtr revIDLastSave="0" documentId="8_{8EC9059C-2A98-B640-96BA-109EA9686325}" xr6:coauthVersionLast="47" xr6:coauthVersionMax="47" xr10:uidLastSave="{00000000-0000-0000-0000-000000000000}"/>
  <bookViews>
    <workbookView xWindow="0" yWindow="760" windowWidth="29400" windowHeight="17340" activeTab="3" xr2:uid="{00000000-000D-0000-FFFF-FFFF00000000}"/>
  </bookViews>
  <sheets>
    <sheet name="Control T01-P1" sheetId="1" r:id="rId1"/>
    <sheet name="Protocolo" sheetId="2" r:id="rId2"/>
    <sheet name="Dictamen entradas" sheetId="3" r:id="rId3"/>
    <sheet name="Fuen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2" i="3" l="1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B13" i="1"/>
  <c r="B12" i="1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<sst xmlns="http://schemas.openxmlformats.org/spreadsheetml/2006/main" count="359" uniqueCount="219">
  <si>
    <t>Atlas 2.0 · T01-P1 · control del piloto técnico</t>
  </si>
  <si>
    <t>Dieciocho entradas y dieciocho valores distintos de tr. Este cuaderno calibra el método; no modifica el corpus público ni el plan maestro.</t>
  </si>
  <si>
    <t>Indicador</t>
  </si>
  <si>
    <t>Valor</t>
  </si>
  <si>
    <t>Puertas de cierre del piloto</t>
  </si>
  <si>
    <t>Entradas seleccionadas</t>
  </si>
  <si>
    <t>1. Los dieciocho valores de tr permanecen literales y visibles.</t>
  </si>
  <si>
    <t>Valores distintos de tr</t>
  </si>
  <si>
    <t>2. Las detecciones mecánicas orientan; nunca se copian como dictamen final.</t>
  </si>
  <si>
    <t>Casos simples</t>
  </si>
  <si>
    <t>3. Toda lengua final identifica la edición o versión efectivamente catalogada.</t>
  </si>
  <si>
    <t>Trayectorias o lenguas múltiples</t>
  </si>
  <si>
    <t>4. Toda orilla declara función: producción, edición, circulación o archivo.</t>
  </si>
  <si>
    <t>Casos comparados</t>
  </si>
  <si>
    <t>5. Territorio estudiado y alcance comparativo se prueban con la obra o una fuente fiable.</t>
  </si>
  <si>
    <t>Revisiones pendientes</t>
  </si>
  <si>
    <t>6. “Revisada” exige fuente, fundamento, responsable y fecha.</t>
  </si>
  <si>
    <t>Fuentes registradas</t>
  </si>
  <si>
    <t>7. QA=pasa y aprobación=aprobada preceden a listo=SI.</t>
  </si>
  <si>
    <t>Listas para generar</t>
  </si>
  <si>
    <t>Errores de QA</t>
  </si>
  <si>
    <t>Decisión operativa: el resultado aprobado de T01-P1 servirá para ajustar el protocolo antes de abrir otros grupos. No autoriza una normalización masiva.</t>
  </si>
  <si>
    <t>T01-P1 · protocolo de revisión humana</t>
  </si>
  <si>
    <t>Secuencia mínima para desagregar tr sin convertir procedencias, territorios, métodos o escalas en atributos lingüísticos.</t>
  </si>
  <si>
    <t>Paso</t>
  </si>
  <si>
    <t>Pregunta</t>
  </si>
  <si>
    <t>Acción</t>
  </si>
  <si>
    <t>Evidencia mínima</t>
  </si>
  <si>
    <t>Prohibición</t>
  </si>
  <si>
    <t>Resultado</t>
  </si>
  <si>
    <t>¿Qué edición o versión está catalogada?</t>
  </si>
  <si>
    <t>Identificar idioma del objeto bibliográfico concreto.</t>
  </si>
  <si>
    <t>Portada, ficha editorial, catálogo bibliográfico o texto completo.</t>
  </si>
  <si>
    <t>Inferir idioma por nacionalidad del autor o por el territorio.</t>
  </si>
  <si>
    <t>lengua_publicacion</t>
  </si>
  <si>
    <t>¿Dónde se produjo, editó, circuló o archivó?</t>
  </si>
  <si>
    <t>Registrar cada orilla con una función explícita.</t>
  </si>
  <si>
    <t>Créditos editoriales, archivo, itinerario documentado o historia editorial.</t>
  </si>
  <si>
    <t>Copiar todos los topónimos del paréntesis como orillas.</t>
  </si>
  <si>
    <t>orilla_produccion</t>
  </si>
  <si>
    <t>¿Qué lugar o conjunto de lugares estudia la obra?</t>
  </si>
  <si>
    <t>Registrar únicamente territorios efectivamente analizados.</t>
  </si>
  <si>
    <t>Índice, introducción, resumen académico fiable o lectura del texto.</t>
  </si>
  <si>
    <t>Derivar territorio por el origen del autor o la editorial.</t>
  </si>
  <si>
    <t>territorio_estudiado</t>
  </si>
  <si>
    <t>¿La comparación es escala, método, corpus o trayectoria?</t>
  </si>
  <si>
    <t>Nombrar el alcance con precisión y conservar la ambigüedad si persiste.</t>
  </si>
  <si>
    <t>Planteamiento metodológico, introducción o descripción editorial.</t>
  </si>
  <si>
    <t>Usar “comparado” como sustituto de lengua o geografía.</t>
  </si>
  <si>
    <t>alcance_comparativo</t>
  </si>
  <si>
    <t>¿La decisión puede auditarse?</t>
  </si>
  <si>
    <t>Registrar referencia, página o localización y fundamento breve.</t>
  </si>
  <si>
    <t>Fuente identificable y vínculo entre evidencia y decisión.</t>
  </si>
  <si>
    <t>Aprobar por título, intuición o similitud con otra entrada.</t>
  </si>
  <si>
    <t>fundamento_o_fuente</t>
  </si>
  <si>
    <t>¿Pasa las puertas de cierre?</t>
  </si>
  <si>
    <t>Completar responsable, fecha, QA y aprobación académica.</t>
  </si>
  <si>
    <t>Campos completos y coherentes; sin contradicción con tr original.</t>
  </si>
  <si>
    <t>Marcar listo antes de QA y aprobación.</t>
  </si>
  <si>
    <t>listo_para_generar</t>
  </si>
  <si>
    <t>T01-P1 · dictamen de dieciocho entradas</t>
  </si>
  <si>
    <t>Campos H–J son ayudas mecánicas y editoriales. Las decisiones humanas se escriben en K–T; U se calcula automáticamente.</t>
  </si>
  <si>
    <t>Orden</t>
  </si>
  <si>
    <t>id</t>
  </si>
  <si>
    <t>Título</t>
  </si>
  <si>
    <t>Autoría</t>
  </si>
  <si>
    <t>Lote intelectual</t>
  </si>
  <si>
    <t>tr original</t>
  </si>
  <si>
    <t>Familia de caso</t>
  </si>
  <si>
    <t>Lengua detectada · propuesta</t>
  </si>
  <si>
    <t>Fragmento parentético</t>
  </si>
  <si>
    <t>Riesgo / pregunta de revisión</t>
  </si>
  <si>
    <t>estado_revision</t>
  </si>
  <si>
    <t>responsable</t>
  </si>
  <si>
    <t>fecha_revision</t>
  </si>
  <si>
    <t>QA técnico</t>
  </si>
  <si>
    <t>aprobación académica</t>
  </si>
  <si>
    <t>observaciones</t>
  </si>
  <si>
    <t>mintz</t>
  </si>
  <si>
    <t>Caribbean Transformations / Sweetness and Power</t>
  </si>
  <si>
    <t>Sidney W. Mintz</t>
  </si>
  <si>
    <t>P00</t>
  </si>
  <si>
    <t>anglófono (EE.UU.)</t>
  </si>
  <si>
    <t>Caso simple</t>
  </si>
  <si>
    <t>inglés</t>
  </si>
  <si>
    <t>EE.UU.</t>
  </si>
  <si>
    <t>Una lengua declarada y un topónimo; obliga a no confundir sede, edición y orilla. abreviaturas por normalizar; función territorial no demostrada</t>
  </si>
  <si>
    <t>pendiente_revision</t>
  </si>
  <si>
    <t>pendiente</t>
  </si>
  <si>
    <t>trouillot</t>
  </si>
  <si>
    <t>The Caribbean Region: An Open Frontier</t>
  </si>
  <si>
    <t>Michel-Rolph Trouillot</t>
  </si>
  <si>
    <t>C04</t>
  </si>
  <si>
    <t>francófono (Haití)</t>
  </si>
  <si>
    <t>francés</t>
  </si>
  <si>
    <t>Haití</t>
  </si>
  <si>
    <t>La lengua declarada no demuestra por sí sola la lengua de la edición catalogada. función territorial no demostrada</t>
  </si>
  <si>
    <t>totumo</t>
  </si>
  <si>
    <t>Los acuerdos y la idealización del palenque en la provincia de Cartagena: el caso del Totumo (1714-1767)</t>
  </si>
  <si>
    <t>Dolcey Romero Jaramillo</t>
  </si>
  <si>
    <t>hispano (Colombia)</t>
  </si>
  <si>
    <t>español</t>
  </si>
  <si>
    <t>Colombia</t>
  </si>
  <si>
    <t>Permite distinguir lengua de publicación, territorio estudiado y lugar del autor. función territorial no demostrada</t>
  </si>
  <si>
    <t>glissant</t>
  </si>
  <si>
    <t>Poétique de la Relation / Le discours antillais</t>
  </si>
  <si>
    <t>Édouard Glissant</t>
  </si>
  <si>
    <t>S01</t>
  </si>
  <si>
    <t>francófono (Martinica)</t>
  </si>
  <si>
    <t>Martinica</t>
  </si>
  <si>
    <t>Ensaya una obra compuesta con dos títulos y una adscripción territorial. función territorial no demostrada</t>
  </si>
  <si>
    <t>brathwaite</t>
  </si>
  <si>
    <t>Nation Language / Tidalectics</t>
  </si>
  <si>
    <t>Kamau Brathwaite</t>
  </si>
  <si>
    <t>anglófono (Barbados)</t>
  </si>
  <si>
    <t>Barbados</t>
  </si>
  <si>
    <t>Permite separar lengua-nación como concepto de lengua editorial. función territorial no demostrada</t>
  </si>
  <si>
    <t>allen_dikimanera</t>
  </si>
  <si>
    <t>Di ki manera? A Social History of Afro-Curaçaoans, 1863-1917</t>
  </si>
  <si>
    <t>Rose Mary Allen</t>
  </si>
  <si>
    <t>B03</t>
  </si>
  <si>
    <t>neerlandófono (Curazao)</t>
  </si>
  <si>
    <t>neerlandés</t>
  </si>
  <si>
    <t>Curazao</t>
  </si>
  <si>
    <t>Prueba la normalización neerlandófono/neerlandés sin borrar Curazao. función territorial no demostrada</t>
  </si>
  <si>
    <t>price</t>
  </si>
  <si>
    <t>Maroon Societies</t>
  </si>
  <si>
    <t>Richard Price (ed.)</t>
  </si>
  <si>
    <t>anglófono (EE.UU./Surinam)</t>
  </si>
  <si>
    <t>Trayectoria o lengua múltiple</t>
  </si>
  <si>
    <t>EE.UU./Surinam</t>
  </si>
  <si>
    <t>Dos topónimos con función indeterminada; requiere fuente antes de asignar orillas. varias procedencias o territorios; abreviaturas por normalizar; función territorial no demostrada</t>
  </si>
  <si>
    <t>bonilla</t>
  </si>
  <si>
    <t>Non-Sovereign Futures</t>
  </si>
  <si>
    <t>Yarimar Bonilla</t>
  </si>
  <si>
    <t>C02</t>
  </si>
  <si>
    <t>francófono/anglófono (Guadalupe–PR)</t>
  </si>
  <si>
    <t>inglés | francés</t>
  </si>
  <si>
    <t>Guadalupe–PR</t>
  </si>
  <si>
    <t>Dos lenguas y dos territorios abreviados; ninguna correspondencia es automática. múltiples lenguas; abreviaturas por normalizar; función territorial no demostrada</t>
  </si>
  <si>
    <t>olwigstjohn</t>
  </si>
  <si>
    <t>Cultural Adaptation and Resistance on St. John</t>
  </si>
  <si>
    <t>Karen Fog Olwig</t>
  </si>
  <si>
    <t>B02</t>
  </si>
  <si>
    <t>anglófono (hoy EE.UU., antes colonia danesa)</t>
  </si>
  <si>
    <t>inglés | danés</t>
  </si>
  <si>
    <t>hoy EE.UU., antes colonia danesa</t>
  </si>
  <si>
    <t>Combina presente político e historia colonial en un mismo paréntesis. múltiples lenguas; mezcla temporalidad colonial; abreviaturas por normalizar; función territorial no demostrada</t>
  </si>
  <si>
    <t>mamalola</t>
  </si>
  <si>
    <t>Mama Lola: A Vodou Priestess in Brooklyn</t>
  </si>
  <si>
    <t>Karen McCarthy Brown</t>
  </si>
  <si>
    <t>B05</t>
  </si>
  <si>
    <t>anglófono (EE.UU., diáspora en Brooklyn)</t>
  </si>
  <si>
    <t>EE.UU., diáspora en Brooklyn</t>
  </si>
  <si>
    <t>La diáspora aparece explícita, pero debe separarse del territorio estudiado. mezcla trayectoria diaspórica; abreviaturas por normalizar; función territorial no demostrada</t>
  </si>
  <si>
    <t>klein_battleparadise</t>
  </si>
  <si>
    <t>The Battle for Paradise: Puerto Rico Takes on the Disaster Capitalists</t>
  </si>
  <si>
    <t>Naomi Klein</t>
  </si>
  <si>
    <t>A02</t>
  </si>
  <si>
    <t>anglófono (Canadá) / hispanófono (Puerto Rico)</t>
  </si>
  <si>
    <t>inglés | español</t>
  </si>
  <si>
    <t>Canadá | Puerto Rico</t>
  </si>
  <si>
    <t>Distingue procedencia autoral, lengua editorial y territorio del caso. múltiples lenguas; función territorial no demostrada</t>
  </si>
  <si>
    <t>zips_nannysasafo</t>
  </si>
  <si>
    <t>Nanny's Asafo Warriors: The Jamaican Maroons' African Experience</t>
  </si>
  <si>
    <t>Werner Zips</t>
  </si>
  <si>
    <t>anglófono (Jamaica) / alemán (Austria)</t>
  </si>
  <si>
    <t>inglés | otro: alemán</t>
  </si>
  <si>
    <t>Jamaica | Austria</t>
  </si>
  <si>
    <t>Dos lenguas y dos lugares exigen identificar edición concreta. múltiples lenguas; función territorial no demostrada</t>
  </si>
  <si>
    <t>monahan</t>
  </si>
  <si>
    <t>Creolizing Practices of Freedom: Recognition and Dissonance / The Creolizing Subject: Race, Reason, and the Politics of Purity</t>
  </si>
  <si>
    <t>Michael Monahan</t>
  </si>
  <si>
    <t>comparado (filosofía afrocaribe)</t>
  </si>
  <si>
    <t>Comparado</t>
  </si>
  <si>
    <t>filosofía afrocaribe</t>
  </si>
  <si>
    <t>El paréntesis nombra un campo filosófico, no una lengua ni una geografía. sin lengua explícita; mezcla escala comparativa; mezcla tema, método o escala; función territorial no demostrada</t>
  </si>
  <si>
    <t>araujo</t>
  </si>
  <si>
    <t>Reparations for Slavery and the Slave Trade: A Transnational and Comparative History</t>
  </si>
  <si>
    <t>Ana Lucia Araujo</t>
  </si>
  <si>
    <t>A03</t>
  </si>
  <si>
    <t>comparado (transnacional)</t>
  </si>
  <si>
    <t>transnacional</t>
  </si>
  <si>
    <t>Transnacional expresa escala; la lengua debe verificarse por separado. sin lengua explícita; mezcla escala comparativa; mezcla tema, método o escala; función territorial no demostrada</t>
  </si>
  <si>
    <t>kingisland</t>
  </si>
  <si>
    <t>Island Bodies: Transgressive Sexualities in the Caribbean Imagination</t>
  </si>
  <si>
    <t>Rosamond S. King</t>
  </si>
  <si>
    <t>B01</t>
  </si>
  <si>
    <t>comparado (anglófono/francófono/hispano/neerlandés)</t>
  </si>
  <si>
    <t>inglés | francés | español | neerlandés</t>
  </si>
  <si>
    <t>anglófono/francófono/hispano/neerlandés</t>
  </si>
  <si>
    <t>Cuatro tradiciones lingüísticas del corpus estudiado no equivalen a lengua de publicación. múltiples lenguas; mezcla escala comparativa; varias procedencias o territorios; función territorial no demostrada</t>
  </si>
  <si>
    <t>quinnblackpower</t>
  </si>
  <si>
    <t>Black Power in the Caribbean</t>
  </si>
  <si>
    <t>Kate Quinn (ed.)</t>
  </si>
  <si>
    <t>comparado (anglófono Caribe)</t>
  </si>
  <si>
    <t>anglófono Caribe</t>
  </si>
  <si>
    <t>Anglófono Caribe puede describir alcance del volumen y no edición o autoría. mezcla escala comparativa; función territorial no demostrada</t>
  </si>
  <si>
    <t>archipelagicthinking</t>
  </si>
  <si>
    <t>Contemporary Archipelagic Thinking: Towards New Comparative Methodologies and Disciplinary Formations</t>
  </si>
  <si>
    <t>Michelle Stephens y Yolanda Martínez-San Miguel (eds.)</t>
  </si>
  <si>
    <t>C03</t>
  </si>
  <si>
    <t>comparado (métodos comparados)</t>
  </si>
  <si>
    <t>métodos comparados</t>
  </si>
  <si>
    <t>Métodos comparados es una orientación metodológica, no un dato lingüístico. sin lengua explícita; mezcla escala comparativa; mezcla tema, método o escala; función territorial no demostrada</t>
  </si>
  <si>
    <t>fischer</t>
  </si>
  <si>
    <t>Modernity Disavowed: Haiti and the Cultures of Slavery in the Age of Revolution</t>
  </si>
  <si>
    <t>Sibylle Fischer</t>
  </si>
  <si>
    <t>comparado</t>
  </si>
  <si>
    <t>Comparado sin especificación impide derivar lengua, orilla o territorio. sin lengua explícita; mezcla escala comparativa</t>
  </si>
  <si>
    <t>T01-P1 · registro de fuentes</t>
  </si>
  <si>
    <t>Una fila por entrada para el primer fundamento. Añadir filas cuando una decisión requiera más de una fuente.</t>
  </si>
  <si>
    <t>Título abreviado</t>
  </si>
  <si>
    <t>Fuente / referencia / URL</t>
  </si>
  <si>
    <t>Tipo</t>
  </si>
  <si>
    <t>Qué sustenta</t>
  </si>
  <si>
    <t>Página o localización</t>
  </si>
  <si>
    <t>Estado</t>
  </si>
  <si>
    <t>Nota de verificación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</si>
</sst>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b/>
      <sz val="18"/>
      <color rgb="FFFFFFFF"/>
      <name val="Carlito"/>
    </font>
    <font>
      <i/>
      <sz val="10"/>
      <color rgb="FF1F2A27"/>
      <name val="Carlito"/>
    </font>
    <font>
      <b/>
      <sz val="10"/>
      <color rgb="FFFFFFFF"/>
      <name val="Carlito"/>
    </font>
    <font>
      <sz val="9"/>
      <color rgb="FF1F2A27"/>
      <name val="Carlito"/>
    </font>
    <font>
      <b/>
      <sz val="10"/>
      <color rgb="FF1F2A27"/>
      <name val="Carlito"/>
    </font>
  </fonts>
  <fills count="8">
    <fill>
      <patternFill patternType="none"/>
    </fill>
    <fill>
      <patternFill patternType="gray125"/>
    </fill>
    <fill>
      <patternFill patternType="solid">
        <fgColor rgb="FF2E5147"/>
      </patternFill>
    </fill>
    <fill>
      <patternFill patternType="solid">
        <fgColor rgb="FFF7F1E5"/>
      </patternFill>
    </fill>
    <fill>
      <patternFill patternType="solid">
        <fgColor rgb="FFF5EBCF"/>
      </patternFill>
    </fill>
    <fill>
      <patternFill patternType="solid">
        <fgColor rgb="FFF7DDD7"/>
      </patternFill>
    </fill>
    <fill>
      <patternFill patternType="solid">
        <fgColor rgb="FFE8F1F4"/>
      </patternFill>
    </fill>
    <fill>
      <patternFill patternType="solid">
        <fgColor rgb="FFE6EFEA"/>
      </patternFill>
    </fill>
  </fills>
  <borders count="14">
    <border>
      <left/>
      <right/>
      <top/>
      <bottom/>
      <diagonal/>
    </border>
    <border>
      <left style="thin">
        <color rgb="FF2E5147"/>
      </left>
      <right/>
      <top style="thin">
        <color rgb="FF2E5147"/>
      </top>
      <bottom style="thin">
        <color rgb="FF2E5147"/>
      </bottom>
      <diagonal/>
    </border>
    <border>
      <left/>
      <right style="thin">
        <color rgb="FF2E5147"/>
      </right>
      <top style="thin">
        <color rgb="FF2E5147"/>
      </top>
      <bottom style="thin">
        <color rgb="FF2E5147"/>
      </bottom>
      <diagonal/>
    </border>
    <border>
      <left/>
      <right/>
      <top/>
      <bottom style="thin">
        <color rgb="FFD7DEDA"/>
      </bottom>
      <diagonal/>
    </border>
    <border>
      <left/>
      <right/>
      <top style="thin">
        <color rgb="FFD7DEDA"/>
      </top>
      <bottom style="thin">
        <color rgb="FFD7DEDA"/>
      </bottom>
      <diagonal/>
    </border>
    <border>
      <left/>
      <right/>
      <top style="thin">
        <color rgb="FFD7DEDA"/>
      </top>
      <bottom/>
      <diagonal/>
    </border>
    <border>
      <left style="thin">
        <color rgb="FF2E5147"/>
      </left>
      <right/>
      <top/>
      <bottom style="thin">
        <color rgb="FFD7DEDA"/>
      </bottom>
      <diagonal/>
    </border>
    <border>
      <left/>
      <right style="thin">
        <color rgb="FF2E5147"/>
      </right>
      <top/>
      <bottom style="thin">
        <color rgb="FFD7DEDA"/>
      </bottom>
      <diagonal/>
    </border>
    <border>
      <left style="thin">
        <color rgb="FF2E5147"/>
      </left>
      <right/>
      <top style="thin">
        <color rgb="FFD7DEDA"/>
      </top>
      <bottom style="thin">
        <color rgb="FFD7DEDA"/>
      </bottom>
      <diagonal/>
    </border>
    <border>
      <left/>
      <right style="thin">
        <color rgb="FF2E5147"/>
      </right>
      <top style="thin">
        <color rgb="FFD7DEDA"/>
      </top>
      <bottom style="thin">
        <color rgb="FFD7DEDA"/>
      </bottom>
      <diagonal/>
    </border>
    <border>
      <left style="thin">
        <color rgb="FF2E5147"/>
      </left>
      <right/>
      <top style="thin">
        <color rgb="FFD7DEDA"/>
      </top>
      <bottom style="thin">
        <color rgb="FF2E5147"/>
      </bottom>
      <diagonal/>
    </border>
    <border>
      <left/>
      <right style="thin">
        <color rgb="FF2E5147"/>
      </right>
      <top style="thin">
        <color rgb="FFD7DEDA"/>
      </top>
      <bottom style="thin">
        <color rgb="FF2E5147"/>
      </bottom>
      <diagonal/>
    </border>
    <border>
      <left/>
      <right/>
      <top style="thin">
        <color rgb="FF2E5147"/>
      </top>
      <bottom style="thin">
        <color rgb="FF2E5147"/>
      </bottom>
      <diagonal/>
    </border>
    <border>
      <left/>
      <right/>
      <top style="thin">
        <color rgb="FFD7DEDA"/>
      </top>
      <bottom style="thin">
        <color rgb="FF2E5147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3" fontId="4" fillId="0" borderId="7" xfId="0" applyNumberFormat="1" applyFont="1" applyBorder="1" applyAlignment="1">
      <alignment vertical="center" wrapText="1"/>
    </xf>
    <xf numFmtId="3" fontId="4" fillId="0" borderId="9" xfId="0" applyNumberFormat="1" applyFont="1" applyBorder="1" applyAlignment="1">
      <alignment vertical="center" wrapText="1"/>
    </xf>
    <xf numFmtId="3" fontId="4" fillId="0" borderId="11" xfId="0" applyNumberFormat="1" applyFont="1" applyBorder="1" applyAlignment="1">
      <alignment vertical="center" wrapText="1"/>
    </xf>
    <xf numFmtId="0" fontId="3" fillId="2" borderId="1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6" borderId="3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0" fontId="4" fillId="7" borderId="3" xfId="0" applyFont="1" applyFill="1" applyBorder="1" applyAlignment="1">
      <alignment vertical="center" wrapText="1"/>
    </xf>
    <xf numFmtId="0" fontId="4" fillId="7" borderId="4" xfId="0" applyFont="1" applyFill="1" applyBorder="1" applyAlignment="1">
      <alignment vertical="center" wrapText="1"/>
    </xf>
    <xf numFmtId="0" fontId="4" fillId="6" borderId="13" xfId="0" applyFont="1" applyFill="1" applyBorder="1" applyAlignment="1">
      <alignment vertical="center" wrapText="1"/>
    </xf>
    <xf numFmtId="0" fontId="4" fillId="4" borderId="13" xfId="0" applyFont="1" applyFill="1" applyBorder="1" applyAlignment="1">
      <alignment vertical="center" wrapText="1"/>
    </xf>
    <xf numFmtId="0" fontId="4" fillId="7" borderId="13" xfId="0" applyFont="1" applyFill="1" applyBorder="1" applyAlignment="1">
      <alignment vertical="center" wrapText="1"/>
    </xf>
    <xf numFmtId="1" fontId="4" fillId="0" borderId="6" xfId="0" applyNumberFormat="1" applyFont="1" applyBorder="1" applyAlignment="1">
      <alignment vertical="center" wrapText="1"/>
    </xf>
    <xf numFmtId="1" fontId="4" fillId="0" borderId="8" xfId="0" applyNumberFormat="1" applyFont="1" applyBorder="1" applyAlignment="1">
      <alignment vertical="center" wrapText="1"/>
    </xf>
    <xf numFmtId="1" fontId="4" fillId="0" borderId="10" xfId="0" applyNumberFormat="1" applyFont="1" applyBorder="1" applyAlignment="1">
      <alignment vertical="center" wrapText="1"/>
    </xf>
    <xf numFmtId="164" fontId="4" fillId="4" borderId="3" xfId="0" applyNumberFormat="1" applyFont="1" applyFill="1" applyBorder="1" applyAlignment="1">
      <alignment vertical="center" wrapText="1"/>
    </xf>
    <xf numFmtId="164" fontId="4" fillId="4" borderId="4" xfId="0" applyNumberFormat="1" applyFont="1" applyFill="1" applyBorder="1" applyAlignment="1">
      <alignment vertical="center" wrapText="1"/>
    </xf>
    <xf numFmtId="164" fontId="4" fillId="4" borderId="13" xfId="0" applyNumberFormat="1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5" fillId="5" borderId="0" xfId="0" applyFont="1" applyFill="1" applyAlignment="1">
      <alignment vertical="center" wrapText="1"/>
    </xf>
  </cellXfs>
  <cellStyles count="1">
    <cellStyle name="Normal" xfId="0" builtinId="0"/>
  </cellStyles>
  <dxfs count="4">
    <dxf>
      <font>
        <b/>
        <color rgb="FF2E5147"/>
      </font>
      <fill>
        <patternFill patternType="solid">
          <bgColor rgb="FFE6EFEA"/>
        </patternFill>
      </fill>
    </dxf>
    <dxf>
      <font>
        <b/>
        <color rgb="FF2E5147"/>
      </font>
      <fill>
        <patternFill patternType="solid">
          <bgColor rgb="FFE6EFEA"/>
        </patternFill>
      </fill>
    </dxf>
    <dxf>
      <font>
        <b/>
        <color rgb="FFC65A3F"/>
      </font>
      <fill>
        <patternFill patternType="solid">
          <bgColor rgb="FFF7DDD7"/>
        </patternFill>
      </fill>
    </dxf>
    <dxf>
      <font>
        <b/>
        <color rgb="FF2E5147"/>
      </font>
      <fill>
        <patternFill patternType="solid">
          <bgColor rgb="FFE6EF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topLeftCell="A2" zoomScale="257" workbookViewId="0">
      <selection sqref="A1:H1"/>
    </sheetView>
  </sheetViews>
  <sheetFormatPr baseColWidth="10" defaultColWidth="8.83203125" defaultRowHeight="14"/>
  <cols>
    <col min="1" max="1" width="36" customWidth="1"/>
    <col min="2" max="2" width="18" customWidth="1"/>
  </cols>
  <sheetData>
    <row r="1" spans="1:8" ht="30" customHeight="1">
      <c r="A1" s="31" t="s">
        <v>0</v>
      </c>
      <c r="B1" s="31"/>
      <c r="C1" s="31"/>
      <c r="D1" s="31"/>
      <c r="E1" s="31"/>
      <c r="F1" s="31"/>
      <c r="G1" s="31"/>
      <c r="H1" s="31"/>
    </row>
    <row r="2" spans="1:8" ht="34" customHeight="1">
      <c r="A2" s="32" t="s">
        <v>1</v>
      </c>
      <c r="B2" s="32"/>
      <c r="C2" s="32"/>
      <c r="D2" s="32"/>
      <c r="E2" s="32"/>
      <c r="F2" s="32"/>
      <c r="G2" s="32"/>
      <c r="H2" s="32"/>
    </row>
    <row r="4" spans="1:8">
      <c r="A4" s="1" t="s">
        <v>2</v>
      </c>
      <c r="B4" s="2" t="s">
        <v>3</v>
      </c>
      <c r="D4" s="33" t="s">
        <v>4</v>
      </c>
      <c r="E4" s="34"/>
      <c r="F4" s="34"/>
      <c r="G4" s="34"/>
      <c r="H4" s="35"/>
    </row>
    <row r="5" spans="1:8">
      <c r="A5" s="5" t="s">
        <v>5</v>
      </c>
      <c r="B5" s="11">
        <f>COUNTA('Dictamen entradas'!$B$5:$B$22)</f>
        <v>18</v>
      </c>
      <c r="D5" s="36" t="s">
        <v>6</v>
      </c>
      <c r="E5" s="36"/>
      <c r="F5" s="36"/>
      <c r="G5" s="36"/>
      <c r="H5" s="36"/>
    </row>
    <row r="6" spans="1:8">
      <c r="A6" s="7" t="s">
        <v>7</v>
      </c>
      <c r="B6" s="12">
        <f>COUNTA('Dictamen entradas'!$F$5:$F$22)</f>
        <v>18</v>
      </c>
      <c r="D6" s="37" t="s">
        <v>8</v>
      </c>
      <c r="E6" s="37"/>
      <c r="F6" s="37"/>
      <c r="G6" s="37"/>
      <c r="H6" s="37"/>
    </row>
    <row r="7" spans="1:8">
      <c r="A7" s="7" t="s">
        <v>9</v>
      </c>
      <c r="B7" s="12">
        <f>COUNTIF('Dictamen entradas'!$G$5:$G$22,"Caso simple")</f>
        <v>6</v>
      </c>
      <c r="D7" s="37" t="s">
        <v>10</v>
      </c>
      <c r="E7" s="37"/>
      <c r="F7" s="37"/>
      <c r="G7" s="37"/>
      <c r="H7" s="37"/>
    </row>
    <row r="8" spans="1:8">
      <c r="A8" s="7" t="s">
        <v>11</v>
      </c>
      <c r="B8" s="12">
        <f>COUNTIF('Dictamen entradas'!$G$5:$G$22,"Trayectoria o lengua múltiple")</f>
        <v>6</v>
      </c>
      <c r="D8" s="37" t="s">
        <v>12</v>
      </c>
      <c r="E8" s="37"/>
      <c r="F8" s="37"/>
      <c r="G8" s="37"/>
      <c r="H8" s="37"/>
    </row>
    <row r="9" spans="1:8">
      <c r="A9" s="7" t="s">
        <v>13</v>
      </c>
      <c r="B9" s="12">
        <f>COUNTIF('Dictamen entradas'!$G$5:$G$22,"Comparado")</f>
        <v>6</v>
      </c>
      <c r="D9" s="37" t="s">
        <v>14</v>
      </c>
      <c r="E9" s="37"/>
      <c r="F9" s="37"/>
      <c r="G9" s="37"/>
      <c r="H9" s="37"/>
    </row>
    <row r="10" spans="1:8">
      <c r="A10" s="7" t="s">
        <v>15</v>
      </c>
      <c r="B10" s="12">
        <f>COUNTIF('Dictamen entradas'!$P$5:$P$22,"pendiente_revision")</f>
        <v>18</v>
      </c>
      <c r="D10" s="37" t="s">
        <v>16</v>
      </c>
      <c r="E10" s="37"/>
      <c r="F10" s="37"/>
      <c r="G10" s="37"/>
      <c r="H10" s="37"/>
    </row>
    <row r="11" spans="1:8">
      <c r="A11" s="7" t="s">
        <v>17</v>
      </c>
      <c r="B11" s="12">
        <f>COUNTIF(Fuentes!$G$5:$G$22,"verificada")</f>
        <v>0</v>
      </c>
      <c r="D11" s="38" t="s">
        <v>18</v>
      </c>
      <c r="E11" s="38"/>
      <c r="F11" s="38"/>
      <c r="G11" s="38"/>
      <c r="H11" s="38"/>
    </row>
    <row r="12" spans="1:8">
      <c r="A12" s="7" t="s">
        <v>19</v>
      </c>
      <c r="B12" s="12">
        <f>COUNTIF('Dictamen entradas'!$U$5:$U$22,"SI")</f>
        <v>0</v>
      </c>
    </row>
    <row r="13" spans="1:8" ht="52" customHeight="1">
      <c r="A13" s="9" t="s">
        <v>20</v>
      </c>
      <c r="B13" s="13">
        <f>COUNTIF('Dictamen entradas'!$S$5:$S$22,"falla")</f>
        <v>0</v>
      </c>
      <c r="D13" s="39" t="s">
        <v>21</v>
      </c>
      <c r="E13" s="39"/>
      <c r="F13" s="39"/>
      <c r="G13" s="39"/>
      <c r="H13" s="39"/>
    </row>
  </sheetData>
  <mergeCells count="11">
    <mergeCell ref="D13:H13"/>
    <mergeCell ref="D7:H7"/>
    <mergeCell ref="D8:H8"/>
    <mergeCell ref="D9:H9"/>
    <mergeCell ref="D10:H10"/>
    <mergeCell ref="D11:H11"/>
    <mergeCell ref="A1:H1"/>
    <mergeCell ref="A2:H2"/>
    <mergeCell ref="D4:H4"/>
    <mergeCell ref="D5:H5"/>
    <mergeCell ref="D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showGridLines="0" topLeftCell="B3" zoomScale="152" zoomScaleNormal="152" workbookViewId="0">
      <selection sqref="A1:F1"/>
    </sheetView>
  </sheetViews>
  <sheetFormatPr baseColWidth="10" defaultColWidth="8.83203125" defaultRowHeight="14"/>
  <cols>
    <col min="1" max="1" width="9" customWidth="1"/>
    <col min="2" max="2" width="31" customWidth="1"/>
    <col min="3" max="3" width="34" customWidth="1"/>
    <col min="4" max="4" width="38" customWidth="1"/>
    <col min="5" max="5" width="36" customWidth="1"/>
    <col min="6" max="6" width="25" customWidth="1"/>
  </cols>
  <sheetData>
    <row r="1" spans="1:6" ht="30" customHeight="1">
      <c r="A1" s="31" t="s">
        <v>22</v>
      </c>
      <c r="B1" s="31"/>
      <c r="C1" s="31"/>
      <c r="D1" s="31"/>
      <c r="E1" s="31"/>
      <c r="F1" s="31"/>
    </row>
    <row r="2" spans="1:6" ht="34" customHeight="1">
      <c r="A2" s="32" t="s">
        <v>23</v>
      </c>
      <c r="B2" s="32"/>
      <c r="C2" s="32"/>
      <c r="D2" s="32"/>
      <c r="E2" s="32"/>
      <c r="F2" s="32"/>
    </row>
    <row r="4" spans="1:6">
      <c r="A4" s="1" t="s">
        <v>24</v>
      </c>
      <c r="B4" s="14" t="s">
        <v>25</v>
      </c>
      <c r="C4" s="14" t="s">
        <v>26</v>
      </c>
      <c r="D4" s="14" t="s">
        <v>27</v>
      </c>
      <c r="E4" s="14" t="s">
        <v>28</v>
      </c>
      <c r="F4" s="2" t="s">
        <v>29</v>
      </c>
    </row>
    <row r="5" spans="1:6" ht="54" customHeight="1">
      <c r="A5" s="5">
        <v>1</v>
      </c>
      <c r="B5" s="3" t="s">
        <v>30</v>
      </c>
      <c r="C5" s="3" t="s">
        <v>31</v>
      </c>
      <c r="D5" s="3" t="s">
        <v>32</v>
      </c>
      <c r="E5" s="3" t="s">
        <v>33</v>
      </c>
      <c r="F5" s="6" t="s">
        <v>34</v>
      </c>
    </row>
    <row r="6" spans="1:6" ht="54" customHeight="1">
      <c r="A6" s="7">
        <v>2</v>
      </c>
      <c r="B6" s="4" t="s">
        <v>35</v>
      </c>
      <c r="C6" s="4" t="s">
        <v>36</v>
      </c>
      <c r="D6" s="4" t="s">
        <v>37</v>
      </c>
      <c r="E6" s="4" t="s">
        <v>38</v>
      </c>
      <c r="F6" s="8" t="s">
        <v>39</v>
      </c>
    </row>
    <row r="7" spans="1:6" ht="54" customHeight="1">
      <c r="A7" s="7">
        <v>3</v>
      </c>
      <c r="B7" s="4" t="s">
        <v>40</v>
      </c>
      <c r="C7" s="4" t="s">
        <v>41</v>
      </c>
      <c r="D7" s="4" t="s">
        <v>42</v>
      </c>
      <c r="E7" s="4" t="s">
        <v>43</v>
      </c>
      <c r="F7" s="8" t="s">
        <v>44</v>
      </c>
    </row>
    <row r="8" spans="1:6" ht="54" customHeight="1">
      <c r="A8" s="7">
        <v>4</v>
      </c>
      <c r="B8" s="4" t="s">
        <v>45</v>
      </c>
      <c r="C8" s="4" t="s">
        <v>46</v>
      </c>
      <c r="D8" s="4" t="s">
        <v>47</v>
      </c>
      <c r="E8" s="4" t="s">
        <v>48</v>
      </c>
      <c r="F8" s="8" t="s">
        <v>49</v>
      </c>
    </row>
    <row r="9" spans="1:6" ht="54" customHeight="1">
      <c r="A9" s="7">
        <v>5</v>
      </c>
      <c r="B9" s="4" t="s">
        <v>50</v>
      </c>
      <c r="C9" s="4" t="s">
        <v>51</v>
      </c>
      <c r="D9" s="4" t="s">
        <v>52</v>
      </c>
      <c r="E9" s="4" t="s">
        <v>53</v>
      </c>
      <c r="F9" s="8" t="s">
        <v>54</v>
      </c>
    </row>
    <row r="10" spans="1:6" ht="54" customHeight="1">
      <c r="A10" s="9">
        <v>6</v>
      </c>
      <c r="B10" s="17" t="s">
        <v>55</v>
      </c>
      <c r="C10" s="17" t="s">
        <v>56</v>
      </c>
      <c r="D10" s="17" t="s">
        <v>57</v>
      </c>
      <c r="E10" s="17" t="s">
        <v>58</v>
      </c>
      <c r="F10" s="10" t="s">
        <v>59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2"/>
  <sheetViews>
    <sheetView showGridLines="0" topLeftCell="F3" workbookViewId="0">
      <selection sqref="A1:V1"/>
    </sheetView>
  </sheetViews>
  <sheetFormatPr baseColWidth="10" defaultColWidth="8.83203125" defaultRowHeight="14"/>
  <cols>
    <col min="1" max="1" width="8" customWidth="1"/>
    <col min="2" max="2" width="24" customWidth="1"/>
    <col min="3" max="3" width="44" customWidth="1"/>
    <col min="4" max="4" width="27" customWidth="1"/>
    <col min="5" max="5" width="16" customWidth="1"/>
    <col min="6" max="6" width="34" customWidth="1"/>
    <col min="7" max="7" width="24" customWidth="1"/>
    <col min="8" max="8" width="25" customWidth="1"/>
    <col min="9" max="9" width="28" customWidth="1"/>
    <col min="10" max="10" width="48" customWidth="1"/>
    <col min="11" max="11" width="24" customWidth="1"/>
    <col min="12" max="13" width="31" customWidth="1"/>
    <col min="14" max="14" width="28" customWidth="1"/>
    <col min="15" max="15" width="45" customWidth="1"/>
    <col min="16" max="16" width="21" customWidth="1"/>
    <col min="17" max="17" width="20" customWidth="1"/>
    <col min="18" max="18" width="15" customWidth="1"/>
    <col min="19" max="19" width="16" customWidth="1"/>
    <col min="20" max="20" width="20" customWidth="1"/>
    <col min="21" max="21" width="18" customWidth="1"/>
    <col min="22" max="22" width="32" customWidth="1"/>
  </cols>
  <sheetData>
    <row r="1" spans="1:22" ht="30" customHeight="1">
      <c r="A1" s="31" t="s">
        <v>60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</row>
    <row r="2" spans="1:22" ht="34" customHeight="1">
      <c r="A2" s="32" t="s">
        <v>61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</row>
    <row r="4" spans="1:22">
      <c r="A4" s="1" t="s">
        <v>62</v>
      </c>
      <c r="B4" s="14" t="s">
        <v>63</v>
      </c>
      <c r="C4" s="14" t="s">
        <v>64</v>
      </c>
      <c r="D4" s="14" t="s">
        <v>65</v>
      </c>
      <c r="E4" s="14" t="s">
        <v>66</v>
      </c>
      <c r="F4" s="14" t="s">
        <v>67</v>
      </c>
      <c r="G4" s="14" t="s">
        <v>68</v>
      </c>
      <c r="H4" s="14" t="s">
        <v>69</v>
      </c>
      <c r="I4" s="14" t="s">
        <v>70</v>
      </c>
      <c r="J4" s="14" t="s">
        <v>71</v>
      </c>
      <c r="K4" s="14" t="s">
        <v>34</v>
      </c>
      <c r="L4" s="14" t="s">
        <v>39</v>
      </c>
      <c r="M4" s="14" t="s">
        <v>44</v>
      </c>
      <c r="N4" s="14" t="s">
        <v>49</v>
      </c>
      <c r="O4" s="14" t="s">
        <v>54</v>
      </c>
      <c r="P4" s="14" t="s">
        <v>72</v>
      </c>
      <c r="Q4" s="14" t="s">
        <v>73</v>
      </c>
      <c r="R4" s="14" t="s">
        <v>74</v>
      </c>
      <c r="S4" s="14" t="s">
        <v>75</v>
      </c>
      <c r="T4" s="14" t="s">
        <v>76</v>
      </c>
      <c r="U4" s="14" t="s">
        <v>59</v>
      </c>
      <c r="V4" s="2" t="s">
        <v>77</v>
      </c>
    </row>
    <row r="5" spans="1:22" ht="70" customHeight="1">
      <c r="A5" s="25">
        <v>1</v>
      </c>
      <c r="B5" s="3" t="s">
        <v>78</v>
      </c>
      <c r="C5" s="3" t="s">
        <v>79</v>
      </c>
      <c r="D5" s="3" t="s">
        <v>80</v>
      </c>
      <c r="E5" s="3" t="s">
        <v>81</v>
      </c>
      <c r="F5" s="3" t="s">
        <v>82</v>
      </c>
      <c r="G5" s="3" t="s">
        <v>83</v>
      </c>
      <c r="H5" s="18" t="s">
        <v>84</v>
      </c>
      <c r="I5" s="18" t="s">
        <v>85</v>
      </c>
      <c r="J5" s="18" t="s">
        <v>86</v>
      </c>
      <c r="K5" s="15"/>
      <c r="L5" s="15"/>
      <c r="M5" s="15"/>
      <c r="N5" s="15"/>
      <c r="O5" s="15"/>
      <c r="P5" s="15" t="s">
        <v>87</v>
      </c>
      <c r="Q5" s="15"/>
      <c r="R5" s="28"/>
      <c r="S5" s="15" t="s">
        <v>88</v>
      </c>
      <c r="T5" s="15" t="s">
        <v>88</v>
      </c>
      <c r="U5" s="20" t="str">
        <f t="shared" ref="U5:U22" si="0">IF(AND(P5="revisada",O5&lt;&gt;"",Q5&lt;&gt;"",R5&lt;&gt;"",S5="pasa",T5="aprobada"),"SI","NO")</f>
        <v>NO</v>
      </c>
      <c r="V5" s="6"/>
    </row>
    <row r="6" spans="1:22" ht="70" customHeight="1">
      <c r="A6" s="26">
        <v>2</v>
      </c>
      <c r="B6" s="4" t="s">
        <v>89</v>
      </c>
      <c r="C6" s="4" t="s">
        <v>90</v>
      </c>
      <c r="D6" s="4" t="s">
        <v>91</v>
      </c>
      <c r="E6" s="4" t="s">
        <v>92</v>
      </c>
      <c r="F6" s="4" t="s">
        <v>93</v>
      </c>
      <c r="G6" s="4" t="s">
        <v>83</v>
      </c>
      <c r="H6" s="19" t="s">
        <v>94</v>
      </c>
      <c r="I6" s="19" t="s">
        <v>95</v>
      </c>
      <c r="J6" s="19" t="s">
        <v>96</v>
      </c>
      <c r="K6" s="16"/>
      <c r="L6" s="16"/>
      <c r="M6" s="16"/>
      <c r="N6" s="16"/>
      <c r="O6" s="16"/>
      <c r="P6" s="16" t="s">
        <v>87</v>
      </c>
      <c r="Q6" s="16"/>
      <c r="R6" s="29"/>
      <c r="S6" s="16" t="s">
        <v>88</v>
      </c>
      <c r="T6" s="16" t="s">
        <v>88</v>
      </c>
      <c r="U6" s="21" t="str">
        <f t="shared" si="0"/>
        <v>NO</v>
      </c>
      <c r="V6" s="8"/>
    </row>
    <row r="7" spans="1:22" ht="70" customHeight="1">
      <c r="A7" s="26">
        <v>3</v>
      </c>
      <c r="B7" s="4" t="s">
        <v>97</v>
      </c>
      <c r="C7" s="4" t="s">
        <v>98</v>
      </c>
      <c r="D7" s="4" t="s">
        <v>99</v>
      </c>
      <c r="E7" s="4" t="s">
        <v>81</v>
      </c>
      <c r="F7" s="4" t="s">
        <v>100</v>
      </c>
      <c r="G7" s="4" t="s">
        <v>83</v>
      </c>
      <c r="H7" s="19" t="s">
        <v>101</v>
      </c>
      <c r="I7" s="19" t="s">
        <v>102</v>
      </c>
      <c r="J7" s="19" t="s">
        <v>103</v>
      </c>
      <c r="K7" s="16"/>
      <c r="L7" s="16"/>
      <c r="M7" s="16"/>
      <c r="N7" s="16"/>
      <c r="O7" s="16"/>
      <c r="P7" s="16" t="s">
        <v>87</v>
      </c>
      <c r="Q7" s="16"/>
      <c r="R7" s="29"/>
      <c r="S7" s="16" t="s">
        <v>88</v>
      </c>
      <c r="T7" s="16" t="s">
        <v>88</v>
      </c>
      <c r="U7" s="21" t="str">
        <f t="shared" si="0"/>
        <v>NO</v>
      </c>
      <c r="V7" s="8"/>
    </row>
    <row r="8" spans="1:22" ht="70" customHeight="1">
      <c r="A8" s="26">
        <v>4</v>
      </c>
      <c r="B8" s="4" t="s">
        <v>104</v>
      </c>
      <c r="C8" s="4" t="s">
        <v>105</v>
      </c>
      <c r="D8" s="4" t="s">
        <v>106</v>
      </c>
      <c r="E8" s="4" t="s">
        <v>107</v>
      </c>
      <c r="F8" s="4" t="s">
        <v>108</v>
      </c>
      <c r="G8" s="4" t="s">
        <v>83</v>
      </c>
      <c r="H8" s="19" t="s">
        <v>94</v>
      </c>
      <c r="I8" s="19" t="s">
        <v>109</v>
      </c>
      <c r="J8" s="19" t="s">
        <v>110</v>
      </c>
      <c r="K8" s="16"/>
      <c r="L8" s="16"/>
      <c r="M8" s="16"/>
      <c r="N8" s="16"/>
      <c r="O8" s="16"/>
      <c r="P8" s="16" t="s">
        <v>87</v>
      </c>
      <c r="Q8" s="16"/>
      <c r="R8" s="29"/>
      <c r="S8" s="16" t="s">
        <v>88</v>
      </c>
      <c r="T8" s="16" t="s">
        <v>88</v>
      </c>
      <c r="U8" s="21" t="str">
        <f t="shared" si="0"/>
        <v>NO</v>
      </c>
      <c r="V8" s="8"/>
    </row>
    <row r="9" spans="1:22" ht="70" customHeight="1">
      <c r="A9" s="26">
        <v>5</v>
      </c>
      <c r="B9" s="4" t="s">
        <v>111</v>
      </c>
      <c r="C9" s="4" t="s">
        <v>112</v>
      </c>
      <c r="D9" s="4" t="s">
        <v>113</v>
      </c>
      <c r="E9" s="4" t="s">
        <v>107</v>
      </c>
      <c r="F9" s="4" t="s">
        <v>114</v>
      </c>
      <c r="G9" s="4" t="s">
        <v>83</v>
      </c>
      <c r="H9" s="19" t="s">
        <v>84</v>
      </c>
      <c r="I9" s="19" t="s">
        <v>115</v>
      </c>
      <c r="J9" s="19" t="s">
        <v>116</v>
      </c>
      <c r="K9" s="16"/>
      <c r="L9" s="16"/>
      <c r="M9" s="16"/>
      <c r="N9" s="16"/>
      <c r="O9" s="16"/>
      <c r="P9" s="16" t="s">
        <v>87</v>
      </c>
      <c r="Q9" s="16"/>
      <c r="R9" s="29"/>
      <c r="S9" s="16" t="s">
        <v>88</v>
      </c>
      <c r="T9" s="16" t="s">
        <v>88</v>
      </c>
      <c r="U9" s="21" t="str">
        <f t="shared" si="0"/>
        <v>NO</v>
      </c>
      <c r="V9" s="8"/>
    </row>
    <row r="10" spans="1:22" ht="70" customHeight="1">
      <c r="A10" s="26">
        <v>6</v>
      </c>
      <c r="B10" s="4" t="s">
        <v>117</v>
      </c>
      <c r="C10" s="4" t="s">
        <v>118</v>
      </c>
      <c r="D10" s="4" t="s">
        <v>119</v>
      </c>
      <c r="E10" s="4" t="s">
        <v>120</v>
      </c>
      <c r="F10" s="4" t="s">
        <v>121</v>
      </c>
      <c r="G10" s="4" t="s">
        <v>83</v>
      </c>
      <c r="H10" s="19" t="s">
        <v>122</v>
      </c>
      <c r="I10" s="19" t="s">
        <v>123</v>
      </c>
      <c r="J10" s="19" t="s">
        <v>124</v>
      </c>
      <c r="K10" s="16"/>
      <c r="L10" s="16"/>
      <c r="M10" s="16"/>
      <c r="N10" s="16"/>
      <c r="O10" s="16"/>
      <c r="P10" s="16" t="s">
        <v>87</v>
      </c>
      <c r="Q10" s="16"/>
      <c r="R10" s="29"/>
      <c r="S10" s="16" t="s">
        <v>88</v>
      </c>
      <c r="T10" s="16" t="s">
        <v>88</v>
      </c>
      <c r="U10" s="21" t="str">
        <f t="shared" si="0"/>
        <v>NO</v>
      </c>
      <c r="V10" s="8"/>
    </row>
    <row r="11" spans="1:22" ht="70" customHeight="1">
      <c r="A11" s="26">
        <v>7</v>
      </c>
      <c r="B11" s="4" t="s">
        <v>125</v>
      </c>
      <c r="C11" s="4" t="s">
        <v>126</v>
      </c>
      <c r="D11" s="4" t="s">
        <v>127</v>
      </c>
      <c r="E11" s="4" t="s">
        <v>81</v>
      </c>
      <c r="F11" s="4" t="s">
        <v>128</v>
      </c>
      <c r="G11" s="4" t="s">
        <v>129</v>
      </c>
      <c r="H11" s="19" t="s">
        <v>84</v>
      </c>
      <c r="I11" s="19" t="s">
        <v>130</v>
      </c>
      <c r="J11" s="19" t="s">
        <v>131</v>
      </c>
      <c r="K11" s="16"/>
      <c r="L11" s="16"/>
      <c r="M11" s="16"/>
      <c r="N11" s="16"/>
      <c r="O11" s="16"/>
      <c r="P11" s="16" t="s">
        <v>87</v>
      </c>
      <c r="Q11" s="16"/>
      <c r="R11" s="29"/>
      <c r="S11" s="16" t="s">
        <v>88</v>
      </c>
      <c r="T11" s="16" t="s">
        <v>88</v>
      </c>
      <c r="U11" s="21" t="str">
        <f t="shared" si="0"/>
        <v>NO</v>
      </c>
      <c r="V11" s="8"/>
    </row>
    <row r="12" spans="1:22" ht="70" customHeight="1">
      <c r="A12" s="26">
        <v>8</v>
      </c>
      <c r="B12" s="4" t="s">
        <v>132</v>
      </c>
      <c r="C12" s="4" t="s">
        <v>133</v>
      </c>
      <c r="D12" s="4" t="s">
        <v>134</v>
      </c>
      <c r="E12" s="4" t="s">
        <v>135</v>
      </c>
      <c r="F12" s="4" t="s">
        <v>136</v>
      </c>
      <c r="G12" s="4" t="s">
        <v>129</v>
      </c>
      <c r="H12" s="19" t="s">
        <v>137</v>
      </c>
      <c r="I12" s="19" t="s">
        <v>138</v>
      </c>
      <c r="J12" s="19" t="s">
        <v>139</v>
      </c>
      <c r="K12" s="16"/>
      <c r="L12" s="16"/>
      <c r="M12" s="16"/>
      <c r="N12" s="16"/>
      <c r="O12" s="16"/>
      <c r="P12" s="16" t="s">
        <v>87</v>
      </c>
      <c r="Q12" s="16"/>
      <c r="R12" s="29"/>
      <c r="S12" s="16" t="s">
        <v>88</v>
      </c>
      <c r="T12" s="16" t="s">
        <v>88</v>
      </c>
      <c r="U12" s="21" t="str">
        <f t="shared" si="0"/>
        <v>NO</v>
      </c>
      <c r="V12" s="8"/>
    </row>
    <row r="13" spans="1:22" ht="70" customHeight="1">
      <c r="A13" s="26">
        <v>9</v>
      </c>
      <c r="B13" s="4" t="s">
        <v>140</v>
      </c>
      <c r="C13" s="4" t="s">
        <v>141</v>
      </c>
      <c r="D13" s="4" t="s">
        <v>142</v>
      </c>
      <c r="E13" s="4" t="s">
        <v>143</v>
      </c>
      <c r="F13" s="4" t="s">
        <v>144</v>
      </c>
      <c r="G13" s="4" t="s">
        <v>129</v>
      </c>
      <c r="H13" s="19" t="s">
        <v>145</v>
      </c>
      <c r="I13" s="19" t="s">
        <v>146</v>
      </c>
      <c r="J13" s="19" t="s">
        <v>147</v>
      </c>
      <c r="K13" s="16"/>
      <c r="L13" s="16"/>
      <c r="M13" s="16"/>
      <c r="N13" s="16"/>
      <c r="O13" s="16"/>
      <c r="P13" s="16" t="s">
        <v>87</v>
      </c>
      <c r="Q13" s="16"/>
      <c r="R13" s="29"/>
      <c r="S13" s="16" t="s">
        <v>88</v>
      </c>
      <c r="T13" s="16" t="s">
        <v>88</v>
      </c>
      <c r="U13" s="21" t="str">
        <f t="shared" si="0"/>
        <v>NO</v>
      </c>
      <c r="V13" s="8"/>
    </row>
    <row r="14" spans="1:22" ht="70" customHeight="1">
      <c r="A14" s="26">
        <v>10</v>
      </c>
      <c r="B14" s="4" t="s">
        <v>148</v>
      </c>
      <c r="C14" s="4" t="s">
        <v>149</v>
      </c>
      <c r="D14" s="4" t="s">
        <v>150</v>
      </c>
      <c r="E14" s="4" t="s">
        <v>151</v>
      </c>
      <c r="F14" s="4" t="s">
        <v>152</v>
      </c>
      <c r="G14" s="4" t="s">
        <v>129</v>
      </c>
      <c r="H14" s="19" t="s">
        <v>84</v>
      </c>
      <c r="I14" s="19" t="s">
        <v>153</v>
      </c>
      <c r="J14" s="19" t="s">
        <v>154</v>
      </c>
      <c r="K14" s="16"/>
      <c r="L14" s="16"/>
      <c r="M14" s="16"/>
      <c r="N14" s="16"/>
      <c r="O14" s="16"/>
      <c r="P14" s="16" t="s">
        <v>87</v>
      </c>
      <c r="Q14" s="16"/>
      <c r="R14" s="29"/>
      <c r="S14" s="16" t="s">
        <v>88</v>
      </c>
      <c r="T14" s="16" t="s">
        <v>88</v>
      </c>
      <c r="U14" s="21" t="str">
        <f t="shared" si="0"/>
        <v>NO</v>
      </c>
      <c r="V14" s="8"/>
    </row>
    <row r="15" spans="1:22" ht="70" customHeight="1">
      <c r="A15" s="26">
        <v>11</v>
      </c>
      <c r="B15" s="4" t="s">
        <v>155</v>
      </c>
      <c r="C15" s="4" t="s">
        <v>156</v>
      </c>
      <c r="D15" s="4" t="s">
        <v>157</v>
      </c>
      <c r="E15" s="4" t="s">
        <v>158</v>
      </c>
      <c r="F15" s="4" t="s">
        <v>159</v>
      </c>
      <c r="G15" s="4" t="s">
        <v>129</v>
      </c>
      <c r="H15" s="19" t="s">
        <v>160</v>
      </c>
      <c r="I15" s="19" t="s">
        <v>161</v>
      </c>
      <c r="J15" s="19" t="s">
        <v>162</v>
      </c>
      <c r="K15" s="16"/>
      <c r="L15" s="16"/>
      <c r="M15" s="16"/>
      <c r="N15" s="16"/>
      <c r="O15" s="16"/>
      <c r="P15" s="16" t="s">
        <v>87</v>
      </c>
      <c r="Q15" s="16"/>
      <c r="R15" s="29"/>
      <c r="S15" s="16" t="s">
        <v>88</v>
      </c>
      <c r="T15" s="16" t="s">
        <v>88</v>
      </c>
      <c r="U15" s="21" t="str">
        <f t="shared" si="0"/>
        <v>NO</v>
      </c>
      <c r="V15" s="8"/>
    </row>
    <row r="16" spans="1:22" ht="70" customHeight="1">
      <c r="A16" s="26">
        <v>12</v>
      </c>
      <c r="B16" s="4" t="s">
        <v>163</v>
      </c>
      <c r="C16" s="4" t="s">
        <v>164</v>
      </c>
      <c r="D16" s="4" t="s">
        <v>165</v>
      </c>
      <c r="E16" s="4" t="s">
        <v>143</v>
      </c>
      <c r="F16" s="4" t="s">
        <v>166</v>
      </c>
      <c r="G16" s="4" t="s">
        <v>129</v>
      </c>
      <c r="H16" s="19" t="s">
        <v>167</v>
      </c>
      <c r="I16" s="19" t="s">
        <v>168</v>
      </c>
      <c r="J16" s="19" t="s">
        <v>169</v>
      </c>
      <c r="K16" s="16"/>
      <c r="L16" s="16"/>
      <c r="M16" s="16"/>
      <c r="N16" s="16"/>
      <c r="O16" s="16"/>
      <c r="P16" s="16" t="s">
        <v>87</v>
      </c>
      <c r="Q16" s="16"/>
      <c r="R16" s="29"/>
      <c r="S16" s="16" t="s">
        <v>88</v>
      </c>
      <c r="T16" s="16" t="s">
        <v>88</v>
      </c>
      <c r="U16" s="21" t="str">
        <f t="shared" si="0"/>
        <v>NO</v>
      </c>
      <c r="V16" s="8"/>
    </row>
    <row r="17" spans="1:22" ht="70" customHeight="1">
      <c r="A17" s="26">
        <v>13</v>
      </c>
      <c r="B17" s="4" t="s">
        <v>170</v>
      </c>
      <c r="C17" s="4" t="s">
        <v>171</v>
      </c>
      <c r="D17" s="4" t="s">
        <v>172</v>
      </c>
      <c r="E17" s="4" t="s">
        <v>107</v>
      </c>
      <c r="F17" s="4" t="s">
        <v>173</v>
      </c>
      <c r="G17" s="4" t="s">
        <v>174</v>
      </c>
      <c r="H17" s="19"/>
      <c r="I17" s="19" t="s">
        <v>175</v>
      </c>
      <c r="J17" s="19" t="s">
        <v>176</v>
      </c>
      <c r="K17" s="16"/>
      <c r="L17" s="16"/>
      <c r="M17" s="16"/>
      <c r="N17" s="16"/>
      <c r="O17" s="16"/>
      <c r="P17" s="16" t="s">
        <v>87</v>
      </c>
      <c r="Q17" s="16"/>
      <c r="R17" s="29"/>
      <c r="S17" s="16" t="s">
        <v>88</v>
      </c>
      <c r="T17" s="16" t="s">
        <v>88</v>
      </c>
      <c r="U17" s="21" t="str">
        <f t="shared" si="0"/>
        <v>NO</v>
      </c>
      <c r="V17" s="8"/>
    </row>
    <row r="18" spans="1:22" ht="70" customHeight="1">
      <c r="A18" s="26">
        <v>14</v>
      </c>
      <c r="B18" s="4" t="s">
        <v>177</v>
      </c>
      <c r="C18" s="4" t="s">
        <v>178</v>
      </c>
      <c r="D18" s="4" t="s">
        <v>179</v>
      </c>
      <c r="E18" s="4" t="s">
        <v>180</v>
      </c>
      <c r="F18" s="4" t="s">
        <v>181</v>
      </c>
      <c r="G18" s="4" t="s">
        <v>174</v>
      </c>
      <c r="H18" s="19"/>
      <c r="I18" s="19" t="s">
        <v>182</v>
      </c>
      <c r="J18" s="19" t="s">
        <v>183</v>
      </c>
      <c r="K18" s="16"/>
      <c r="L18" s="16"/>
      <c r="M18" s="16"/>
      <c r="N18" s="16"/>
      <c r="O18" s="16"/>
      <c r="P18" s="16" t="s">
        <v>87</v>
      </c>
      <c r="Q18" s="16"/>
      <c r="R18" s="29"/>
      <c r="S18" s="16" t="s">
        <v>88</v>
      </c>
      <c r="T18" s="16" t="s">
        <v>88</v>
      </c>
      <c r="U18" s="21" t="str">
        <f t="shared" si="0"/>
        <v>NO</v>
      </c>
      <c r="V18" s="8"/>
    </row>
    <row r="19" spans="1:22" ht="70" customHeight="1">
      <c r="A19" s="26">
        <v>15</v>
      </c>
      <c r="B19" s="4" t="s">
        <v>184</v>
      </c>
      <c r="C19" s="4" t="s">
        <v>185</v>
      </c>
      <c r="D19" s="4" t="s">
        <v>186</v>
      </c>
      <c r="E19" s="4" t="s">
        <v>187</v>
      </c>
      <c r="F19" s="4" t="s">
        <v>188</v>
      </c>
      <c r="G19" s="4" t="s">
        <v>174</v>
      </c>
      <c r="H19" s="19" t="s">
        <v>189</v>
      </c>
      <c r="I19" s="19" t="s">
        <v>190</v>
      </c>
      <c r="J19" s="19" t="s">
        <v>191</v>
      </c>
      <c r="K19" s="16"/>
      <c r="L19" s="16"/>
      <c r="M19" s="16"/>
      <c r="N19" s="16"/>
      <c r="O19" s="16"/>
      <c r="P19" s="16" t="s">
        <v>87</v>
      </c>
      <c r="Q19" s="16"/>
      <c r="R19" s="29"/>
      <c r="S19" s="16" t="s">
        <v>88</v>
      </c>
      <c r="T19" s="16" t="s">
        <v>88</v>
      </c>
      <c r="U19" s="21" t="str">
        <f t="shared" si="0"/>
        <v>NO</v>
      </c>
      <c r="V19" s="8"/>
    </row>
    <row r="20" spans="1:22" ht="70" customHeight="1">
      <c r="A20" s="26">
        <v>16</v>
      </c>
      <c r="B20" s="4" t="s">
        <v>192</v>
      </c>
      <c r="C20" s="4" t="s">
        <v>193</v>
      </c>
      <c r="D20" s="4" t="s">
        <v>194</v>
      </c>
      <c r="E20" s="4" t="s">
        <v>120</v>
      </c>
      <c r="F20" s="4" t="s">
        <v>195</v>
      </c>
      <c r="G20" s="4" t="s">
        <v>174</v>
      </c>
      <c r="H20" s="19" t="s">
        <v>84</v>
      </c>
      <c r="I20" s="19" t="s">
        <v>196</v>
      </c>
      <c r="J20" s="19" t="s">
        <v>197</v>
      </c>
      <c r="K20" s="16"/>
      <c r="L20" s="16"/>
      <c r="M20" s="16"/>
      <c r="N20" s="16"/>
      <c r="O20" s="16"/>
      <c r="P20" s="16" t="s">
        <v>87</v>
      </c>
      <c r="Q20" s="16"/>
      <c r="R20" s="29"/>
      <c r="S20" s="16" t="s">
        <v>88</v>
      </c>
      <c r="T20" s="16" t="s">
        <v>88</v>
      </c>
      <c r="U20" s="21" t="str">
        <f t="shared" si="0"/>
        <v>NO</v>
      </c>
      <c r="V20" s="8"/>
    </row>
    <row r="21" spans="1:22" ht="70" customHeight="1">
      <c r="A21" s="26">
        <v>17</v>
      </c>
      <c r="B21" s="4" t="s">
        <v>198</v>
      </c>
      <c r="C21" s="4" t="s">
        <v>199</v>
      </c>
      <c r="D21" s="4" t="s">
        <v>200</v>
      </c>
      <c r="E21" s="4" t="s">
        <v>201</v>
      </c>
      <c r="F21" s="4" t="s">
        <v>202</v>
      </c>
      <c r="G21" s="4" t="s">
        <v>174</v>
      </c>
      <c r="H21" s="19"/>
      <c r="I21" s="19" t="s">
        <v>203</v>
      </c>
      <c r="J21" s="19" t="s">
        <v>204</v>
      </c>
      <c r="K21" s="16"/>
      <c r="L21" s="16"/>
      <c r="M21" s="16"/>
      <c r="N21" s="16"/>
      <c r="O21" s="16"/>
      <c r="P21" s="16" t="s">
        <v>87</v>
      </c>
      <c r="Q21" s="16"/>
      <c r="R21" s="29"/>
      <c r="S21" s="16" t="s">
        <v>88</v>
      </c>
      <c r="T21" s="16" t="s">
        <v>88</v>
      </c>
      <c r="U21" s="21" t="str">
        <f t="shared" si="0"/>
        <v>NO</v>
      </c>
      <c r="V21" s="8"/>
    </row>
    <row r="22" spans="1:22" ht="70" customHeight="1">
      <c r="A22" s="27">
        <v>18</v>
      </c>
      <c r="B22" s="17" t="s">
        <v>205</v>
      </c>
      <c r="C22" s="17" t="s">
        <v>206</v>
      </c>
      <c r="D22" s="17" t="s">
        <v>207</v>
      </c>
      <c r="E22" s="17" t="s">
        <v>92</v>
      </c>
      <c r="F22" s="17" t="s">
        <v>208</v>
      </c>
      <c r="G22" s="17" t="s">
        <v>174</v>
      </c>
      <c r="H22" s="22"/>
      <c r="I22" s="22"/>
      <c r="J22" s="22" t="s">
        <v>209</v>
      </c>
      <c r="K22" s="23"/>
      <c r="L22" s="23"/>
      <c r="M22" s="23"/>
      <c r="N22" s="23"/>
      <c r="O22" s="23"/>
      <c r="P22" s="23" t="s">
        <v>87</v>
      </c>
      <c r="Q22" s="23"/>
      <c r="R22" s="30"/>
      <c r="S22" s="23" t="s">
        <v>88</v>
      </c>
      <c r="T22" s="23" t="s">
        <v>88</v>
      </c>
      <c r="U22" s="24" t="str">
        <f t="shared" si="0"/>
        <v>NO</v>
      </c>
      <c r="V22" s="10"/>
    </row>
  </sheetData>
  <mergeCells count="2">
    <mergeCell ref="A1:V1"/>
    <mergeCell ref="A2:V2"/>
  </mergeCells>
  <conditionalFormatting sqref="P5:P22">
    <cfRule type="containsText" dxfId="3" priority="1" operator="containsText" text="revisada"/>
  </conditionalFormatting>
  <conditionalFormatting sqref="S5:S22">
    <cfRule type="containsText" dxfId="2" priority="2" operator="containsText" text="falla"/>
  </conditionalFormatting>
  <conditionalFormatting sqref="U5:U22">
    <cfRule type="containsText" dxfId="1" priority="3" operator="containsText" text="SI"/>
  </conditionalFormatting>
  <dataValidations count="3">
    <dataValidation type="list" sqref="P5:P22" xr:uid="{00000000-0002-0000-0200-000000000000}">
      <formula1>"pendiente_revision,en_revision,revisada"</formula1>
    </dataValidation>
    <dataValidation type="list" sqref="S5:S22" xr:uid="{00000000-0002-0000-0200-000001000000}">
      <formula1>"pendiente,pasa,falla"</formula1>
    </dataValidation>
    <dataValidation type="list" sqref="T5:T22" xr:uid="{00000000-0002-0000-0200-000002000000}">
      <formula1>"pendiente,aprobada,rechazada"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showGridLines="0" tabSelected="1" workbookViewId="0">
      <selection sqref="A1:H1"/>
    </sheetView>
  </sheetViews>
  <sheetFormatPr baseColWidth="10" defaultColWidth="8.83203125" defaultRowHeight="14"/>
  <cols>
    <col min="1" max="1" width="24" customWidth="1"/>
    <col min="2" max="2" width="42" customWidth="1"/>
    <col min="3" max="3" width="52" customWidth="1"/>
    <col min="4" max="4" width="20" customWidth="1"/>
    <col min="5" max="5" width="38" customWidth="1"/>
    <col min="6" max="6" width="22" customWidth="1"/>
    <col min="7" max="7" width="16" customWidth="1"/>
    <col min="8" max="8" width="36" customWidth="1"/>
  </cols>
  <sheetData>
    <row r="1" spans="1:8" ht="30" customHeight="1">
      <c r="A1" s="31" t="s">
        <v>210</v>
      </c>
      <c r="B1" s="31"/>
      <c r="C1" s="31"/>
      <c r="D1" s="31"/>
      <c r="E1" s="31"/>
      <c r="F1" s="31"/>
      <c r="G1" s="31"/>
      <c r="H1" s="31"/>
    </row>
    <row r="2" spans="1:8" ht="34" customHeight="1">
      <c r="A2" s="32" t="s">
        <v>211</v>
      </c>
      <c r="B2" s="32"/>
      <c r="C2" s="32"/>
      <c r="D2" s="32"/>
      <c r="E2" s="32"/>
      <c r="F2" s="32"/>
      <c r="G2" s="32"/>
      <c r="H2" s="32"/>
    </row>
    <row r="4" spans="1:8">
      <c r="A4" s="1" t="s">
        <v>63</v>
      </c>
      <c r="B4" s="14" t="s">
        <v>212</v>
      </c>
      <c r="C4" s="14" t="s">
        <v>213</v>
      </c>
      <c r="D4" s="14" t="s">
        <v>214</v>
      </c>
      <c r="E4" s="14" t="s">
        <v>215</v>
      </c>
      <c r="F4" s="14" t="s">
        <v>216</v>
      </c>
      <c r="G4" s="14" t="s">
        <v>217</v>
      </c>
      <c r="H4" s="2" t="s">
        <v>218</v>
      </c>
    </row>
    <row r="5" spans="1:8" ht="55" customHeight="1">
      <c r="A5" s="5" t="s">
        <v>78</v>
      </c>
      <c r="B5" s="3" t="s">
        <v>79</v>
      </c>
      <c r="C5" s="3"/>
      <c r="D5" s="3"/>
      <c r="E5" s="3"/>
      <c r="F5" s="3"/>
      <c r="G5" s="3" t="s">
        <v>88</v>
      </c>
      <c r="H5" s="6"/>
    </row>
    <row r="6" spans="1:8" ht="55" customHeight="1">
      <c r="A6" s="7" t="s">
        <v>89</v>
      </c>
      <c r="B6" s="4" t="s">
        <v>90</v>
      </c>
      <c r="C6" s="4"/>
      <c r="D6" s="4"/>
      <c r="E6" s="4"/>
      <c r="F6" s="4"/>
      <c r="G6" s="4" t="s">
        <v>88</v>
      </c>
      <c r="H6" s="8"/>
    </row>
    <row r="7" spans="1:8" ht="55" customHeight="1">
      <c r="A7" s="7" t="s">
        <v>97</v>
      </c>
      <c r="B7" s="4" t="s">
        <v>98</v>
      </c>
      <c r="C7" s="4"/>
      <c r="D7" s="4"/>
      <c r="E7" s="4"/>
      <c r="F7" s="4"/>
      <c r="G7" s="4" t="s">
        <v>88</v>
      </c>
      <c r="H7" s="8"/>
    </row>
    <row r="8" spans="1:8" ht="55" customHeight="1">
      <c r="A8" s="7" t="s">
        <v>104</v>
      </c>
      <c r="B8" s="4" t="s">
        <v>105</v>
      </c>
      <c r="C8" s="4"/>
      <c r="D8" s="4"/>
      <c r="E8" s="4"/>
      <c r="F8" s="4"/>
      <c r="G8" s="4" t="s">
        <v>88</v>
      </c>
      <c r="H8" s="8"/>
    </row>
    <row r="9" spans="1:8" ht="55" customHeight="1">
      <c r="A9" s="7" t="s">
        <v>111</v>
      </c>
      <c r="B9" s="4" t="s">
        <v>112</v>
      </c>
      <c r="C9" s="4"/>
      <c r="D9" s="4"/>
      <c r="E9" s="4"/>
      <c r="F9" s="4"/>
      <c r="G9" s="4" t="s">
        <v>88</v>
      </c>
      <c r="H9" s="8"/>
    </row>
    <row r="10" spans="1:8" ht="55" customHeight="1">
      <c r="A10" s="7" t="s">
        <v>117</v>
      </c>
      <c r="B10" s="4" t="s">
        <v>118</v>
      </c>
      <c r="C10" s="4"/>
      <c r="D10" s="4"/>
      <c r="E10" s="4"/>
      <c r="F10" s="4"/>
      <c r="G10" s="4" t="s">
        <v>88</v>
      </c>
      <c r="H10" s="8"/>
    </row>
    <row r="11" spans="1:8" ht="55" customHeight="1">
      <c r="A11" s="7" t="s">
        <v>125</v>
      </c>
      <c r="B11" s="4" t="s">
        <v>126</v>
      </c>
      <c r="C11" s="4"/>
      <c r="D11" s="4"/>
      <c r="E11" s="4"/>
      <c r="F11" s="4"/>
      <c r="G11" s="4" t="s">
        <v>88</v>
      </c>
      <c r="H11" s="8"/>
    </row>
    <row r="12" spans="1:8" ht="55" customHeight="1">
      <c r="A12" s="7" t="s">
        <v>132</v>
      </c>
      <c r="B12" s="4" t="s">
        <v>133</v>
      </c>
      <c r="C12" s="4"/>
      <c r="D12" s="4"/>
      <c r="E12" s="4"/>
      <c r="F12" s="4"/>
      <c r="G12" s="4" t="s">
        <v>88</v>
      </c>
      <c r="H12" s="8"/>
    </row>
    <row r="13" spans="1:8" ht="55" customHeight="1">
      <c r="A13" s="7" t="s">
        <v>140</v>
      </c>
      <c r="B13" s="4" t="s">
        <v>141</v>
      </c>
      <c r="C13" s="4"/>
      <c r="D13" s="4"/>
      <c r="E13" s="4"/>
      <c r="F13" s="4"/>
      <c r="G13" s="4" t="s">
        <v>88</v>
      </c>
      <c r="H13" s="8"/>
    </row>
    <row r="14" spans="1:8" ht="55" customHeight="1">
      <c r="A14" s="7" t="s">
        <v>148</v>
      </c>
      <c r="B14" s="4" t="s">
        <v>149</v>
      </c>
      <c r="C14" s="4"/>
      <c r="D14" s="4"/>
      <c r="E14" s="4"/>
      <c r="F14" s="4"/>
      <c r="G14" s="4" t="s">
        <v>88</v>
      </c>
      <c r="H14" s="8"/>
    </row>
    <row r="15" spans="1:8" ht="55" customHeight="1">
      <c r="A15" s="7" t="s">
        <v>155</v>
      </c>
      <c r="B15" s="4" t="s">
        <v>156</v>
      </c>
      <c r="C15" s="4"/>
      <c r="D15" s="4"/>
      <c r="E15" s="4"/>
      <c r="F15" s="4"/>
      <c r="G15" s="4" t="s">
        <v>88</v>
      </c>
      <c r="H15" s="8"/>
    </row>
    <row r="16" spans="1:8" ht="55" customHeight="1">
      <c r="A16" s="7" t="s">
        <v>163</v>
      </c>
      <c r="B16" s="4" t="s">
        <v>164</v>
      </c>
      <c r="C16" s="4"/>
      <c r="D16" s="4"/>
      <c r="E16" s="4"/>
      <c r="F16" s="4"/>
      <c r="G16" s="4" t="s">
        <v>88</v>
      </c>
      <c r="H16" s="8"/>
    </row>
    <row r="17" spans="1:8" ht="55" customHeight="1">
      <c r="A17" s="7" t="s">
        <v>170</v>
      </c>
      <c r="B17" s="4" t="s">
        <v>171</v>
      </c>
      <c r="C17" s="4"/>
      <c r="D17" s="4"/>
      <c r="E17" s="4"/>
      <c r="F17" s="4"/>
      <c r="G17" s="4" t="s">
        <v>88</v>
      </c>
      <c r="H17" s="8"/>
    </row>
    <row r="18" spans="1:8" ht="55" customHeight="1">
      <c r="A18" s="7" t="s">
        <v>177</v>
      </c>
      <c r="B18" s="4" t="s">
        <v>178</v>
      </c>
      <c r="C18" s="4"/>
      <c r="D18" s="4"/>
      <c r="E18" s="4"/>
      <c r="F18" s="4"/>
      <c r="G18" s="4" t="s">
        <v>88</v>
      </c>
      <c r="H18" s="8"/>
    </row>
    <row r="19" spans="1:8" ht="55" customHeight="1">
      <c r="A19" s="7" t="s">
        <v>184</v>
      </c>
      <c r="B19" s="4" t="s">
        <v>185</v>
      </c>
      <c r="C19" s="4"/>
      <c r="D19" s="4"/>
      <c r="E19" s="4"/>
      <c r="F19" s="4"/>
      <c r="G19" s="4" t="s">
        <v>88</v>
      </c>
      <c r="H19" s="8"/>
    </row>
    <row r="20" spans="1:8" ht="55" customHeight="1">
      <c r="A20" s="7" t="s">
        <v>192</v>
      </c>
      <c r="B20" s="4" t="s">
        <v>193</v>
      </c>
      <c r="C20" s="4"/>
      <c r="D20" s="4"/>
      <c r="E20" s="4"/>
      <c r="F20" s="4"/>
      <c r="G20" s="4" t="s">
        <v>88</v>
      </c>
      <c r="H20" s="8"/>
    </row>
    <row r="21" spans="1:8" ht="55" customHeight="1">
      <c r="A21" s="7" t="s">
        <v>198</v>
      </c>
      <c r="B21" s="4" t="s">
        <v>199</v>
      </c>
      <c r="C21" s="4"/>
      <c r="D21" s="4"/>
      <c r="E21" s="4"/>
      <c r="F21" s="4"/>
      <c r="G21" s="4" t="s">
        <v>88</v>
      </c>
      <c r="H21" s="8"/>
    </row>
    <row r="22" spans="1:8" ht="55" customHeight="1">
      <c r="A22" s="9" t="s">
        <v>205</v>
      </c>
      <c r="B22" s="17" t="s">
        <v>206</v>
      </c>
      <c r="C22" s="17"/>
      <c r="D22" s="17"/>
      <c r="E22" s="17"/>
      <c r="F22" s="17"/>
      <c r="G22" s="17" t="s">
        <v>88</v>
      </c>
      <c r="H22" s="10"/>
    </row>
  </sheetData>
  <mergeCells count="2">
    <mergeCell ref="A1:H1"/>
    <mergeCell ref="A2:H2"/>
  </mergeCells>
  <conditionalFormatting sqref="G5:G22">
    <cfRule type="containsText" dxfId="0" priority="1" operator="containsText" text="verificada"/>
  </conditionalFormatting>
  <dataValidations count="1">
    <dataValidation type="list" sqref="G5:G22" xr:uid="{00000000-0002-0000-0300-000000000000}">
      <formula1>"pendiente,localizada,verificada,descartada"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Control T01-P1</vt:lpstr>
      <vt:lpstr>Protocolo</vt:lpstr>
      <vt:lpstr>Dictamen entradas</vt:lpstr>
      <vt:lpstr>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Rafael Almanza Hernandez</cp:lastModifiedBy>
  <dcterms:created xsi:type="dcterms:W3CDTF">2026-08-08T23:49:47Z</dcterms:created>
  <dcterms:modified xsi:type="dcterms:W3CDTF">2026-08-08T23:49:47Z</dcterms:modified>
</cp:coreProperties>
</file>