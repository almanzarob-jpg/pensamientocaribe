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obertoalmanza/Pagina/pensamiento-caribe/"/>
    </mc:Choice>
  </mc:AlternateContent>
  <xr:revisionPtr revIDLastSave="0" documentId="8_{614211A3-13AE-1B49-97EE-1377EA5A7CAD}" xr6:coauthVersionLast="47" xr6:coauthVersionMax="47" xr10:uidLastSave="{00000000-0000-0000-0000-000000000000}"/>
  <bookViews>
    <workbookView xWindow="0" yWindow="760" windowWidth="29400" windowHeight="17320" xr2:uid="{00000000-000D-0000-FFFF-FFFF00000000}"/>
  </bookViews>
  <sheets>
    <sheet name="Control 233" sheetId="1" r:id="rId1"/>
    <sheet name="Lotes" sheetId="2" r:id="rId2"/>
    <sheet name="Plan 233" sheetId="3" r:id="rId3"/>
    <sheet name="Plan relaciones" sheetId="4" r:id="rId4"/>
    <sheet name="Protocolo" sheetId="5" r:id="rId5"/>
    <sheet name="Reglas" sheetId="6" r:id="rId6"/>
    <sheet name="Piloto aprobado" sheetId="7" r:id="rId7"/>
    <sheet name="Corrientes" sheetId="8" r:id="rId8"/>
    <sheet name="Incidencias" sheetId="9" r:id="rId9"/>
    <sheet name="Rastro versiones" sheetId="10" r:id="rId10"/>
    <sheet name="T01 revisión" sheetId="11" r:id="rId11"/>
    <sheet name="Valores tr" sheetId="12" r:id="rId12"/>
    <sheet name="Nuevas 30" sheetId="13" r:id="rId13"/>
    <sheet name="Reglas T01" sheetId="14" r:id="rId14"/>
    <sheet name="Control T01" sheetId="15" r:id="rId15"/>
    <sheet name="Memoria operativa" sheetId="16" r:id="rId16"/>
    <sheet name="Protocolo IA" sheetId="17" r:id="rId17"/>
    <sheet name="Calibración 24" sheetId="18" r:id="rId18"/>
    <sheet name="Control IA" sheetId="19" r:id="rId19"/>
    <sheet name="Prompts IA" sheetId="20" r:id="rId20"/>
    <sheet name="Fuentes calibración"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21" l="1"/>
  <c r="B33" i="21"/>
  <c r="B32" i="21"/>
  <c r="B31" i="21"/>
  <c r="B34" i="21" s="1"/>
  <c r="AR241" i="19"/>
  <c r="AF241" i="19"/>
  <c r="AE241" i="19"/>
  <c r="AD241" i="19"/>
  <c r="AC241" i="19"/>
  <c r="G241" i="19"/>
  <c r="F241" i="19"/>
  <c r="E241" i="19"/>
  <c r="D241" i="19"/>
  <c r="C241" i="19"/>
  <c r="H241" i="19" s="1"/>
  <c r="B241" i="19"/>
  <c r="AR240" i="19"/>
  <c r="AF240" i="19"/>
  <c r="AE240" i="19"/>
  <c r="AD240" i="19"/>
  <c r="AC240" i="19"/>
  <c r="G240" i="19"/>
  <c r="F240" i="19"/>
  <c r="E240" i="19"/>
  <c r="D240" i="19"/>
  <c r="C240" i="19"/>
  <c r="H240" i="19" s="1"/>
  <c r="B240" i="19"/>
  <c r="AR239" i="19"/>
  <c r="AF239" i="19"/>
  <c r="AE239" i="19"/>
  <c r="AD239" i="19"/>
  <c r="AC239" i="19"/>
  <c r="G239" i="19"/>
  <c r="F239" i="19"/>
  <c r="E239" i="19"/>
  <c r="D239" i="19"/>
  <c r="C239" i="19"/>
  <c r="H239" i="19" s="1"/>
  <c r="B239" i="19"/>
  <c r="AR238" i="19"/>
  <c r="AF238" i="19"/>
  <c r="AE238" i="19"/>
  <c r="AD238" i="19"/>
  <c r="AC238" i="19"/>
  <c r="G238" i="19"/>
  <c r="F238" i="19"/>
  <c r="E238" i="19"/>
  <c r="D238" i="19"/>
  <c r="C238" i="19"/>
  <c r="H238" i="19" s="1"/>
  <c r="B238" i="19"/>
  <c r="AR237" i="19"/>
  <c r="AF237" i="19"/>
  <c r="AE237" i="19"/>
  <c r="AD237" i="19"/>
  <c r="AC237" i="19"/>
  <c r="G237" i="19"/>
  <c r="F237" i="19"/>
  <c r="E237" i="19"/>
  <c r="D237" i="19"/>
  <c r="C237" i="19"/>
  <c r="H237" i="19" s="1"/>
  <c r="B237" i="19"/>
  <c r="AR236" i="19"/>
  <c r="AF236" i="19"/>
  <c r="AE236" i="19"/>
  <c r="AD236" i="19"/>
  <c r="AC236" i="19"/>
  <c r="G236" i="19"/>
  <c r="F236" i="19"/>
  <c r="E236" i="19"/>
  <c r="D236" i="19"/>
  <c r="C236" i="19"/>
  <c r="H236" i="19" s="1"/>
  <c r="B236" i="19"/>
  <c r="AR235" i="19"/>
  <c r="AF235" i="19"/>
  <c r="AE235" i="19"/>
  <c r="AD235" i="19"/>
  <c r="AC235" i="19"/>
  <c r="G235" i="19"/>
  <c r="F235" i="19"/>
  <c r="E235" i="19"/>
  <c r="D235" i="19"/>
  <c r="C235" i="19"/>
  <c r="H235" i="19" s="1"/>
  <c r="B235" i="19"/>
  <c r="AR234" i="19"/>
  <c r="AF234" i="19"/>
  <c r="AE234" i="19"/>
  <c r="AD234" i="19"/>
  <c r="AC234" i="19"/>
  <c r="G234" i="19"/>
  <c r="F234" i="19"/>
  <c r="E234" i="19"/>
  <c r="D234" i="19"/>
  <c r="C234" i="19"/>
  <c r="H234" i="19" s="1"/>
  <c r="B234" i="19"/>
  <c r="AR233" i="19"/>
  <c r="AF233" i="19"/>
  <c r="AE233" i="19"/>
  <c r="AD233" i="19"/>
  <c r="AC233" i="19"/>
  <c r="G233" i="19"/>
  <c r="F233" i="19"/>
  <c r="E233" i="19"/>
  <c r="D233" i="19"/>
  <c r="C233" i="19"/>
  <c r="H233" i="19" s="1"/>
  <c r="B233" i="19"/>
  <c r="AR232" i="19"/>
  <c r="AF232" i="19"/>
  <c r="AE232" i="19"/>
  <c r="AD232" i="19"/>
  <c r="AC232" i="19"/>
  <c r="G232" i="19"/>
  <c r="F232" i="19"/>
  <c r="E232" i="19"/>
  <c r="D232" i="19"/>
  <c r="C232" i="19"/>
  <c r="H232" i="19" s="1"/>
  <c r="B232" i="19"/>
  <c r="AR231" i="19"/>
  <c r="AF231" i="19"/>
  <c r="AE231" i="19"/>
  <c r="AD231" i="19"/>
  <c r="AC231" i="19"/>
  <c r="G231" i="19"/>
  <c r="F231" i="19"/>
  <c r="E231" i="19"/>
  <c r="D231" i="19"/>
  <c r="C231" i="19"/>
  <c r="H231" i="19" s="1"/>
  <c r="B231" i="19"/>
  <c r="AR230" i="19"/>
  <c r="AF230" i="19"/>
  <c r="AE230" i="19"/>
  <c r="AD230" i="19"/>
  <c r="AC230" i="19"/>
  <c r="G230" i="19"/>
  <c r="F230" i="19"/>
  <c r="E230" i="19"/>
  <c r="D230" i="19"/>
  <c r="C230" i="19"/>
  <c r="H230" i="19" s="1"/>
  <c r="B230" i="19"/>
  <c r="AR229" i="19"/>
  <c r="AF229" i="19"/>
  <c r="AE229" i="19"/>
  <c r="AD229" i="19"/>
  <c r="AC229" i="19"/>
  <c r="G229" i="19"/>
  <c r="F229" i="19"/>
  <c r="E229" i="19"/>
  <c r="D229" i="19"/>
  <c r="C229" i="19"/>
  <c r="H229" i="19" s="1"/>
  <c r="B229" i="19"/>
  <c r="AR228" i="19"/>
  <c r="AF228" i="19"/>
  <c r="AE228" i="19"/>
  <c r="AD228" i="19"/>
  <c r="AC228" i="19"/>
  <c r="G228" i="19"/>
  <c r="F228" i="19"/>
  <c r="E228" i="19"/>
  <c r="D228" i="19"/>
  <c r="C228" i="19"/>
  <c r="H228" i="19" s="1"/>
  <c r="B228" i="19"/>
  <c r="AR227" i="19"/>
  <c r="AF227" i="19"/>
  <c r="AE227" i="19"/>
  <c r="AD227" i="19"/>
  <c r="AC227" i="19"/>
  <c r="G227" i="19"/>
  <c r="F227" i="19"/>
  <c r="E227" i="19"/>
  <c r="D227" i="19"/>
  <c r="C227" i="19"/>
  <c r="H227" i="19" s="1"/>
  <c r="B227" i="19"/>
  <c r="AR226" i="19"/>
  <c r="AF226" i="19"/>
  <c r="AE226" i="19"/>
  <c r="AD226" i="19"/>
  <c r="AC226" i="19"/>
  <c r="G226" i="19"/>
  <c r="F226" i="19"/>
  <c r="E226" i="19"/>
  <c r="D226" i="19"/>
  <c r="C226" i="19"/>
  <c r="H226" i="19" s="1"/>
  <c r="B226" i="19"/>
  <c r="AR225" i="19"/>
  <c r="AF225" i="19"/>
  <c r="AE225" i="19"/>
  <c r="AD225" i="19"/>
  <c r="AC225" i="19"/>
  <c r="G225" i="19"/>
  <c r="F225" i="19"/>
  <c r="E225" i="19"/>
  <c r="D225" i="19"/>
  <c r="C225" i="19"/>
  <c r="H225" i="19" s="1"/>
  <c r="B225" i="19"/>
  <c r="AR224" i="19"/>
  <c r="AF224" i="19"/>
  <c r="AE224" i="19"/>
  <c r="AD224" i="19"/>
  <c r="AC224" i="19"/>
  <c r="G224" i="19"/>
  <c r="F224" i="19"/>
  <c r="E224" i="19"/>
  <c r="D224" i="19"/>
  <c r="C224" i="19"/>
  <c r="H224" i="19" s="1"/>
  <c r="B224" i="19"/>
  <c r="AR223" i="19"/>
  <c r="AF223" i="19"/>
  <c r="AE223" i="19"/>
  <c r="AD223" i="19"/>
  <c r="AC223" i="19"/>
  <c r="G223" i="19"/>
  <c r="F223" i="19"/>
  <c r="E223" i="19"/>
  <c r="D223" i="19"/>
  <c r="C223" i="19"/>
  <c r="H223" i="19" s="1"/>
  <c r="B223" i="19"/>
  <c r="AR222" i="19"/>
  <c r="AF222" i="19"/>
  <c r="AE222" i="19"/>
  <c r="AD222" i="19"/>
  <c r="AC222" i="19"/>
  <c r="G222" i="19"/>
  <c r="F222" i="19"/>
  <c r="E222" i="19"/>
  <c r="D222" i="19"/>
  <c r="C222" i="19"/>
  <c r="H222" i="19" s="1"/>
  <c r="B222" i="19"/>
  <c r="AR221" i="19"/>
  <c r="AF221" i="19"/>
  <c r="AE221" i="19"/>
  <c r="AD221" i="19"/>
  <c r="AC221" i="19"/>
  <c r="G221" i="19"/>
  <c r="F221" i="19"/>
  <c r="E221" i="19"/>
  <c r="D221" i="19"/>
  <c r="C221" i="19"/>
  <c r="H221" i="19" s="1"/>
  <c r="B221" i="19"/>
  <c r="AR220" i="19"/>
  <c r="AF220" i="19"/>
  <c r="AE220" i="19"/>
  <c r="AD220" i="19"/>
  <c r="AC220" i="19"/>
  <c r="G220" i="19"/>
  <c r="F220" i="19"/>
  <c r="E220" i="19"/>
  <c r="D220" i="19"/>
  <c r="C220" i="19"/>
  <c r="H220" i="19" s="1"/>
  <c r="B220" i="19"/>
  <c r="AR219" i="19"/>
  <c r="AF219" i="19"/>
  <c r="AE219" i="19"/>
  <c r="AD219" i="19"/>
  <c r="AC219" i="19"/>
  <c r="G219" i="19"/>
  <c r="F219" i="19"/>
  <c r="E219" i="19"/>
  <c r="D219" i="19"/>
  <c r="C219" i="19"/>
  <c r="H219" i="19" s="1"/>
  <c r="B219" i="19"/>
  <c r="AR218" i="19"/>
  <c r="AF218" i="19"/>
  <c r="AE218" i="19"/>
  <c r="AD218" i="19"/>
  <c r="AC218" i="19"/>
  <c r="G218" i="19"/>
  <c r="F218" i="19"/>
  <c r="E218" i="19"/>
  <c r="D218" i="19"/>
  <c r="C218" i="19"/>
  <c r="H218" i="19" s="1"/>
  <c r="B218" i="19"/>
  <c r="AR217" i="19"/>
  <c r="AF217" i="19"/>
  <c r="AE217" i="19"/>
  <c r="AD217" i="19"/>
  <c r="AC217" i="19"/>
  <c r="G217" i="19"/>
  <c r="F217" i="19"/>
  <c r="E217" i="19"/>
  <c r="D217" i="19"/>
  <c r="C217" i="19"/>
  <c r="H217" i="19" s="1"/>
  <c r="B217" i="19"/>
  <c r="AR216" i="19"/>
  <c r="AF216" i="19"/>
  <c r="AE216" i="19"/>
  <c r="AD216" i="19"/>
  <c r="AC216" i="19"/>
  <c r="G216" i="19"/>
  <c r="F216" i="19"/>
  <c r="E216" i="19"/>
  <c r="D216" i="19"/>
  <c r="C216" i="19"/>
  <c r="H216" i="19" s="1"/>
  <c r="B216" i="19"/>
  <c r="AR215" i="19"/>
  <c r="AF215" i="19"/>
  <c r="AE215" i="19"/>
  <c r="AD215" i="19"/>
  <c r="AC215" i="19"/>
  <c r="G215" i="19"/>
  <c r="F215" i="19"/>
  <c r="E215" i="19"/>
  <c r="D215" i="19"/>
  <c r="C215" i="19"/>
  <c r="H215" i="19" s="1"/>
  <c r="B215" i="19"/>
  <c r="AR214" i="19"/>
  <c r="AF214" i="19"/>
  <c r="AE214" i="19"/>
  <c r="AD214" i="19"/>
  <c r="AC214" i="19"/>
  <c r="G214" i="19"/>
  <c r="F214" i="19"/>
  <c r="E214" i="19"/>
  <c r="D214" i="19"/>
  <c r="C214" i="19"/>
  <c r="H214" i="19" s="1"/>
  <c r="B214" i="19"/>
  <c r="AR213" i="19"/>
  <c r="AF213" i="19"/>
  <c r="AE213" i="19"/>
  <c r="AD213" i="19"/>
  <c r="AC213" i="19"/>
  <c r="G213" i="19"/>
  <c r="F213" i="19"/>
  <c r="E213" i="19"/>
  <c r="D213" i="19"/>
  <c r="C213" i="19"/>
  <c r="H213" i="19" s="1"/>
  <c r="B213" i="19"/>
  <c r="AR212" i="19"/>
  <c r="AF212" i="19"/>
  <c r="AE212" i="19"/>
  <c r="AD212" i="19"/>
  <c r="AC212" i="19"/>
  <c r="G212" i="19"/>
  <c r="F212" i="19"/>
  <c r="E212" i="19"/>
  <c r="D212" i="19"/>
  <c r="C212" i="19"/>
  <c r="H212" i="19" s="1"/>
  <c r="B212" i="19"/>
  <c r="AR211" i="19"/>
  <c r="AF211" i="19"/>
  <c r="AE211" i="19"/>
  <c r="AD211" i="19"/>
  <c r="AC211" i="19"/>
  <c r="G211" i="19"/>
  <c r="F211" i="19"/>
  <c r="E211" i="19"/>
  <c r="D211" i="19"/>
  <c r="C211" i="19"/>
  <c r="H211" i="19" s="1"/>
  <c r="B211" i="19"/>
  <c r="AR210" i="19"/>
  <c r="AF210" i="19"/>
  <c r="AE210" i="19"/>
  <c r="AD210" i="19"/>
  <c r="AC210" i="19"/>
  <c r="G210" i="19"/>
  <c r="F210" i="19"/>
  <c r="E210" i="19"/>
  <c r="D210" i="19"/>
  <c r="C210" i="19"/>
  <c r="H210" i="19" s="1"/>
  <c r="B210" i="19"/>
  <c r="AR209" i="19"/>
  <c r="AF209" i="19"/>
  <c r="AE209" i="19"/>
  <c r="AD209" i="19"/>
  <c r="AC209" i="19"/>
  <c r="G209" i="19"/>
  <c r="F209" i="19"/>
  <c r="E209" i="19"/>
  <c r="D209" i="19"/>
  <c r="C209" i="19"/>
  <c r="H209" i="19" s="1"/>
  <c r="B209" i="19"/>
  <c r="AR208" i="19"/>
  <c r="AF208" i="19"/>
  <c r="AE208" i="19"/>
  <c r="AD208" i="19"/>
  <c r="AC208" i="19"/>
  <c r="G208" i="19"/>
  <c r="F208" i="19"/>
  <c r="E208" i="19"/>
  <c r="D208" i="19"/>
  <c r="C208" i="19"/>
  <c r="H208" i="19" s="1"/>
  <c r="B208" i="19"/>
  <c r="AR207" i="19"/>
  <c r="AF207" i="19"/>
  <c r="AE207" i="19"/>
  <c r="AD207" i="19"/>
  <c r="AC207" i="19"/>
  <c r="G207" i="19"/>
  <c r="F207" i="19"/>
  <c r="E207" i="19"/>
  <c r="D207" i="19"/>
  <c r="C207" i="19"/>
  <c r="H207" i="19" s="1"/>
  <c r="B207" i="19"/>
  <c r="AR206" i="19"/>
  <c r="AF206" i="19"/>
  <c r="AE206" i="19"/>
  <c r="AD206" i="19"/>
  <c r="AC206" i="19"/>
  <c r="G206" i="19"/>
  <c r="F206" i="19"/>
  <c r="E206" i="19"/>
  <c r="D206" i="19"/>
  <c r="C206" i="19"/>
  <c r="H206" i="19" s="1"/>
  <c r="B206" i="19"/>
  <c r="AR205" i="19"/>
  <c r="AF205" i="19"/>
  <c r="AE205" i="19"/>
  <c r="AD205" i="19"/>
  <c r="AC205" i="19"/>
  <c r="G205" i="19"/>
  <c r="F205" i="19"/>
  <c r="E205" i="19"/>
  <c r="D205" i="19"/>
  <c r="C205" i="19"/>
  <c r="H205" i="19" s="1"/>
  <c r="B205" i="19"/>
  <c r="AR204" i="19"/>
  <c r="AF204" i="19"/>
  <c r="AE204" i="19"/>
  <c r="AD204" i="19"/>
  <c r="AC204" i="19"/>
  <c r="G204" i="19"/>
  <c r="F204" i="19"/>
  <c r="E204" i="19"/>
  <c r="D204" i="19"/>
  <c r="C204" i="19"/>
  <c r="H204" i="19" s="1"/>
  <c r="B204" i="19"/>
  <c r="AR203" i="19"/>
  <c r="AF203" i="19"/>
  <c r="AE203" i="19"/>
  <c r="AD203" i="19"/>
  <c r="AC203" i="19"/>
  <c r="G203" i="19"/>
  <c r="F203" i="19"/>
  <c r="E203" i="19"/>
  <c r="D203" i="19"/>
  <c r="C203" i="19"/>
  <c r="H203" i="19" s="1"/>
  <c r="B203" i="19"/>
  <c r="AR202" i="19"/>
  <c r="AF202" i="19"/>
  <c r="AE202" i="19"/>
  <c r="AD202" i="19"/>
  <c r="AC202" i="19"/>
  <c r="G202" i="19"/>
  <c r="F202" i="19"/>
  <c r="E202" i="19"/>
  <c r="D202" i="19"/>
  <c r="C202" i="19"/>
  <c r="H202" i="19" s="1"/>
  <c r="B202" i="19"/>
  <c r="AR201" i="19"/>
  <c r="AF201" i="19"/>
  <c r="AE201" i="19"/>
  <c r="AD201" i="19"/>
  <c r="AC201" i="19"/>
  <c r="G201" i="19"/>
  <c r="F201" i="19"/>
  <c r="E201" i="19"/>
  <c r="D201" i="19"/>
  <c r="C201" i="19"/>
  <c r="H201" i="19" s="1"/>
  <c r="B201" i="19"/>
  <c r="AR200" i="19"/>
  <c r="AF200" i="19"/>
  <c r="AE200" i="19"/>
  <c r="AD200" i="19"/>
  <c r="AC200" i="19"/>
  <c r="G200" i="19"/>
  <c r="F200" i="19"/>
  <c r="E200" i="19"/>
  <c r="D200" i="19"/>
  <c r="C200" i="19"/>
  <c r="H200" i="19" s="1"/>
  <c r="B200" i="19"/>
  <c r="AR199" i="19"/>
  <c r="AF199" i="19"/>
  <c r="AE199" i="19"/>
  <c r="AD199" i="19"/>
  <c r="AC199" i="19"/>
  <c r="G199" i="19"/>
  <c r="F199" i="19"/>
  <c r="E199" i="19"/>
  <c r="D199" i="19"/>
  <c r="C199" i="19"/>
  <c r="H199" i="19" s="1"/>
  <c r="B199" i="19"/>
  <c r="AR198" i="19"/>
  <c r="AF198" i="19"/>
  <c r="AE198" i="19"/>
  <c r="AD198" i="19"/>
  <c r="AC198" i="19"/>
  <c r="G198" i="19"/>
  <c r="F198" i="19"/>
  <c r="E198" i="19"/>
  <c r="D198" i="19"/>
  <c r="C198" i="19"/>
  <c r="H198" i="19" s="1"/>
  <c r="B198" i="19"/>
  <c r="AR197" i="19"/>
  <c r="AF197" i="19"/>
  <c r="AE197" i="19"/>
  <c r="AD197" i="19"/>
  <c r="AC197" i="19"/>
  <c r="G197" i="19"/>
  <c r="F197" i="19"/>
  <c r="E197" i="19"/>
  <c r="D197" i="19"/>
  <c r="C197" i="19"/>
  <c r="H197" i="19" s="1"/>
  <c r="B197" i="19"/>
  <c r="AR196" i="19"/>
  <c r="AF196" i="19"/>
  <c r="AE196" i="19"/>
  <c r="AD196" i="19"/>
  <c r="AC196" i="19"/>
  <c r="G196" i="19"/>
  <c r="F196" i="19"/>
  <c r="E196" i="19"/>
  <c r="D196" i="19"/>
  <c r="C196" i="19"/>
  <c r="H196" i="19" s="1"/>
  <c r="B196" i="19"/>
  <c r="AR195" i="19"/>
  <c r="AF195" i="19"/>
  <c r="AE195" i="19"/>
  <c r="AD195" i="19"/>
  <c r="AC195" i="19"/>
  <c r="G195" i="19"/>
  <c r="F195" i="19"/>
  <c r="E195" i="19"/>
  <c r="D195" i="19"/>
  <c r="C195" i="19"/>
  <c r="H195" i="19" s="1"/>
  <c r="B195" i="19"/>
  <c r="AR194" i="19"/>
  <c r="AF194" i="19"/>
  <c r="AE194" i="19"/>
  <c r="AD194" i="19"/>
  <c r="AC194" i="19"/>
  <c r="G194" i="19"/>
  <c r="F194" i="19"/>
  <c r="E194" i="19"/>
  <c r="D194" i="19"/>
  <c r="C194" i="19"/>
  <c r="H194" i="19" s="1"/>
  <c r="B194" i="19"/>
  <c r="AR193" i="19"/>
  <c r="AF193" i="19"/>
  <c r="AE193" i="19"/>
  <c r="AD193" i="19"/>
  <c r="AC193" i="19"/>
  <c r="G193" i="19"/>
  <c r="F193" i="19"/>
  <c r="E193" i="19"/>
  <c r="D193" i="19"/>
  <c r="C193" i="19"/>
  <c r="H193" i="19" s="1"/>
  <c r="B193" i="19"/>
  <c r="AR192" i="19"/>
  <c r="AF192" i="19"/>
  <c r="AE192" i="19"/>
  <c r="AD192" i="19"/>
  <c r="AC192" i="19"/>
  <c r="G192" i="19"/>
  <c r="F192" i="19"/>
  <c r="E192" i="19"/>
  <c r="D192" i="19"/>
  <c r="C192" i="19"/>
  <c r="H192" i="19" s="1"/>
  <c r="B192" i="19"/>
  <c r="AR191" i="19"/>
  <c r="AF191" i="19"/>
  <c r="AE191" i="19"/>
  <c r="AD191" i="19"/>
  <c r="AC191" i="19"/>
  <c r="G191" i="19"/>
  <c r="F191" i="19"/>
  <c r="E191" i="19"/>
  <c r="D191" i="19"/>
  <c r="C191" i="19"/>
  <c r="H191" i="19" s="1"/>
  <c r="B191" i="19"/>
  <c r="AR190" i="19"/>
  <c r="AF190" i="19"/>
  <c r="AE190" i="19"/>
  <c r="AD190" i="19"/>
  <c r="AC190" i="19"/>
  <c r="G190" i="19"/>
  <c r="F190" i="19"/>
  <c r="E190" i="19"/>
  <c r="D190" i="19"/>
  <c r="C190" i="19"/>
  <c r="H190" i="19" s="1"/>
  <c r="B190" i="19"/>
  <c r="AR189" i="19"/>
  <c r="AF189" i="19"/>
  <c r="AE189" i="19"/>
  <c r="AD189" i="19"/>
  <c r="AC189" i="19"/>
  <c r="G189" i="19"/>
  <c r="F189" i="19"/>
  <c r="E189" i="19"/>
  <c r="D189" i="19"/>
  <c r="C189" i="19"/>
  <c r="H189" i="19" s="1"/>
  <c r="B189" i="19"/>
  <c r="AR188" i="19"/>
  <c r="AF188" i="19"/>
  <c r="AE188" i="19"/>
  <c r="AD188" i="19"/>
  <c r="AC188" i="19"/>
  <c r="G188" i="19"/>
  <c r="F188" i="19"/>
  <c r="E188" i="19"/>
  <c r="D188" i="19"/>
  <c r="C188" i="19"/>
  <c r="H188" i="19" s="1"/>
  <c r="B188" i="19"/>
  <c r="AR187" i="19"/>
  <c r="AF187" i="19"/>
  <c r="AE187" i="19"/>
  <c r="AD187" i="19"/>
  <c r="AC187" i="19"/>
  <c r="G187" i="19"/>
  <c r="F187" i="19"/>
  <c r="E187" i="19"/>
  <c r="D187" i="19"/>
  <c r="C187" i="19"/>
  <c r="H187" i="19" s="1"/>
  <c r="B187" i="19"/>
  <c r="AR186" i="19"/>
  <c r="AF186" i="19"/>
  <c r="AE186" i="19"/>
  <c r="AD186" i="19"/>
  <c r="AC186" i="19"/>
  <c r="G186" i="19"/>
  <c r="F186" i="19"/>
  <c r="E186" i="19"/>
  <c r="D186" i="19"/>
  <c r="C186" i="19"/>
  <c r="H186" i="19" s="1"/>
  <c r="B186" i="19"/>
  <c r="AR185" i="19"/>
  <c r="AF185" i="19"/>
  <c r="AE185" i="19"/>
  <c r="AD185" i="19"/>
  <c r="AC185" i="19"/>
  <c r="G185" i="19"/>
  <c r="F185" i="19"/>
  <c r="E185" i="19"/>
  <c r="D185" i="19"/>
  <c r="C185" i="19"/>
  <c r="H185" i="19" s="1"/>
  <c r="B185" i="19"/>
  <c r="AR184" i="19"/>
  <c r="AF184" i="19"/>
  <c r="AE184" i="19"/>
  <c r="AD184" i="19"/>
  <c r="AC184" i="19"/>
  <c r="G184" i="19"/>
  <c r="F184" i="19"/>
  <c r="E184" i="19"/>
  <c r="D184" i="19"/>
  <c r="C184" i="19"/>
  <c r="H184" i="19" s="1"/>
  <c r="B184" i="19"/>
  <c r="AR183" i="19"/>
  <c r="AF183" i="19"/>
  <c r="AE183" i="19"/>
  <c r="AD183" i="19"/>
  <c r="AC183" i="19"/>
  <c r="G183" i="19"/>
  <c r="F183" i="19"/>
  <c r="E183" i="19"/>
  <c r="D183" i="19"/>
  <c r="C183" i="19"/>
  <c r="H183" i="19" s="1"/>
  <c r="B183" i="19"/>
  <c r="AR182" i="19"/>
  <c r="AF182" i="19"/>
  <c r="AE182" i="19"/>
  <c r="AD182" i="19"/>
  <c r="AC182" i="19"/>
  <c r="G182" i="19"/>
  <c r="F182" i="19"/>
  <c r="E182" i="19"/>
  <c r="D182" i="19"/>
  <c r="C182" i="19"/>
  <c r="H182" i="19" s="1"/>
  <c r="B182" i="19"/>
  <c r="AR181" i="19"/>
  <c r="AF181" i="19"/>
  <c r="AE181" i="19"/>
  <c r="AD181" i="19"/>
  <c r="AC181" i="19"/>
  <c r="G181" i="19"/>
  <c r="F181" i="19"/>
  <c r="E181" i="19"/>
  <c r="D181" i="19"/>
  <c r="C181" i="19"/>
  <c r="H181" i="19" s="1"/>
  <c r="B181" i="19"/>
  <c r="AR180" i="19"/>
  <c r="AF180" i="19"/>
  <c r="AE180" i="19"/>
  <c r="AD180" i="19"/>
  <c r="AC180" i="19"/>
  <c r="G180" i="19"/>
  <c r="F180" i="19"/>
  <c r="E180" i="19"/>
  <c r="D180" i="19"/>
  <c r="C180" i="19"/>
  <c r="H180" i="19" s="1"/>
  <c r="B180" i="19"/>
  <c r="AR179" i="19"/>
  <c r="AF179" i="19"/>
  <c r="AE179" i="19"/>
  <c r="AD179" i="19"/>
  <c r="AC179" i="19"/>
  <c r="G179" i="19"/>
  <c r="F179" i="19"/>
  <c r="E179" i="19"/>
  <c r="D179" i="19"/>
  <c r="C179" i="19"/>
  <c r="H179" i="19" s="1"/>
  <c r="B179" i="19"/>
  <c r="AR178" i="19"/>
  <c r="AF178" i="19"/>
  <c r="AE178" i="19"/>
  <c r="AD178" i="19"/>
  <c r="AC178" i="19"/>
  <c r="G178" i="19"/>
  <c r="F178" i="19"/>
  <c r="E178" i="19"/>
  <c r="D178" i="19"/>
  <c r="C178" i="19"/>
  <c r="H178" i="19" s="1"/>
  <c r="B178" i="19"/>
  <c r="AR177" i="19"/>
  <c r="AF177" i="19"/>
  <c r="AE177" i="19"/>
  <c r="AD177" i="19"/>
  <c r="AC177" i="19"/>
  <c r="G177" i="19"/>
  <c r="F177" i="19"/>
  <c r="E177" i="19"/>
  <c r="D177" i="19"/>
  <c r="C177" i="19"/>
  <c r="H177" i="19" s="1"/>
  <c r="B177" i="19"/>
  <c r="AR176" i="19"/>
  <c r="AF176" i="19"/>
  <c r="AE176" i="19"/>
  <c r="AD176" i="19"/>
  <c r="AC176" i="19"/>
  <c r="G176" i="19"/>
  <c r="F176" i="19"/>
  <c r="E176" i="19"/>
  <c r="D176" i="19"/>
  <c r="C176" i="19"/>
  <c r="H176" i="19" s="1"/>
  <c r="B176" i="19"/>
  <c r="AR175" i="19"/>
  <c r="AF175" i="19"/>
  <c r="AE175" i="19"/>
  <c r="AD175" i="19"/>
  <c r="AC175" i="19"/>
  <c r="G175" i="19"/>
  <c r="F175" i="19"/>
  <c r="E175" i="19"/>
  <c r="D175" i="19"/>
  <c r="C175" i="19"/>
  <c r="H175" i="19" s="1"/>
  <c r="B175" i="19"/>
  <c r="AR174" i="19"/>
  <c r="AF174" i="19"/>
  <c r="AE174" i="19"/>
  <c r="AD174" i="19"/>
  <c r="AC174" i="19"/>
  <c r="G174" i="19"/>
  <c r="F174" i="19"/>
  <c r="E174" i="19"/>
  <c r="D174" i="19"/>
  <c r="C174" i="19"/>
  <c r="H174" i="19" s="1"/>
  <c r="B174" i="19"/>
  <c r="AR173" i="19"/>
  <c r="AF173" i="19"/>
  <c r="AE173" i="19"/>
  <c r="AD173" i="19"/>
  <c r="AC173" i="19"/>
  <c r="G173" i="19"/>
  <c r="F173" i="19"/>
  <c r="E173" i="19"/>
  <c r="D173" i="19"/>
  <c r="C173" i="19"/>
  <c r="H173" i="19" s="1"/>
  <c r="B173" i="19"/>
  <c r="AR172" i="19"/>
  <c r="AF172" i="19"/>
  <c r="AE172" i="19"/>
  <c r="AD172" i="19"/>
  <c r="AC172" i="19"/>
  <c r="G172" i="19"/>
  <c r="F172" i="19"/>
  <c r="E172" i="19"/>
  <c r="D172" i="19"/>
  <c r="C172" i="19"/>
  <c r="H172" i="19" s="1"/>
  <c r="B172" i="19"/>
  <c r="AR171" i="19"/>
  <c r="AF171" i="19"/>
  <c r="AE171" i="19"/>
  <c r="AD171" i="19"/>
  <c r="AC171" i="19"/>
  <c r="G171" i="19"/>
  <c r="F171" i="19"/>
  <c r="E171" i="19"/>
  <c r="D171" i="19"/>
  <c r="C171" i="19"/>
  <c r="H171" i="19" s="1"/>
  <c r="B171" i="19"/>
  <c r="AR170" i="19"/>
  <c r="AF170" i="19"/>
  <c r="AE170" i="19"/>
  <c r="AD170" i="19"/>
  <c r="AC170" i="19"/>
  <c r="G170" i="19"/>
  <c r="F170" i="19"/>
  <c r="E170" i="19"/>
  <c r="D170" i="19"/>
  <c r="C170" i="19"/>
  <c r="H170" i="19" s="1"/>
  <c r="B170" i="19"/>
  <c r="AR169" i="19"/>
  <c r="AF169" i="19"/>
  <c r="AE169" i="19"/>
  <c r="AD169" i="19"/>
  <c r="AC169" i="19"/>
  <c r="G169" i="19"/>
  <c r="F169" i="19"/>
  <c r="E169" i="19"/>
  <c r="D169" i="19"/>
  <c r="C169" i="19"/>
  <c r="H169" i="19" s="1"/>
  <c r="B169" i="19"/>
  <c r="AR168" i="19"/>
  <c r="AF168" i="19"/>
  <c r="AE168" i="19"/>
  <c r="AD168" i="19"/>
  <c r="AC168" i="19"/>
  <c r="G168" i="19"/>
  <c r="F168" i="19"/>
  <c r="E168" i="19"/>
  <c r="D168" i="19"/>
  <c r="C168" i="19"/>
  <c r="H168" i="19" s="1"/>
  <c r="B168" i="19"/>
  <c r="AR167" i="19"/>
  <c r="AF167" i="19"/>
  <c r="AE167" i="19"/>
  <c r="AD167" i="19"/>
  <c r="AC167" i="19"/>
  <c r="G167" i="19"/>
  <c r="F167" i="19"/>
  <c r="E167" i="19"/>
  <c r="D167" i="19"/>
  <c r="C167" i="19"/>
  <c r="H167" i="19" s="1"/>
  <c r="B167" i="19"/>
  <c r="AR166" i="19"/>
  <c r="AF166" i="19"/>
  <c r="AE166" i="19"/>
  <c r="AD166" i="19"/>
  <c r="AC166" i="19"/>
  <c r="G166" i="19"/>
  <c r="F166" i="19"/>
  <c r="E166" i="19"/>
  <c r="D166" i="19"/>
  <c r="C166" i="19"/>
  <c r="H166" i="19" s="1"/>
  <c r="B166" i="19"/>
  <c r="AR165" i="19"/>
  <c r="AF165" i="19"/>
  <c r="AE165" i="19"/>
  <c r="AD165" i="19"/>
  <c r="AC165" i="19"/>
  <c r="G165" i="19"/>
  <c r="F165" i="19"/>
  <c r="E165" i="19"/>
  <c r="D165" i="19"/>
  <c r="C165" i="19"/>
  <c r="H165" i="19" s="1"/>
  <c r="B165" i="19"/>
  <c r="AR164" i="19"/>
  <c r="AF164" i="19"/>
  <c r="AE164" i="19"/>
  <c r="AD164" i="19"/>
  <c r="AC164" i="19"/>
  <c r="G164" i="19"/>
  <c r="F164" i="19"/>
  <c r="E164" i="19"/>
  <c r="D164" i="19"/>
  <c r="C164" i="19"/>
  <c r="H164" i="19" s="1"/>
  <c r="B164" i="19"/>
  <c r="AR163" i="19"/>
  <c r="AF163" i="19"/>
  <c r="AE163" i="19"/>
  <c r="AD163" i="19"/>
  <c r="AC163" i="19"/>
  <c r="G163" i="19"/>
  <c r="F163" i="19"/>
  <c r="E163" i="19"/>
  <c r="D163" i="19"/>
  <c r="C163" i="19"/>
  <c r="H163" i="19" s="1"/>
  <c r="B163" i="19"/>
  <c r="AR162" i="19"/>
  <c r="AF162" i="19"/>
  <c r="AE162" i="19"/>
  <c r="AD162" i="19"/>
  <c r="AC162" i="19"/>
  <c r="G162" i="19"/>
  <c r="F162" i="19"/>
  <c r="E162" i="19"/>
  <c r="D162" i="19"/>
  <c r="C162" i="19"/>
  <c r="H162" i="19" s="1"/>
  <c r="B162" i="19"/>
  <c r="AR161" i="19"/>
  <c r="AF161" i="19"/>
  <c r="AE161" i="19"/>
  <c r="AD161" i="19"/>
  <c r="AC161" i="19"/>
  <c r="G161" i="19"/>
  <c r="F161" i="19"/>
  <c r="E161" i="19"/>
  <c r="D161" i="19"/>
  <c r="C161" i="19"/>
  <c r="H161" i="19" s="1"/>
  <c r="B161" i="19"/>
  <c r="AR160" i="19"/>
  <c r="AF160" i="19"/>
  <c r="AE160" i="19"/>
  <c r="AD160" i="19"/>
  <c r="AC160" i="19"/>
  <c r="G160" i="19"/>
  <c r="F160" i="19"/>
  <c r="E160" i="19"/>
  <c r="D160" i="19"/>
  <c r="C160" i="19"/>
  <c r="H160" i="19" s="1"/>
  <c r="B160" i="19"/>
  <c r="AR159" i="19"/>
  <c r="AF159" i="19"/>
  <c r="AE159" i="19"/>
  <c r="AD159" i="19"/>
  <c r="AC159" i="19"/>
  <c r="G159" i="19"/>
  <c r="F159" i="19"/>
  <c r="E159" i="19"/>
  <c r="D159" i="19"/>
  <c r="C159" i="19"/>
  <c r="H159" i="19" s="1"/>
  <c r="B159" i="19"/>
  <c r="AR158" i="19"/>
  <c r="AF158" i="19"/>
  <c r="AE158" i="19"/>
  <c r="AD158" i="19"/>
  <c r="AC158" i="19"/>
  <c r="G158" i="19"/>
  <c r="F158" i="19"/>
  <c r="E158" i="19"/>
  <c r="D158" i="19"/>
  <c r="C158" i="19"/>
  <c r="H158" i="19" s="1"/>
  <c r="B158" i="19"/>
  <c r="AR157" i="19"/>
  <c r="AF157" i="19"/>
  <c r="AE157" i="19"/>
  <c r="AD157" i="19"/>
  <c r="AC157" i="19"/>
  <c r="G157" i="19"/>
  <c r="F157" i="19"/>
  <c r="E157" i="19"/>
  <c r="D157" i="19"/>
  <c r="C157" i="19"/>
  <c r="H157" i="19" s="1"/>
  <c r="B157" i="19"/>
  <c r="AR156" i="19"/>
  <c r="AF156" i="19"/>
  <c r="AE156" i="19"/>
  <c r="AD156" i="19"/>
  <c r="AC156" i="19"/>
  <c r="G156" i="19"/>
  <c r="F156" i="19"/>
  <c r="E156" i="19"/>
  <c r="D156" i="19"/>
  <c r="C156" i="19"/>
  <c r="H156" i="19" s="1"/>
  <c r="B156" i="19"/>
  <c r="AR155" i="19"/>
  <c r="AF155" i="19"/>
  <c r="AE155" i="19"/>
  <c r="AD155" i="19"/>
  <c r="AC155" i="19"/>
  <c r="G155" i="19"/>
  <c r="F155" i="19"/>
  <c r="E155" i="19"/>
  <c r="D155" i="19"/>
  <c r="C155" i="19"/>
  <c r="H155" i="19" s="1"/>
  <c r="B155" i="19"/>
  <c r="AR154" i="19"/>
  <c r="AF154" i="19"/>
  <c r="AE154" i="19"/>
  <c r="AD154" i="19"/>
  <c r="AC154" i="19"/>
  <c r="G154" i="19"/>
  <c r="F154" i="19"/>
  <c r="E154" i="19"/>
  <c r="D154" i="19"/>
  <c r="C154" i="19"/>
  <c r="H154" i="19" s="1"/>
  <c r="B154" i="19"/>
  <c r="AR153" i="19"/>
  <c r="AF153" i="19"/>
  <c r="AE153" i="19"/>
  <c r="AD153" i="19"/>
  <c r="AC153" i="19"/>
  <c r="G153" i="19"/>
  <c r="F153" i="19"/>
  <c r="E153" i="19"/>
  <c r="D153" i="19"/>
  <c r="C153" i="19"/>
  <c r="H153" i="19" s="1"/>
  <c r="B153" i="19"/>
  <c r="AR152" i="19"/>
  <c r="AF152" i="19"/>
  <c r="AE152" i="19"/>
  <c r="AD152" i="19"/>
  <c r="AC152" i="19"/>
  <c r="G152" i="19"/>
  <c r="F152" i="19"/>
  <c r="E152" i="19"/>
  <c r="D152" i="19"/>
  <c r="C152" i="19"/>
  <c r="H152" i="19" s="1"/>
  <c r="B152" i="19"/>
  <c r="AR151" i="19"/>
  <c r="AF151" i="19"/>
  <c r="AE151" i="19"/>
  <c r="AD151" i="19"/>
  <c r="AC151" i="19"/>
  <c r="G151" i="19"/>
  <c r="F151" i="19"/>
  <c r="E151" i="19"/>
  <c r="D151" i="19"/>
  <c r="C151" i="19"/>
  <c r="H151" i="19" s="1"/>
  <c r="B151" i="19"/>
  <c r="AR150" i="19"/>
  <c r="AF150" i="19"/>
  <c r="AE150" i="19"/>
  <c r="AD150" i="19"/>
  <c r="AC150" i="19"/>
  <c r="G150" i="19"/>
  <c r="F150" i="19"/>
  <c r="E150" i="19"/>
  <c r="D150" i="19"/>
  <c r="C150" i="19"/>
  <c r="H150" i="19" s="1"/>
  <c r="B150" i="19"/>
  <c r="AR149" i="19"/>
  <c r="AF149" i="19"/>
  <c r="AE149" i="19"/>
  <c r="AD149" i="19"/>
  <c r="AC149" i="19"/>
  <c r="G149" i="19"/>
  <c r="F149" i="19"/>
  <c r="E149" i="19"/>
  <c r="D149" i="19"/>
  <c r="C149" i="19"/>
  <c r="H149" i="19" s="1"/>
  <c r="B149" i="19"/>
  <c r="AR148" i="19"/>
  <c r="AF148" i="19"/>
  <c r="AE148" i="19"/>
  <c r="AD148" i="19"/>
  <c r="AC148" i="19"/>
  <c r="G148" i="19"/>
  <c r="F148" i="19"/>
  <c r="E148" i="19"/>
  <c r="D148" i="19"/>
  <c r="C148" i="19"/>
  <c r="H148" i="19" s="1"/>
  <c r="B148" i="19"/>
  <c r="AR147" i="19"/>
  <c r="AF147" i="19"/>
  <c r="AE147" i="19"/>
  <c r="AD147" i="19"/>
  <c r="AC147" i="19"/>
  <c r="G147" i="19"/>
  <c r="F147" i="19"/>
  <c r="E147" i="19"/>
  <c r="D147" i="19"/>
  <c r="C147" i="19"/>
  <c r="H147" i="19" s="1"/>
  <c r="B147" i="19"/>
  <c r="AR146" i="19"/>
  <c r="AF146" i="19"/>
  <c r="AE146" i="19"/>
  <c r="AD146" i="19"/>
  <c r="AC146" i="19"/>
  <c r="G146" i="19"/>
  <c r="F146" i="19"/>
  <c r="E146" i="19"/>
  <c r="D146" i="19"/>
  <c r="C146" i="19"/>
  <c r="H146" i="19" s="1"/>
  <c r="B146" i="19"/>
  <c r="AR145" i="19"/>
  <c r="AF145" i="19"/>
  <c r="AE145" i="19"/>
  <c r="AD145" i="19"/>
  <c r="AC145" i="19"/>
  <c r="G145" i="19"/>
  <c r="F145" i="19"/>
  <c r="E145" i="19"/>
  <c r="D145" i="19"/>
  <c r="C145" i="19"/>
  <c r="H145" i="19" s="1"/>
  <c r="B145" i="19"/>
  <c r="AR144" i="19"/>
  <c r="AF144" i="19"/>
  <c r="AE144" i="19"/>
  <c r="AD144" i="19"/>
  <c r="AC144" i="19"/>
  <c r="G144" i="19"/>
  <c r="F144" i="19"/>
  <c r="E144" i="19"/>
  <c r="D144" i="19"/>
  <c r="C144" i="19"/>
  <c r="H144" i="19" s="1"/>
  <c r="B144" i="19"/>
  <c r="AR143" i="19"/>
  <c r="AF143" i="19"/>
  <c r="AE143" i="19"/>
  <c r="AD143" i="19"/>
  <c r="AC143" i="19"/>
  <c r="G143" i="19"/>
  <c r="F143" i="19"/>
  <c r="E143" i="19"/>
  <c r="D143" i="19"/>
  <c r="C143" i="19"/>
  <c r="H143" i="19" s="1"/>
  <c r="B143" i="19"/>
  <c r="AR142" i="19"/>
  <c r="AF142" i="19"/>
  <c r="AE142" i="19"/>
  <c r="AD142" i="19"/>
  <c r="AC142" i="19"/>
  <c r="G142" i="19"/>
  <c r="F142" i="19"/>
  <c r="E142" i="19"/>
  <c r="D142" i="19"/>
  <c r="C142" i="19"/>
  <c r="H142" i="19" s="1"/>
  <c r="B142" i="19"/>
  <c r="AR141" i="19"/>
  <c r="AF141" i="19"/>
  <c r="AE141" i="19"/>
  <c r="AD141" i="19"/>
  <c r="AC141" i="19"/>
  <c r="G141" i="19"/>
  <c r="F141" i="19"/>
  <c r="E141" i="19"/>
  <c r="D141" i="19"/>
  <c r="C141" i="19"/>
  <c r="H141" i="19" s="1"/>
  <c r="B141" i="19"/>
  <c r="AR140" i="19"/>
  <c r="AF140" i="19"/>
  <c r="AE140" i="19"/>
  <c r="AD140" i="19"/>
  <c r="AC140" i="19"/>
  <c r="G140" i="19"/>
  <c r="F140" i="19"/>
  <c r="E140" i="19"/>
  <c r="D140" i="19"/>
  <c r="C140" i="19"/>
  <c r="H140" i="19" s="1"/>
  <c r="B140" i="19"/>
  <c r="AR139" i="19"/>
  <c r="AF139" i="19"/>
  <c r="AE139" i="19"/>
  <c r="AD139" i="19"/>
  <c r="AC139" i="19"/>
  <c r="G139" i="19"/>
  <c r="F139" i="19"/>
  <c r="E139" i="19"/>
  <c r="D139" i="19"/>
  <c r="C139" i="19"/>
  <c r="H139" i="19" s="1"/>
  <c r="B139" i="19"/>
  <c r="AR138" i="19"/>
  <c r="AF138" i="19"/>
  <c r="AE138" i="19"/>
  <c r="AD138" i="19"/>
  <c r="AC138" i="19"/>
  <c r="G138" i="19"/>
  <c r="F138" i="19"/>
  <c r="E138" i="19"/>
  <c r="D138" i="19"/>
  <c r="C138" i="19"/>
  <c r="H138" i="19" s="1"/>
  <c r="B138" i="19"/>
  <c r="AR137" i="19"/>
  <c r="AF137" i="19"/>
  <c r="AE137" i="19"/>
  <c r="AD137" i="19"/>
  <c r="AC137" i="19"/>
  <c r="G137" i="19"/>
  <c r="F137" i="19"/>
  <c r="E137" i="19"/>
  <c r="D137" i="19"/>
  <c r="C137" i="19"/>
  <c r="H137" i="19" s="1"/>
  <c r="B137" i="19"/>
  <c r="AR136" i="19"/>
  <c r="AF136" i="19"/>
  <c r="AE136" i="19"/>
  <c r="AD136" i="19"/>
  <c r="AC136" i="19"/>
  <c r="G136" i="19"/>
  <c r="F136" i="19"/>
  <c r="E136" i="19"/>
  <c r="D136" i="19"/>
  <c r="C136" i="19"/>
  <c r="H136" i="19" s="1"/>
  <c r="B136" i="19"/>
  <c r="AR135" i="19"/>
  <c r="AF135" i="19"/>
  <c r="AE135" i="19"/>
  <c r="AD135" i="19"/>
  <c r="AC135" i="19"/>
  <c r="G135" i="19"/>
  <c r="F135" i="19"/>
  <c r="E135" i="19"/>
  <c r="D135" i="19"/>
  <c r="C135" i="19"/>
  <c r="H135" i="19" s="1"/>
  <c r="B135" i="19"/>
  <c r="AR134" i="19"/>
  <c r="AF134" i="19"/>
  <c r="AE134" i="19"/>
  <c r="AD134" i="19"/>
  <c r="AC134" i="19"/>
  <c r="G134" i="19"/>
  <c r="F134" i="19"/>
  <c r="E134" i="19"/>
  <c r="D134" i="19"/>
  <c r="C134" i="19"/>
  <c r="H134" i="19" s="1"/>
  <c r="B134" i="19"/>
  <c r="AR133" i="19"/>
  <c r="AF133" i="19"/>
  <c r="AE133" i="19"/>
  <c r="AD133" i="19"/>
  <c r="AC133" i="19"/>
  <c r="G133" i="19"/>
  <c r="F133" i="19"/>
  <c r="E133" i="19"/>
  <c r="D133" i="19"/>
  <c r="C133" i="19"/>
  <c r="H133" i="19" s="1"/>
  <c r="B133" i="19"/>
  <c r="AR132" i="19"/>
  <c r="AF132" i="19"/>
  <c r="AE132" i="19"/>
  <c r="AD132" i="19"/>
  <c r="AC132" i="19"/>
  <c r="G132" i="19"/>
  <c r="F132" i="19"/>
  <c r="E132" i="19"/>
  <c r="D132" i="19"/>
  <c r="C132" i="19"/>
  <c r="H132" i="19" s="1"/>
  <c r="B132" i="19"/>
  <c r="AR131" i="19"/>
  <c r="AF131" i="19"/>
  <c r="AE131" i="19"/>
  <c r="AD131" i="19"/>
  <c r="AC131" i="19"/>
  <c r="G131" i="19"/>
  <c r="F131" i="19"/>
  <c r="E131" i="19"/>
  <c r="D131" i="19"/>
  <c r="C131" i="19"/>
  <c r="H131" i="19" s="1"/>
  <c r="B131" i="19"/>
  <c r="AR130" i="19"/>
  <c r="AF130" i="19"/>
  <c r="AE130" i="19"/>
  <c r="AD130" i="19"/>
  <c r="AC130" i="19"/>
  <c r="G130" i="19"/>
  <c r="F130" i="19"/>
  <c r="E130" i="19"/>
  <c r="D130" i="19"/>
  <c r="C130" i="19"/>
  <c r="H130" i="19" s="1"/>
  <c r="B130" i="19"/>
  <c r="AR129" i="19"/>
  <c r="AF129" i="19"/>
  <c r="AE129" i="19"/>
  <c r="AD129" i="19"/>
  <c r="AC129" i="19"/>
  <c r="G129" i="19"/>
  <c r="F129" i="19"/>
  <c r="E129" i="19"/>
  <c r="D129" i="19"/>
  <c r="C129" i="19"/>
  <c r="H129" i="19" s="1"/>
  <c r="B129" i="19"/>
  <c r="AR128" i="19"/>
  <c r="AF128" i="19"/>
  <c r="AE128" i="19"/>
  <c r="AD128" i="19"/>
  <c r="AC128" i="19"/>
  <c r="G128" i="19"/>
  <c r="F128" i="19"/>
  <c r="E128" i="19"/>
  <c r="D128" i="19"/>
  <c r="C128" i="19"/>
  <c r="H128" i="19" s="1"/>
  <c r="B128" i="19"/>
  <c r="AR127" i="19"/>
  <c r="AF127" i="19"/>
  <c r="AE127" i="19"/>
  <c r="AD127" i="19"/>
  <c r="AC127" i="19"/>
  <c r="G127" i="19"/>
  <c r="F127" i="19"/>
  <c r="E127" i="19"/>
  <c r="D127" i="19"/>
  <c r="C127" i="19"/>
  <c r="H127" i="19" s="1"/>
  <c r="B127" i="19"/>
  <c r="AR126" i="19"/>
  <c r="AF126" i="19"/>
  <c r="AE126" i="19"/>
  <c r="AD126" i="19"/>
  <c r="AC126" i="19"/>
  <c r="G126" i="19"/>
  <c r="F126" i="19"/>
  <c r="E126" i="19"/>
  <c r="D126" i="19"/>
  <c r="C126" i="19"/>
  <c r="H126" i="19" s="1"/>
  <c r="B126" i="19"/>
  <c r="AR125" i="19"/>
  <c r="AF125" i="19"/>
  <c r="AE125" i="19"/>
  <c r="AD125" i="19"/>
  <c r="AC125" i="19"/>
  <c r="H125" i="19"/>
  <c r="G125" i="19"/>
  <c r="F125" i="19"/>
  <c r="E125" i="19"/>
  <c r="D125" i="19"/>
  <c r="C125" i="19"/>
  <c r="B125" i="19"/>
  <c r="AR124" i="19"/>
  <c r="AF124" i="19"/>
  <c r="AE124" i="19"/>
  <c r="AD124" i="19"/>
  <c r="AC124" i="19"/>
  <c r="G124" i="19"/>
  <c r="F124" i="19"/>
  <c r="E124" i="19"/>
  <c r="D124" i="19"/>
  <c r="C124" i="19"/>
  <c r="H124" i="19" s="1"/>
  <c r="B124" i="19"/>
  <c r="AR123" i="19"/>
  <c r="AF123" i="19"/>
  <c r="AE123" i="19"/>
  <c r="AD123" i="19"/>
  <c r="AC123" i="19"/>
  <c r="G123" i="19"/>
  <c r="F123" i="19"/>
  <c r="E123" i="19"/>
  <c r="D123" i="19"/>
  <c r="C123" i="19"/>
  <c r="H123" i="19" s="1"/>
  <c r="B123" i="19"/>
  <c r="AR122" i="19"/>
  <c r="AF122" i="19"/>
  <c r="AE122" i="19"/>
  <c r="AD122" i="19"/>
  <c r="AC122" i="19"/>
  <c r="G122" i="19"/>
  <c r="F122" i="19"/>
  <c r="E122" i="19"/>
  <c r="D122" i="19"/>
  <c r="C122" i="19"/>
  <c r="H122" i="19" s="1"/>
  <c r="B122" i="19"/>
  <c r="AR121" i="19"/>
  <c r="AF121" i="19"/>
  <c r="AE121" i="19"/>
  <c r="AD121" i="19"/>
  <c r="AC121" i="19"/>
  <c r="G121" i="19"/>
  <c r="F121" i="19"/>
  <c r="E121" i="19"/>
  <c r="D121" i="19"/>
  <c r="C121" i="19"/>
  <c r="H121" i="19" s="1"/>
  <c r="B121" i="19"/>
  <c r="AR120" i="19"/>
  <c r="AF120" i="19"/>
  <c r="AE120" i="19"/>
  <c r="AD120" i="19"/>
  <c r="AC120" i="19"/>
  <c r="G120" i="19"/>
  <c r="F120" i="19"/>
  <c r="E120" i="19"/>
  <c r="D120" i="19"/>
  <c r="C120" i="19"/>
  <c r="H120" i="19" s="1"/>
  <c r="B120" i="19"/>
  <c r="AR119" i="19"/>
  <c r="AF119" i="19"/>
  <c r="AE119" i="19"/>
  <c r="AD119" i="19"/>
  <c r="AC119" i="19"/>
  <c r="G119" i="19"/>
  <c r="F119" i="19"/>
  <c r="E119" i="19"/>
  <c r="D119" i="19"/>
  <c r="C119" i="19"/>
  <c r="H119" i="19" s="1"/>
  <c r="B119" i="19"/>
  <c r="AR118" i="19"/>
  <c r="AF118" i="19"/>
  <c r="AE118" i="19"/>
  <c r="AD118" i="19"/>
  <c r="AC118" i="19"/>
  <c r="G118" i="19"/>
  <c r="F118" i="19"/>
  <c r="E118" i="19"/>
  <c r="D118" i="19"/>
  <c r="C118" i="19"/>
  <c r="H118" i="19" s="1"/>
  <c r="B118" i="19"/>
  <c r="AR117" i="19"/>
  <c r="AF117" i="19"/>
  <c r="AE117" i="19"/>
  <c r="AD117" i="19"/>
  <c r="AC117" i="19"/>
  <c r="G117" i="19"/>
  <c r="F117" i="19"/>
  <c r="E117" i="19"/>
  <c r="D117" i="19"/>
  <c r="C117" i="19"/>
  <c r="H117" i="19" s="1"/>
  <c r="B117" i="19"/>
  <c r="AR116" i="19"/>
  <c r="AF116" i="19"/>
  <c r="AE116" i="19"/>
  <c r="AD116" i="19"/>
  <c r="AC116" i="19"/>
  <c r="G116" i="19"/>
  <c r="F116" i="19"/>
  <c r="E116" i="19"/>
  <c r="D116" i="19"/>
  <c r="C116" i="19"/>
  <c r="H116" i="19" s="1"/>
  <c r="B116" i="19"/>
  <c r="AR115" i="19"/>
  <c r="AF115" i="19"/>
  <c r="AE115" i="19"/>
  <c r="AD115" i="19"/>
  <c r="AC115" i="19"/>
  <c r="G115" i="19"/>
  <c r="F115" i="19"/>
  <c r="E115" i="19"/>
  <c r="D115" i="19"/>
  <c r="C115" i="19"/>
  <c r="H115" i="19" s="1"/>
  <c r="B115" i="19"/>
  <c r="AR114" i="19"/>
  <c r="AF114" i="19"/>
  <c r="AE114" i="19"/>
  <c r="AD114" i="19"/>
  <c r="AC114" i="19"/>
  <c r="G114" i="19"/>
  <c r="F114" i="19"/>
  <c r="E114" i="19"/>
  <c r="D114" i="19"/>
  <c r="C114" i="19"/>
  <c r="H114" i="19" s="1"/>
  <c r="B114" i="19"/>
  <c r="AR113" i="19"/>
  <c r="AF113" i="19"/>
  <c r="AE113" i="19"/>
  <c r="AD113" i="19"/>
  <c r="AC113" i="19"/>
  <c r="G113" i="19"/>
  <c r="F113" i="19"/>
  <c r="E113" i="19"/>
  <c r="D113" i="19"/>
  <c r="C113" i="19"/>
  <c r="H113" i="19" s="1"/>
  <c r="B113" i="19"/>
  <c r="AR112" i="19"/>
  <c r="AF112" i="19"/>
  <c r="AE112" i="19"/>
  <c r="AD112" i="19"/>
  <c r="AC112" i="19"/>
  <c r="G112" i="19"/>
  <c r="F112" i="19"/>
  <c r="E112" i="19"/>
  <c r="D112" i="19"/>
  <c r="C112" i="19"/>
  <c r="H112" i="19" s="1"/>
  <c r="B112" i="19"/>
  <c r="AR111" i="19"/>
  <c r="AF111" i="19"/>
  <c r="AE111" i="19"/>
  <c r="AD111" i="19"/>
  <c r="AC111" i="19"/>
  <c r="G111" i="19"/>
  <c r="F111" i="19"/>
  <c r="E111" i="19"/>
  <c r="D111" i="19"/>
  <c r="C111" i="19"/>
  <c r="H111" i="19" s="1"/>
  <c r="B111" i="19"/>
  <c r="AR110" i="19"/>
  <c r="AF110" i="19"/>
  <c r="AE110" i="19"/>
  <c r="AD110" i="19"/>
  <c r="AC110" i="19"/>
  <c r="G110" i="19"/>
  <c r="F110" i="19"/>
  <c r="E110" i="19"/>
  <c r="D110" i="19"/>
  <c r="C110" i="19"/>
  <c r="H110" i="19" s="1"/>
  <c r="B110" i="19"/>
  <c r="AR109" i="19"/>
  <c r="AF109" i="19"/>
  <c r="AE109" i="19"/>
  <c r="AD109" i="19"/>
  <c r="AC109" i="19"/>
  <c r="G109" i="19"/>
  <c r="F109" i="19"/>
  <c r="E109" i="19"/>
  <c r="D109" i="19"/>
  <c r="C109" i="19"/>
  <c r="H109" i="19" s="1"/>
  <c r="B109" i="19"/>
  <c r="AR108" i="19"/>
  <c r="AF108" i="19"/>
  <c r="AE108" i="19"/>
  <c r="AD108" i="19"/>
  <c r="AC108" i="19"/>
  <c r="G108" i="19"/>
  <c r="F108" i="19"/>
  <c r="E108" i="19"/>
  <c r="D108" i="19"/>
  <c r="C108" i="19"/>
  <c r="H108" i="19" s="1"/>
  <c r="B108" i="19"/>
  <c r="AR107" i="19"/>
  <c r="AF107" i="19"/>
  <c r="AE107" i="19"/>
  <c r="AD107" i="19"/>
  <c r="AC107" i="19"/>
  <c r="G107" i="19"/>
  <c r="F107" i="19"/>
  <c r="E107" i="19"/>
  <c r="D107" i="19"/>
  <c r="C107" i="19"/>
  <c r="H107" i="19" s="1"/>
  <c r="B107" i="19"/>
  <c r="AR106" i="19"/>
  <c r="AF106" i="19"/>
  <c r="AE106" i="19"/>
  <c r="AD106" i="19"/>
  <c r="AC106" i="19"/>
  <c r="G106" i="19"/>
  <c r="F106" i="19"/>
  <c r="E106" i="19"/>
  <c r="D106" i="19"/>
  <c r="C106" i="19"/>
  <c r="H106" i="19" s="1"/>
  <c r="B106" i="19"/>
  <c r="AR105" i="19"/>
  <c r="AF105" i="19"/>
  <c r="AE105" i="19"/>
  <c r="AD105" i="19"/>
  <c r="AC105" i="19"/>
  <c r="G105" i="19"/>
  <c r="F105" i="19"/>
  <c r="E105" i="19"/>
  <c r="D105" i="19"/>
  <c r="C105" i="19"/>
  <c r="H105" i="19" s="1"/>
  <c r="B105" i="19"/>
  <c r="AR104" i="19"/>
  <c r="AF104" i="19"/>
  <c r="AE104" i="19"/>
  <c r="AD104" i="19"/>
  <c r="AC104" i="19"/>
  <c r="G104" i="19"/>
  <c r="F104" i="19"/>
  <c r="E104" i="19"/>
  <c r="D104" i="19"/>
  <c r="C104" i="19"/>
  <c r="H104" i="19" s="1"/>
  <c r="B104" i="19"/>
  <c r="AR103" i="19"/>
  <c r="AF103" i="19"/>
  <c r="AE103" i="19"/>
  <c r="AD103" i="19"/>
  <c r="AC103" i="19"/>
  <c r="G103" i="19"/>
  <c r="F103" i="19"/>
  <c r="E103" i="19"/>
  <c r="D103" i="19"/>
  <c r="C103" i="19"/>
  <c r="H103" i="19" s="1"/>
  <c r="B103" i="19"/>
  <c r="AR102" i="19"/>
  <c r="AF102" i="19"/>
  <c r="AE102" i="19"/>
  <c r="AD102" i="19"/>
  <c r="AC102" i="19"/>
  <c r="G102" i="19"/>
  <c r="F102" i="19"/>
  <c r="E102" i="19"/>
  <c r="D102" i="19"/>
  <c r="C102" i="19"/>
  <c r="H102" i="19" s="1"/>
  <c r="B102" i="19"/>
  <c r="AR101" i="19"/>
  <c r="AF101" i="19"/>
  <c r="AE101" i="19"/>
  <c r="AD101" i="19"/>
  <c r="AC101" i="19"/>
  <c r="G101" i="19"/>
  <c r="F101" i="19"/>
  <c r="E101" i="19"/>
  <c r="D101" i="19"/>
  <c r="C101" i="19"/>
  <c r="H101" i="19" s="1"/>
  <c r="B101" i="19"/>
  <c r="AR100" i="19"/>
  <c r="AF100" i="19"/>
  <c r="AE100" i="19"/>
  <c r="AD100" i="19"/>
  <c r="AC100" i="19"/>
  <c r="G100" i="19"/>
  <c r="F100" i="19"/>
  <c r="E100" i="19"/>
  <c r="D100" i="19"/>
  <c r="C100" i="19"/>
  <c r="H100" i="19" s="1"/>
  <c r="B100" i="19"/>
  <c r="AR99" i="19"/>
  <c r="AF99" i="19"/>
  <c r="AE99" i="19"/>
  <c r="AD99" i="19"/>
  <c r="AC99" i="19"/>
  <c r="G99" i="19"/>
  <c r="F99" i="19"/>
  <c r="E99" i="19"/>
  <c r="D99" i="19"/>
  <c r="C99" i="19"/>
  <c r="H99" i="19" s="1"/>
  <c r="B99" i="19"/>
  <c r="AR98" i="19"/>
  <c r="AF98" i="19"/>
  <c r="AE98" i="19"/>
  <c r="AD98" i="19"/>
  <c r="AC98" i="19"/>
  <c r="G98" i="19"/>
  <c r="F98" i="19"/>
  <c r="E98" i="19"/>
  <c r="D98" i="19"/>
  <c r="C98" i="19"/>
  <c r="H98" i="19" s="1"/>
  <c r="B98" i="19"/>
  <c r="AR97" i="19"/>
  <c r="AF97" i="19"/>
  <c r="AE97" i="19"/>
  <c r="AD97" i="19"/>
  <c r="AC97" i="19"/>
  <c r="G97" i="19"/>
  <c r="F97" i="19"/>
  <c r="E97" i="19"/>
  <c r="D97" i="19"/>
  <c r="C97" i="19"/>
  <c r="H97" i="19" s="1"/>
  <c r="B97" i="19"/>
  <c r="AR96" i="19"/>
  <c r="AF96" i="19"/>
  <c r="AE96" i="19"/>
  <c r="AD96" i="19"/>
  <c r="AC96" i="19"/>
  <c r="G96" i="19"/>
  <c r="F96" i="19"/>
  <c r="E96" i="19"/>
  <c r="D96" i="19"/>
  <c r="C96" i="19"/>
  <c r="H96" i="19" s="1"/>
  <c r="B96" i="19"/>
  <c r="AR95" i="19"/>
  <c r="AF95" i="19"/>
  <c r="AE95" i="19"/>
  <c r="AD95" i="19"/>
  <c r="AC95" i="19"/>
  <c r="G95" i="19"/>
  <c r="F95" i="19"/>
  <c r="E95" i="19"/>
  <c r="D95" i="19"/>
  <c r="C95" i="19"/>
  <c r="H95" i="19" s="1"/>
  <c r="B95" i="19"/>
  <c r="AR94" i="19"/>
  <c r="AF94" i="19"/>
  <c r="AE94" i="19"/>
  <c r="AD94" i="19"/>
  <c r="AC94" i="19"/>
  <c r="G94" i="19"/>
  <c r="F94" i="19"/>
  <c r="E94" i="19"/>
  <c r="D94" i="19"/>
  <c r="C94" i="19"/>
  <c r="H94" i="19" s="1"/>
  <c r="B94" i="19"/>
  <c r="AR93" i="19"/>
  <c r="AF93" i="19"/>
  <c r="AE93" i="19"/>
  <c r="AD93" i="19"/>
  <c r="AC93" i="19"/>
  <c r="G93" i="19"/>
  <c r="F93" i="19"/>
  <c r="E93" i="19"/>
  <c r="D93" i="19"/>
  <c r="C93" i="19"/>
  <c r="H93" i="19" s="1"/>
  <c r="B93" i="19"/>
  <c r="AR92" i="19"/>
  <c r="AF92" i="19"/>
  <c r="AE92" i="19"/>
  <c r="AD92" i="19"/>
  <c r="AC92" i="19"/>
  <c r="G92" i="19"/>
  <c r="F92" i="19"/>
  <c r="E92" i="19"/>
  <c r="D92" i="19"/>
  <c r="C92" i="19"/>
  <c r="H92" i="19" s="1"/>
  <c r="B92" i="19"/>
  <c r="AR91" i="19"/>
  <c r="AF91" i="19"/>
  <c r="AE91" i="19"/>
  <c r="AD91" i="19"/>
  <c r="AC91" i="19"/>
  <c r="G91" i="19"/>
  <c r="F91" i="19"/>
  <c r="E91" i="19"/>
  <c r="D91" i="19"/>
  <c r="C91" i="19"/>
  <c r="H91" i="19" s="1"/>
  <c r="B91" i="19"/>
  <c r="AR90" i="19"/>
  <c r="AF90" i="19"/>
  <c r="AE90" i="19"/>
  <c r="AD90" i="19"/>
  <c r="AC90" i="19"/>
  <c r="G90" i="19"/>
  <c r="F90" i="19"/>
  <c r="E90" i="19"/>
  <c r="D90" i="19"/>
  <c r="C90" i="19"/>
  <c r="H90" i="19" s="1"/>
  <c r="B90" i="19"/>
  <c r="AR89" i="19"/>
  <c r="AF89" i="19"/>
  <c r="AE89" i="19"/>
  <c r="AD89" i="19"/>
  <c r="AC89" i="19"/>
  <c r="G89" i="19"/>
  <c r="F89" i="19"/>
  <c r="E89" i="19"/>
  <c r="D89" i="19"/>
  <c r="C89" i="19"/>
  <c r="H89" i="19" s="1"/>
  <c r="B89" i="19"/>
  <c r="AR88" i="19"/>
  <c r="AF88" i="19"/>
  <c r="AE88" i="19"/>
  <c r="AD88" i="19"/>
  <c r="AC88" i="19"/>
  <c r="G88" i="19"/>
  <c r="F88" i="19"/>
  <c r="E88" i="19"/>
  <c r="D88" i="19"/>
  <c r="C88" i="19"/>
  <c r="H88" i="19" s="1"/>
  <c r="B88" i="19"/>
  <c r="AR87" i="19"/>
  <c r="AF87" i="19"/>
  <c r="AE87" i="19"/>
  <c r="AD87" i="19"/>
  <c r="AC87" i="19"/>
  <c r="G87" i="19"/>
  <c r="F87" i="19"/>
  <c r="E87" i="19"/>
  <c r="D87" i="19"/>
  <c r="C87" i="19"/>
  <c r="H87" i="19" s="1"/>
  <c r="B87" i="19"/>
  <c r="AR86" i="19"/>
  <c r="AF86" i="19"/>
  <c r="AE86" i="19"/>
  <c r="AD86" i="19"/>
  <c r="AC86" i="19"/>
  <c r="G86" i="19"/>
  <c r="F86" i="19"/>
  <c r="E86" i="19"/>
  <c r="D86" i="19"/>
  <c r="C86" i="19"/>
  <c r="H86" i="19" s="1"/>
  <c r="B86" i="19"/>
  <c r="AR85" i="19"/>
  <c r="AF85" i="19"/>
  <c r="AE85" i="19"/>
  <c r="AD85" i="19"/>
  <c r="AC85" i="19"/>
  <c r="G85" i="19"/>
  <c r="F85" i="19"/>
  <c r="E85" i="19"/>
  <c r="D85" i="19"/>
  <c r="C85" i="19"/>
  <c r="H85" i="19" s="1"/>
  <c r="B85" i="19"/>
  <c r="AR84" i="19"/>
  <c r="AF84" i="19"/>
  <c r="AE84" i="19"/>
  <c r="AD84" i="19"/>
  <c r="AC84" i="19"/>
  <c r="G84" i="19"/>
  <c r="F84" i="19"/>
  <c r="E84" i="19"/>
  <c r="D84" i="19"/>
  <c r="C84" i="19"/>
  <c r="H84" i="19" s="1"/>
  <c r="B84" i="19"/>
  <c r="AR83" i="19"/>
  <c r="AF83" i="19"/>
  <c r="AE83" i="19"/>
  <c r="AD83" i="19"/>
  <c r="AC83" i="19"/>
  <c r="G83" i="19"/>
  <c r="F83" i="19"/>
  <c r="E83" i="19"/>
  <c r="D83" i="19"/>
  <c r="C83" i="19"/>
  <c r="H83" i="19" s="1"/>
  <c r="B83" i="19"/>
  <c r="AR82" i="19"/>
  <c r="AF82" i="19"/>
  <c r="AE82" i="19"/>
  <c r="AD82" i="19"/>
  <c r="AC82" i="19"/>
  <c r="G82" i="19"/>
  <c r="F82" i="19"/>
  <c r="E82" i="19"/>
  <c r="D82" i="19"/>
  <c r="C82" i="19"/>
  <c r="H82" i="19" s="1"/>
  <c r="B82" i="19"/>
  <c r="AR81" i="19"/>
  <c r="AF81" i="19"/>
  <c r="AE81" i="19"/>
  <c r="AD81" i="19"/>
  <c r="AC81" i="19"/>
  <c r="G81" i="19"/>
  <c r="F81" i="19"/>
  <c r="E81" i="19"/>
  <c r="D81" i="19"/>
  <c r="C81" i="19"/>
  <c r="H81" i="19" s="1"/>
  <c r="B81" i="19"/>
  <c r="AR80" i="19"/>
  <c r="AF80" i="19"/>
  <c r="AE80" i="19"/>
  <c r="AD80" i="19"/>
  <c r="AC80" i="19"/>
  <c r="G80" i="19"/>
  <c r="F80" i="19"/>
  <c r="E80" i="19"/>
  <c r="D80" i="19"/>
  <c r="C80" i="19"/>
  <c r="H80" i="19" s="1"/>
  <c r="B80" i="19"/>
  <c r="AR79" i="19"/>
  <c r="AF79" i="19"/>
  <c r="AE79" i="19"/>
  <c r="AD79" i="19"/>
  <c r="AC79" i="19"/>
  <c r="G79" i="19"/>
  <c r="F79" i="19"/>
  <c r="E79" i="19"/>
  <c r="D79" i="19"/>
  <c r="C79" i="19"/>
  <c r="H79" i="19" s="1"/>
  <c r="B79" i="19"/>
  <c r="AR78" i="19"/>
  <c r="AF78" i="19"/>
  <c r="AE78" i="19"/>
  <c r="AD78" i="19"/>
  <c r="AC78" i="19"/>
  <c r="G78" i="19"/>
  <c r="F78" i="19"/>
  <c r="E78" i="19"/>
  <c r="D78" i="19"/>
  <c r="C78" i="19"/>
  <c r="H78" i="19" s="1"/>
  <c r="B78" i="19"/>
  <c r="AR77" i="19"/>
  <c r="AF77" i="19"/>
  <c r="AE77" i="19"/>
  <c r="AD77" i="19"/>
  <c r="AC77" i="19"/>
  <c r="G77" i="19"/>
  <c r="F77" i="19"/>
  <c r="E77" i="19"/>
  <c r="D77" i="19"/>
  <c r="C77" i="19"/>
  <c r="H77" i="19" s="1"/>
  <c r="B77" i="19"/>
  <c r="AR76" i="19"/>
  <c r="AF76" i="19"/>
  <c r="AE76" i="19"/>
  <c r="AD76" i="19"/>
  <c r="AC76" i="19"/>
  <c r="G76" i="19"/>
  <c r="F76" i="19"/>
  <c r="E76" i="19"/>
  <c r="D76" i="19"/>
  <c r="C76" i="19"/>
  <c r="H76" i="19" s="1"/>
  <c r="B76" i="19"/>
  <c r="AR75" i="19"/>
  <c r="AF75" i="19"/>
  <c r="AE75" i="19"/>
  <c r="AD75" i="19"/>
  <c r="AC75" i="19"/>
  <c r="G75" i="19"/>
  <c r="F75" i="19"/>
  <c r="E75" i="19"/>
  <c r="D75" i="19"/>
  <c r="C75" i="19"/>
  <c r="H75" i="19" s="1"/>
  <c r="B75" i="19"/>
  <c r="AR74" i="19"/>
  <c r="AF74" i="19"/>
  <c r="AE74" i="19"/>
  <c r="AD74" i="19"/>
  <c r="AC74" i="19"/>
  <c r="G74" i="19"/>
  <c r="F74" i="19"/>
  <c r="E74" i="19"/>
  <c r="D74" i="19"/>
  <c r="C74" i="19"/>
  <c r="H74" i="19" s="1"/>
  <c r="B74" i="19"/>
  <c r="AR73" i="19"/>
  <c r="AF73" i="19"/>
  <c r="AE73" i="19"/>
  <c r="AD73" i="19"/>
  <c r="AC73" i="19"/>
  <c r="G73" i="19"/>
  <c r="F73" i="19"/>
  <c r="E73" i="19"/>
  <c r="D73" i="19"/>
  <c r="C73" i="19"/>
  <c r="H73" i="19" s="1"/>
  <c r="B73" i="19"/>
  <c r="AR72" i="19"/>
  <c r="AF72" i="19"/>
  <c r="AE72" i="19"/>
  <c r="AD72" i="19"/>
  <c r="AC72" i="19"/>
  <c r="G72" i="19"/>
  <c r="F72" i="19"/>
  <c r="E72" i="19"/>
  <c r="D72" i="19"/>
  <c r="C72" i="19"/>
  <c r="H72" i="19" s="1"/>
  <c r="B72" i="19"/>
  <c r="AR71" i="19"/>
  <c r="AF71" i="19"/>
  <c r="AE71" i="19"/>
  <c r="AD71" i="19"/>
  <c r="AC71" i="19"/>
  <c r="G71" i="19"/>
  <c r="F71" i="19"/>
  <c r="E71" i="19"/>
  <c r="D71" i="19"/>
  <c r="C71" i="19"/>
  <c r="H71" i="19" s="1"/>
  <c r="B71" i="19"/>
  <c r="AR70" i="19"/>
  <c r="AF70" i="19"/>
  <c r="AE70" i="19"/>
  <c r="AD70" i="19"/>
  <c r="AC70" i="19"/>
  <c r="G70" i="19"/>
  <c r="F70" i="19"/>
  <c r="E70" i="19"/>
  <c r="D70" i="19"/>
  <c r="C70" i="19"/>
  <c r="H70" i="19" s="1"/>
  <c r="B70" i="19"/>
  <c r="AR69" i="19"/>
  <c r="AF69" i="19"/>
  <c r="AE69" i="19"/>
  <c r="AD69" i="19"/>
  <c r="AC69" i="19"/>
  <c r="G69" i="19"/>
  <c r="F69" i="19"/>
  <c r="E69" i="19"/>
  <c r="D69" i="19"/>
  <c r="C69" i="19"/>
  <c r="H69" i="19" s="1"/>
  <c r="B69" i="19"/>
  <c r="AR68" i="19"/>
  <c r="AF68" i="19"/>
  <c r="AE68" i="19"/>
  <c r="AD68" i="19"/>
  <c r="AC68" i="19"/>
  <c r="G68" i="19"/>
  <c r="F68" i="19"/>
  <c r="E68" i="19"/>
  <c r="D68" i="19"/>
  <c r="C68" i="19"/>
  <c r="H68" i="19" s="1"/>
  <c r="B68" i="19"/>
  <c r="AR67" i="19"/>
  <c r="AF67" i="19"/>
  <c r="AE67" i="19"/>
  <c r="AD67" i="19"/>
  <c r="AC67" i="19"/>
  <c r="G67" i="19"/>
  <c r="F67" i="19"/>
  <c r="E67" i="19"/>
  <c r="D67" i="19"/>
  <c r="C67" i="19"/>
  <c r="H67" i="19" s="1"/>
  <c r="B67" i="19"/>
  <c r="AR66" i="19"/>
  <c r="AF66" i="19"/>
  <c r="AE66" i="19"/>
  <c r="AD66" i="19"/>
  <c r="AC66" i="19"/>
  <c r="G66" i="19"/>
  <c r="F66" i="19"/>
  <c r="E66" i="19"/>
  <c r="D66" i="19"/>
  <c r="C66" i="19"/>
  <c r="H66" i="19" s="1"/>
  <c r="B66" i="19"/>
  <c r="AR65" i="19"/>
  <c r="AF65" i="19"/>
  <c r="AE65" i="19"/>
  <c r="AD65" i="19"/>
  <c r="AC65" i="19"/>
  <c r="G65" i="19"/>
  <c r="F65" i="19"/>
  <c r="E65" i="19"/>
  <c r="D65" i="19"/>
  <c r="C65" i="19"/>
  <c r="H65" i="19" s="1"/>
  <c r="B65" i="19"/>
  <c r="AR64" i="19"/>
  <c r="AF64" i="19"/>
  <c r="AE64" i="19"/>
  <c r="AD64" i="19"/>
  <c r="AC64" i="19"/>
  <c r="G64" i="19"/>
  <c r="F64" i="19"/>
  <c r="E64" i="19"/>
  <c r="D64" i="19"/>
  <c r="C64" i="19"/>
  <c r="H64" i="19" s="1"/>
  <c r="B64" i="19"/>
  <c r="AR63" i="19"/>
  <c r="AF63" i="19"/>
  <c r="AE63" i="19"/>
  <c r="AD63" i="19"/>
  <c r="AC63" i="19"/>
  <c r="G63" i="19"/>
  <c r="F63" i="19"/>
  <c r="E63" i="19"/>
  <c r="D63" i="19"/>
  <c r="C63" i="19"/>
  <c r="H63" i="19" s="1"/>
  <c r="B63" i="19"/>
  <c r="AR62" i="19"/>
  <c r="AF62" i="19"/>
  <c r="AE62" i="19"/>
  <c r="AD62" i="19"/>
  <c r="AC62" i="19"/>
  <c r="G62" i="19"/>
  <c r="F62" i="19"/>
  <c r="E62" i="19"/>
  <c r="D62" i="19"/>
  <c r="C62" i="19"/>
  <c r="H62" i="19" s="1"/>
  <c r="B62" i="19"/>
  <c r="AR61" i="19"/>
  <c r="AF61" i="19"/>
  <c r="AE61" i="19"/>
  <c r="AD61" i="19"/>
  <c r="AC61" i="19"/>
  <c r="G61" i="19"/>
  <c r="F61" i="19"/>
  <c r="E61" i="19"/>
  <c r="D61" i="19"/>
  <c r="C61" i="19"/>
  <c r="H61" i="19" s="1"/>
  <c r="B61" i="19"/>
  <c r="AR60" i="19"/>
  <c r="AF60" i="19"/>
  <c r="AE60" i="19"/>
  <c r="AD60" i="19"/>
  <c r="AC60" i="19"/>
  <c r="G60" i="19"/>
  <c r="F60" i="19"/>
  <c r="E60" i="19"/>
  <c r="D60" i="19"/>
  <c r="C60" i="19"/>
  <c r="H60" i="19" s="1"/>
  <c r="B60" i="19"/>
  <c r="AR59" i="19"/>
  <c r="AF59" i="19"/>
  <c r="AE59" i="19"/>
  <c r="AD59" i="19"/>
  <c r="AC59" i="19"/>
  <c r="G59" i="19"/>
  <c r="F59" i="19"/>
  <c r="E59" i="19"/>
  <c r="D59" i="19"/>
  <c r="C59" i="19"/>
  <c r="H59" i="19" s="1"/>
  <c r="B59" i="19"/>
  <c r="AR58" i="19"/>
  <c r="AF58" i="19"/>
  <c r="AE58" i="19"/>
  <c r="AD58" i="19"/>
  <c r="AC58" i="19"/>
  <c r="G58" i="19"/>
  <c r="F58" i="19"/>
  <c r="E58" i="19"/>
  <c r="D58" i="19"/>
  <c r="C58" i="19"/>
  <c r="H58" i="19" s="1"/>
  <c r="B58" i="19"/>
  <c r="AR57" i="19"/>
  <c r="AF57" i="19"/>
  <c r="AE57" i="19"/>
  <c r="AD57" i="19"/>
  <c r="AC57" i="19"/>
  <c r="G57" i="19"/>
  <c r="F57" i="19"/>
  <c r="E57" i="19"/>
  <c r="D57" i="19"/>
  <c r="C57" i="19"/>
  <c r="H57" i="19" s="1"/>
  <c r="B57" i="19"/>
  <c r="AR56" i="19"/>
  <c r="AF56" i="19"/>
  <c r="AE56" i="19"/>
  <c r="AD56" i="19"/>
  <c r="AC56" i="19"/>
  <c r="G56" i="19"/>
  <c r="F56" i="19"/>
  <c r="E56" i="19"/>
  <c r="D56" i="19"/>
  <c r="C56" i="19"/>
  <c r="H56" i="19" s="1"/>
  <c r="B56" i="19"/>
  <c r="AR55" i="19"/>
  <c r="AF55" i="19"/>
  <c r="AE55" i="19"/>
  <c r="AD55" i="19"/>
  <c r="AC55" i="19"/>
  <c r="G55" i="19"/>
  <c r="F55" i="19"/>
  <c r="E55" i="19"/>
  <c r="D55" i="19"/>
  <c r="C55" i="19"/>
  <c r="H55" i="19" s="1"/>
  <c r="B55" i="19"/>
  <c r="AR54" i="19"/>
  <c r="AF54" i="19"/>
  <c r="AE54" i="19"/>
  <c r="AD54" i="19"/>
  <c r="AC54" i="19"/>
  <c r="G54" i="19"/>
  <c r="F54" i="19"/>
  <c r="E54" i="19"/>
  <c r="D54" i="19"/>
  <c r="C54" i="19"/>
  <c r="H54" i="19" s="1"/>
  <c r="B54" i="19"/>
  <c r="AR53" i="19"/>
  <c r="AF53" i="19"/>
  <c r="AE53" i="19"/>
  <c r="AD53" i="19"/>
  <c r="AC53" i="19"/>
  <c r="G53" i="19"/>
  <c r="F53" i="19"/>
  <c r="E53" i="19"/>
  <c r="D53" i="19"/>
  <c r="C53" i="19"/>
  <c r="H53" i="19" s="1"/>
  <c r="B53" i="19"/>
  <c r="AR52" i="19"/>
  <c r="AF52" i="19"/>
  <c r="AE52" i="19"/>
  <c r="AD52" i="19"/>
  <c r="AC52" i="19"/>
  <c r="G52" i="19"/>
  <c r="F52" i="19"/>
  <c r="E52" i="19"/>
  <c r="D52" i="19"/>
  <c r="C52" i="19"/>
  <c r="H52" i="19" s="1"/>
  <c r="B52" i="19"/>
  <c r="AR51" i="19"/>
  <c r="AF51" i="19"/>
  <c r="AE51" i="19"/>
  <c r="AD51" i="19"/>
  <c r="AC51" i="19"/>
  <c r="G51" i="19"/>
  <c r="F51" i="19"/>
  <c r="E51" i="19"/>
  <c r="D51" i="19"/>
  <c r="C51" i="19"/>
  <c r="H51" i="19" s="1"/>
  <c r="B51" i="19"/>
  <c r="AR50" i="19"/>
  <c r="AF50" i="19"/>
  <c r="AE50" i="19"/>
  <c r="AD50" i="19"/>
  <c r="AC50" i="19"/>
  <c r="G50" i="19"/>
  <c r="F50" i="19"/>
  <c r="E50" i="19"/>
  <c r="D50" i="19"/>
  <c r="C50" i="19"/>
  <c r="H50" i="19" s="1"/>
  <c r="B50" i="19"/>
  <c r="AR49" i="19"/>
  <c r="AF49" i="19"/>
  <c r="AE49" i="19"/>
  <c r="AD49" i="19"/>
  <c r="AC49" i="19"/>
  <c r="G49" i="19"/>
  <c r="F49" i="19"/>
  <c r="E49" i="19"/>
  <c r="D49" i="19"/>
  <c r="C49" i="19"/>
  <c r="H49" i="19" s="1"/>
  <c r="B49" i="19"/>
  <c r="AR48" i="19"/>
  <c r="AF48" i="19"/>
  <c r="AE48" i="19"/>
  <c r="AD48" i="19"/>
  <c r="AC48" i="19"/>
  <c r="G48" i="19"/>
  <c r="F48" i="19"/>
  <c r="E48" i="19"/>
  <c r="D48" i="19"/>
  <c r="C48" i="19"/>
  <c r="H48" i="19" s="1"/>
  <c r="B48" i="19"/>
  <c r="AR47" i="19"/>
  <c r="AF47" i="19"/>
  <c r="AE47" i="19"/>
  <c r="AD47" i="19"/>
  <c r="AC47" i="19"/>
  <c r="G47" i="19"/>
  <c r="F47" i="19"/>
  <c r="E47" i="19"/>
  <c r="D47" i="19"/>
  <c r="C47" i="19"/>
  <c r="H47" i="19" s="1"/>
  <c r="B47" i="19"/>
  <c r="AR46" i="19"/>
  <c r="AF46" i="19"/>
  <c r="AE46" i="19"/>
  <c r="AD46" i="19"/>
  <c r="AC46" i="19"/>
  <c r="G46" i="19"/>
  <c r="F46" i="19"/>
  <c r="E46" i="19"/>
  <c r="D46" i="19"/>
  <c r="C46" i="19"/>
  <c r="H46" i="19" s="1"/>
  <c r="B46" i="19"/>
  <c r="AR45" i="19"/>
  <c r="AF45" i="19"/>
  <c r="AE45" i="19"/>
  <c r="AD45" i="19"/>
  <c r="AC45" i="19"/>
  <c r="G45" i="19"/>
  <c r="F45" i="19"/>
  <c r="E45" i="19"/>
  <c r="D45" i="19"/>
  <c r="C45" i="19"/>
  <c r="H45" i="19" s="1"/>
  <c r="B45" i="19"/>
  <c r="AR44" i="19"/>
  <c r="AF44" i="19"/>
  <c r="AE44" i="19"/>
  <c r="AD44" i="19"/>
  <c r="AC44" i="19"/>
  <c r="G44" i="19"/>
  <c r="F44" i="19"/>
  <c r="E44" i="19"/>
  <c r="D44" i="19"/>
  <c r="C44" i="19"/>
  <c r="H44" i="19" s="1"/>
  <c r="B44" i="19"/>
  <c r="AR43" i="19"/>
  <c r="AF43" i="19"/>
  <c r="AE43" i="19"/>
  <c r="AD43" i="19"/>
  <c r="AC43" i="19"/>
  <c r="G43" i="19"/>
  <c r="F43" i="19"/>
  <c r="E43" i="19"/>
  <c r="D43" i="19"/>
  <c r="C43" i="19"/>
  <c r="H43" i="19" s="1"/>
  <c r="B43" i="19"/>
  <c r="AR42" i="19"/>
  <c r="AF42" i="19"/>
  <c r="AE42" i="19"/>
  <c r="AD42" i="19"/>
  <c r="AC42" i="19"/>
  <c r="G42" i="19"/>
  <c r="F42" i="19"/>
  <c r="E42" i="19"/>
  <c r="D42" i="19"/>
  <c r="C42" i="19"/>
  <c r="H42" i="19" s="1"/>
  <c r="B42" i="19"/>
  <c r="AR41" i="19"/>
  <c r="AF41" i="19"/>
  <c r="AE41" i="19"/>
  <c r="AD41" i="19"/>
  <c r="AC41" i="19"/>
  <c r="G41" i="19"/>
  <c r="F41" i="19"/>
  <c r="E41" i="19"/>
  <c r="D41" i="19"/>
  <c r="C41" i="19"/>
  <c r="H41" i="19" s="1"/>
  <c r="B41" i="19"/>
  <c r="AR40" i="19"/>
  <c r="AF40" i="19"/>
  <c r="AE40" i="19"/>
  <c r="AD40" i="19"/>
  <c r="AC40" i="19"/>
  <c r="G40" i="19"/>
  <c r="F40" i="19"/>
  <c r="E40" i="19"/>
  <c r="D40" i="19"/>
  <c r="C40" i="19"/>
  <c r="H40" i="19" s="1"/>
  <c r="B40" i="19"/>
  <c r="AR39" i="19"/>
  <c r="AF39" i="19"/>
  <c r="AE39" i="19"/>
  <c r="AD39" i="19"/>
  <c r="AC39" i="19"/>
  <c r="G39" i="19"/>
  <c r="F39" i="19"/>
  <c r="E39" i="19"/>
  <c r="D39" i="19"/>
  <c r="C39" i="19"/>
  <c r="H39" i="19" s="1"/>
  <c r="B39" i="19"/>
  <c r="AR38" i="19"/>
  <c r="AF38" i="19"/>
  <c r="AE38" i="19"/>
  <c r="AD38" i="19"/>
  <c r="AC38" i="19"/>
  <c r="G38" i="19"/>
  <c r="F38" i="19"/>
  <c r="E38" i="19"/>
  <c r="D38" i="19"/>
  <c r="C38" i="19"/>
  <c r="H38" i="19" s="1"/>
  <c r="B38" i="19"/>
  <c r="AR37" i="19"/>
  <c r="AF37" i="19"/>
  <c r="AE37" i="19"/>
  <c r="AD37" i="19"/>
  <c r="AC37" i="19"/>
  <c r="G37" i="19"/>
  <c r="F37" i="19"/>
  <c r="E37" i="19"/>
  <c r="D37" i="19"/>
  <c r="C37" i="19"/>
  <c r="H37" i="19" s="1"/>
  <c r="B37" i="19"/>
  <c r="AR36" i="19"/>
  <c r="AF36" i="19"/>
  <c r="AE36" i="19"/>
  <c r="AD36" i="19"/>
  <c r="AC36" i="19"/>
  <c r="G36" i="19"/>
  <c r="F36" i="19"/>
  <c r="E36" i="19"/>
  <c r="D36" i="19"/>
  <c r="C36" i="19"/>
  <c r="H36" i="19" s="1"/>
  <c r="B36" i="19"/>
  <c r="AR35" i="19"/>
  <c r="AF35" i="19"/>
  <c r="AE35" i="19"/>
  <c r="AD35" i="19"/>
  <c r="AC35" i="19"/>
  <c r="G35" i="19"/>
  <c r="F35" i="19"/>
  <c r="E35" i="19"/>
  <c r="D35" i="19"/>
  <c r="C35" i="19"/>
  <c r="H35" i="19" s="1"/>
  <c r="B35" i="19"/>
  <c r="AR34" i="19"/>
  <c r="AF34" i="19"/>
  <c r="AE34" i="19"/>
  <c r="AD34" i="19"/>
  <c r="AC34" i="19"/>
  <c r="G34" i="19"/>
  <c r="F34" i="19"/>
  <c r="E34" i="19"/>
  <c r="D34" i="19"/>
  <c r="C34" i="19"/>
  <c r="H34" i="19" s="1"/>
  <c r="B34" i="19"/>
  <c r="AR33" i="19"/>
  <c r="AF33" i="19"/>
  <c r="AE33" i="19"/>
  <c r="AD33" i="19"/>
  <c r="AC33" i="19"/>
  <c r="G33" i="19"/>
  <c r="F33" i="19"/>
  <c r="E33" i="19"/>
  <c r="D33" i="19"/>
  <c r="C33" i="19"/>
  <c r="H33" i="19" s="1"/>
  <c r="B33" i="19"/>
  <c r="AR32" i="19"/>
  <c r="AF32" i="19"/>
  <c r="AE32" i="19"/>
  <c r="AD32" i="19"/>
  <c r="AC32" i="19"/>
  <c r="G32" i="19"/>
  <c r="F32" i="19"/>
  <c r="E32" i="19"/>
  <c r="D32" i="19"/>
  <c r="C32" i="19"/>
  <c r="H32" i="19" s="1"/>
  <c r="B32" i="19"/>
  <c r="AR31" i="19"/>
  <c r="AF31" i="19"/>
  <c r="AE31" i="19"/>
  <c r="AD31" i="19"/>
  <c r="AC31" i="19"/>
  <c r="G31" i="19"/>
  <c r="F31" i="19"/>
  <c r="E31" i="19"/>
  <c r="D31" i="19"/>
  <c r="C31" i="19"/>
  <c r="H31" i="19" s="1"/>
  <c r="B31" i="19"/>
  <c r="AR30" i="19"/>
  <c r="AF30" i="19"/>
  <c r="AE30" i="19"/>
  <c r="AD30" i="19"/>
  <c r="AC30" i="19"/>
  <c r="G30" i="19"/>
  <c r="F30" i="19"/>
  <c r="E30" i="19"/>
  <c r="D30" i="19"/>
  <c r="C30" i="19"/>
  <c r="H30" i="19" s="1"/>
  <c r="B30" i="19"/>
  <c r="AR29" i="19"/>
  <c r="AF29" i="19"/>
  <c r="AE29" i="19"/>
  <c r="AD29" i="19"/>
  <c r="AC29" i="19"/>
  <c r="G29" i="19"/>
  <c r="F29" i="19"/>
  <c r="E29" i="19"/>
  <c r="D29" i="19"/>
  <c r="C29" i="19"/>
  <c r="H29" i="19" s="1"/>
  <c r="B29" i="19"/>
  <c r="AR28" i="19"/>
  <c r="AF28" i="19"/>
  <c r="AE28" i="19"/>
  <c r="AD28" i="19"/>
  <c r="AC28" i="19"/>
  <c r="G28" i="19"/>
  <c r="F28" i="19"/>
  <c r="E28" i="19"/>
  <c r="D28" i="19"/>
  <c r="C28" i="19"/>
  <c r="H28" i="19" s="1"/>
  <c r="B28" i="19"/>
  <c r="AR27" i="19"/>
  <c r="AF27" i="19"/>
  <c r="AE27" i="19"/>
  <c r="AD27" i="19"/>
  <c r="AC27" i="19"/>
  <c r="G27" i="19"/>
  <c r="F27" i="19"/>
  <c r="E27" i="19"/>
  <c r="D27" i="19"/>
  <c r="C27" i="19"/>
  <c r="H27" i="19" s="1"/>
  <c r="B27" i="19"/>
  <c r="AR26" i="19"/>
  <c r="AF26" i="19"/>
  <c r="AE26" i="19"/>
  <c r="AD26" i="19"/>
  <c r="AC26" i="19"/>
  <c r="G26" i="19"/>
  <c r="F26" i="19"/>
  <c r="E26" i="19"/>
  <c r="D26" i="19"/>
  <c r="C26" i="19"/>
  <c r="H26" i="19" s="1"/>
  <c r="B26" i="19"/>
  <c r="AR25" i="19"/>
  <c r="AF25" i="19"/>
  <c r="AE25" i="19"/>
  <c r="AD25" i="19"/>
  <c r="AC25" i="19"/>
  <c r="G25" i="19"/>
  <c r="F25" i="19"/>
  <c r="E25" i="19"/>
  <c r="D25" i="19"/>
  <c r="C25" i="19"/>
  <c r="H25" i="19" s="1"/>
  <c r="B25" i="19"/>
  <c r="AR24" i="19"/>
  <c r="AF24" i="19"/>
  <c r="AE24" i="19"/>
  <c r="AD24" i="19"/>
  <c r="AC24" i="19"/>
  <c r="G24" i="19"/>
  <c r="F24" i="19"/>
  <c r="E24" i="19"/>
  <c r="D24" i="19"/>
  <c r="C24" i="19"/>
  <c r="H24" i="19" s="1"/>
  <c r="B24" i="19"/>
  <c r="AR23" i="19"/>
  <c r="AF23" i="19"/>
  <c r="AE23" i="19"/>
  <c r="AD23" i="19"/>
  <c r="AC23" i="19"/>
  <c r="G23" i="19"/>
  <c r="F23" i="19"/>
  <c r="E23" i="19"/>
  <c r="D23" i="19"/>
  <c r="C23" i="19"/>
  <c r="H23" i="19" s="1"/>
  <c r="B23" i="19"/>
  <c r="AR22" i="19"/>
  <c r="AF22" i="19"/>
  <c r="AE22" i="19"/>
  <c r="AD22" i="19"/>
  <c r="AC22" i="19"/>
  <c r="G22" i="19"/>
  <c r="F22" i="19"/>
  <c r="E22" i="19"/>
  <c r="D22" i="19"/>
  <c r="C22" i="19"/>
  <c r="H22" i="19" s="1"/>
  <c r="B22" i="19"/>
  <c r="AR21" i="19"/>
  <c r="AF21" i="19"/>
  <c r="AE21" i="19"/>
  <c r="AD21" i="19"/>
  <c r="AC21" i="19"/>
  <c r="G21" i="19"/>
  <c r="F21" i="19"/>
  <c r="E21" i="19"/>
  <c r="D21" i="19"/>
  <c r="C21" i="19"/>
  <c r="H21" i="19" s="1"/>
  <c r="B21" i="19"/>
  <c r="AR20" i="19"/>
  <c r="AF20" i="19"/>
  <c r="AE20" i="19"/>
  <c r="AD20" i="19"/>
  <c r="AC20" i="19"/>
  <c r="G20" i="19"/>
  <c r="F20" i="19"/>
  <c r="E20" i="19"/>
  <c r="D20" i="19"/>
  <c r="C20" i="19"/>
  <c r="H20" i="19" s="1"/>
  <c r="B20" i="19"/>
  <c r="AR19" i="19"/>
  <c r="AF19" i="19"/>
  <c r="AE19" i="19"/>
  <c r="AD19" i="19"/>
  <c r="AC19" i="19"/>
  <c r="G19" i="19"/>
  <c r="F19" i="19"/>
  <c r="E19" i="19"/>
  <c r="D19" i="19"/>
  <c r="C19" i="19"/>
  <c r="H19" i="19" s="1"/>
  <c r="B19" i="19"/>
  <c r="AR18" i="19"/>
  <c r="AF18" i="19"/>
  <c r="AE18" i="19"/>
  <c r="AD18" i="19"/>
  <c r="AC18" i="19"/>
  <c r="G18" i="19"/>
  <c r="F18" i="19"/>
  <c r="E18" i="19"/>
  <c r="D18" i="19"/>
  <c r="C18" i="19"/>
  <c r="H18" i="19" s="1"/>
  <c r="B18" i="19"/>
  <c r="AR17" i="19"/>
  <c r="AF17" i="19"/>
  <c r="AE17" i="19"/>
  <c r="AD17" i="19"/>
  <c r="AC17" i="19"/>
  <c r="G17" i="19"/>
  <c r="F17" i="19"/>
  <c r="E17" i="19"/>
  <c r="D17" i="19"/>
  <c r="C17" i="19"/>
  <c r="H17" i="19" s="1"/>
  <c r="B17" i="19"/>
  <c r="AR16" i="19"/>
  <c r="AF16" i="19"/>
  <c r="AE16" i="19"/>
  <c r="AD16" i="19"/>
  <c r="AC16" i="19"/>
  <c r="G16" i="19"/>
  <c r="F16" i="19"/>
  <c r="E16" i="19"/>
  <c r="D16" i="19"/>
  <c r="C16" i="19"/>
  <c r="H16" i="19" s="1"/>
  <c r="B16" i="19"/>
  <c r="AR15" i="19"/>
  <c r="AF15" i="19"/>
  <c r="AE15" i="19"/>
  <c r="AD15" i="19"/>
  <c r="AC15" i="19"/>
  <c r="G15" i="19"/>
  <c r="F15" i="19"/>
  <c r="E15" i="19"/>
  <c r="D15" i="19"/>
  <c r="C15" i="19"/>
  <c r="H15" i="19" s="1"/>
  <c r="B15" i="19"/>
  <c r="AR14" i="19"/>
  <c r="AF14" i="19"/>
  <c r="AE14" i="19"/>
  <c r="AD14" i="19"/>
  <c r="AC14" i="19"/>
  <c r="G14" i="19"/>
  <c r="F14" i="19"/>
  <c r="E14" i="19"/>
  <c r="D14" i="19"/>
  <c r="C14" i="19"/>
  <c r="H14" i="19" s="1"/>
  <c r="B14" i="19"/>
  <c r="AR13" i="19"/>
  <c r="AF13" i="19"/>
  <c r="AE13" i="19"/>
  <c r="AD13" i="19"/>
  <c r="AC13" i="19"/>
  <c r="G13" i="19"/>
  <c r="F13" i="19"/>
  <c r="E13" i="19"/>
  <c r="D13" i="19"/>
  <c r="C13" i="19"/>
  <c r="H13" i="19" s="1"/>
  <c r="B13" i="19"/>
  <c r="AR12" i="19"/>
  <c r="AF12" i="19"/>
  <c r="AE12" i="19"/>
  <c r="AD12" i="19"/>
  <c r="AC12" i="19"/>
  <c r="G12" i="19"/>
  <c r="F12" i="19"/>
  <c r="E12" i="19"/>
  <c r="D12" i="19"/>
  <c r="C12" i="19"/>
  <c r="H12" i="19" s="1"/>
  <c r="B12" i="19"/>
  <c r="AR11" i="19"/>
  <c r="AF11" i="19"/>
  <c r="AE11" i="19"/>
  <c r="AD11" i="19"/>
  <c r="AC11" i="19"/>
  <c r="G11" i="19"/>
  <c r="F11" i="19"/>
  <c r="E11" i="19"/>
  <c r="D11" i="19"/>
  <c r="C11" i="19"/>
  <c r="H11" i="19" s="1"/>
  <c r="B11" i="19"/>
  <c r="AR10" i="19"/>
  <c r="AF10" i="19"/>
  <c r="AE10" i="19"/>
  <c r="AD10" i="19"/>
  <c r="AC10" i="19"/>
  <c r="G10" i="19"/>
  <c r="F10" i="19"/>
  <c r="E10" i="19"/>
  <c r="D10" i="19"/>
  <c r="C10" i="19"/>
  <c r="H10" i="19" s="1"/>
  <c r="B10" i="19"/>
  <c r="AR9" i="19"/>
  <c r="AF9" i="19"/>
  <c r="AE9" i="19"/>
  <c r="AD9" i="19"/>
  <c r="AC9" i="19"/>
  <c r="G9" i="19"/>
  <c r="F9" i="19"/>
  <c r="E9" i="19"/>
  <c r="D9" i="19"/>
  <c r="C9" i="19"/>
  <c r="H9" i="19" s="1"/>
  <c r="B9" i="19"/>
  <c r="N4" i="19"/>
  <c r="B4" i="19"/>
  <c r="B11" i="15"/>
  <c r="B10" i="15"/>
  <c r="B9" i="15"/>
  <c r="B8" i="15"/>
  <c r="B7" i="15"/>
  <c r="B6" i="15"/>
  <c r="B5" i="15"/>
  <c r="U592" i="4"/>
  <c r="U591" i="4"/>
  <c r="U590" i="4"/>
  <c r="U589" i="4"/>
  <c r="U588" i="4"/>
  <c r="U587" i="4"/>
  <c r="U586" i="4"/>
  <c r="U585" i="4"/>
  <c r="U584" i="4"/>
  <c r="U583" i="4"/>
  <c r="U582" i="4"/>
  <c r="U581" i="4"/>
  <c r="U580" i="4"/>
  <c r="U579" i="4"/>
  <c r="U578" i="4"/>
  <c r="U577" i="4"/>
  <c r="U576" i="4"/>
  <c r="U575" i="4"/>
  <c r="U574" i="4"/>
  <c r="U573" i="4"/>
  <c r="U572" i="4"/>
  <c r="U571" i="4"/>
  <c r="U570" i="4"/>
  <c r="U569" i="4"/>
  <c r="U568" i="4"/>
  <c r="U567" i="4"/>
  <c r="U566" i="4"/>
  <c r="U565" i="4"/>
  <c r="U564" i="4"/>
  <c r="U563" i="4"/>
  <c r="U562" i="4"/>
  <c r="U561" i="4"/>
  <c r="U560" i="4"/>
  <c r="U559" i="4"/>
  <c r="U558" i="4"/>
  <c r="U557" i="4"/>
  <c r="U556" i="4"/>
  <c r="U555" i="4"/>
  <c r="U554" i="4"/>
  <c r="U553" i="4"/>
  <c r="U552" i="4"/>
  <c r="U551" i="4"/>
  <c r="U550" i="4"/>
  <c r="U549" i="4"/>
  <c r="U548" i="4"/>
  <c r="U547" i="4"/>
  <c r="U546" i="4"/>
  <c r="U545" i="4"/>
  <c r="U544" i="4"/>
  <c r="U543" i="4"/>
  <c r="U542" i="4"/>
  <c r="U541" i="4"/>
  <c r="U540" i="4"/>
  <c r="U539" i="4"/>
  <c r="U538" i="4"/>
  <c r="U537" i="4"/>
  <c r="U536" i="4"/>
  <c r="U535" i="4"/>
  <c r="U534" i="4"/>
  <c r="U533" i="4"/>
  <c r="U532" i="4"/>
  <c r="U531" i="4"/>
  <c r="U530" i="4"/>
  <c r="U529" i="4"/>
  <c r="U528" i="4"/>
  <c r="U527" i="4"/>
  <c r="U526" i="4"/>
  <c r="U525" i="4"/>
  <c r="U524" i="4"/>
  <c r="U523" i="4"/>
  <c r="U522" i="4"/>
  <c r="U521" i="4"/>
  <c r="U520" i="4"/>
  <c r="U519" i="4"/>
  <c r="U518" i="4"/>
  <c r="U517" i="4"/>
  <c r="U516" i="4"/>
  <c r="U515" i="4"/>
  <c r="U514" i="4"/>
  <c r="U513" i="4"/>
  <c r="U512" i="4"/>
  <c r="U511" i="4"/>
  <c r="U510" i="4"/>
  <c r="U509" i="4"/>
  <c r="U508" i="4"/>
  <c r="U507" i="4"/>
  <c r="U506" i="4"/>
  <c r="U505" i="4"/>
  <c r="U504" i="4"/>
  <c r="U503" i="4"/>
  <c r="U502" i="4"/>
  <c r="U501" i="4"/>
  <c r="U500" i="4"/>
  <c r="U499" i="4"/>
  <c r="U498" i="4"/>
  <c r="U497" i="4"/>
  <c r="U496" i="4"/>
  <c r="U495" i="4"/>
  <c r="U494" i="4"/>
  <c r="U493" i="4"/>
  <c r="U492" i="4"/>
  <c r="U491" i="4"/>
  <c r="U490" i="4"/>
  <c r="U489" i="4"/>
  <c r="U488" i="4"/>
  <c r="U487" i="4"/>
  <c r="U486" i="4"/>
  <c r="U485" i="4"/>
  <c r="U484" i="4"/>
  <c r="U483" i="4"/>
  <c r="U482" i="4"/>
  <c r="U481" i="4"/>
  <c r="U480" i="4"/>
  <c r="U479" i="4"/>
  <c r="U478" i="4"/>
  <c r="U477" i="4"/>
  <c r="U476" i="4"/>
  <c r="U475" i="4"/>
  <c r="U474" i="4"/>
  <c r="U473" i="4"/>
  <c r="U472" i="4"/>
  <c r="U471" i="4"/>
  <c r="U470" i="4"/>
  <c r="U469" i="4"/>
  <c r="U468" i="4"/>
  <c r="U467" i="4"/>
  <c r="U466" i="4"/>
  <c r="U465" i="4"/>
  <c r="U464" i="4"/>
  <c r="U463" i="4"/>
  <c r="U462" i="4"/>
  <c r="U461" i="4"/>
  <c r="U460" i="4"/>
  <c r="U459" i="4"/>
  <c r="U458" i="4"/>
  <c r="U457" i="4"/>
  <c r="U456" i="4"/>
  <c r="U455" i="4"/>
  <c r="U454" i="4"/>
  <c r="U453" i="4"/>
  <c r="U452" i="4"/>
  <c r="U451" i="4"/>
  <c r="U450" i="4"/>
  <c r="U449" i="4"/>
  <c r="U448" i="4"/>
  <c r="U447" i="4"/>
  <c r="U446" i="4"/>
  <c r="U445" i="4"/>
  <c r="U444" i="4"/>
  <c r="U443" i="4"/>
  <c r="U442" i="4"/>
  <c r="U441" i="4"/>
  <c r="U440" i="4"/>
  <c r="U439" i="4"/>
  <c r="U438" i="4"/>
  <c r="U437" i="4"/>
  <c r="U436" i="4"/>
  <c r="U435" i="4"/>
  <c r="U434" i="4"/>
  <c r="U433" i="4"/>
  <c r="U432" i="4"/>
  <c r="U431" i="4"/>
  <c r="U430" i="4"/>
  <c r="U429" i="4"/>
  <c r="U428" i="4"/>
  <c r="U427" i="4"/>
  <c r="U426" i="4"/>
  <c r="U425" i="4"/>
  <c r="U424" i="4"/>
  <c r="U423" i="4"/>
  <c r="U422" i="4"/>
  <c r="U421" i="4"/>
  <c r="U420" i="4"/>
  <c r="U419" i="4"/>
  <c r="U418" i="4"/>
  <c r="U417" i="4"/>
  <c r="U416" i="4"/>
  <c r="U415" i="4"/>
  <c r="U414" i="4"/>
  <c r="U413" i="4"/>
  <c r="U412" i="4"/>
  <c r="U411" i="4"/>
  <c r="U410" i="4"/>
  <c r="U409" i="4"/>
  <c r="U408" i="4"/>
  <c r="U407" i="4"/>
  <c r="U406" i="4"/>
  <c r="U405" i="4"/>
  <c r="U404" i="4"/>
  <c r="U403" i="4"/>
  <c r="U402" i="4"/>
  <c r="U401" i="4"/>
  <c r="U400" i="4"/>
  <c r="U399" i="4"/>
  <c r="U398" i="4"/>
  <c r="U397" i="4"/>
  <c r="U396" i="4"/>
  <c r="U395" i="4"/>
  <c r="U394" i="4"/>
  <c r="U393" i="4"/>
  <c r="U392" i="4"/>
  <c r="U391" i="4"/>
  <c r="U390" i="4"/>
  <c r="U389" i="4"/>
  <c r="U388" i="4"/>
  <c r="U387" i="4"/>
  <c r="U386" i="4"/>
  <c r="U385" i="4"/>
  <c r="U384" i="4"/>
  <c r="U383" i="4"/>
  <c r="U382" i="4"/>
  <c r="U381" i="4"/>
  <c r="U380" i="4"/>
  <c r="U379" i="4"/>
  <c r="U378" i="4"/>
  <c r="U377" i="4"/>
  <c r="U376" i="4"/>
  <c r="U375" i="4"/>
  <c r="U374" i="4"/>
  <c r="U373" i="4"/>
  <c r="U372" i="4"/>
  <c r="U371" i="4"/>
  <c r="U370" i="4"/>
  <c r="U369" i="4"/>
  <c r="U368" i="4"/>
  <c r="U367" i="4"/>
  <c r="U366" i="4"/>
  <c r="U365" i="4"/>
  <c r="U364" i="4"/>
  <c r="U363" i="4"/>
  <c r="U362" i="4"/>
  <c r="U361" i="4"/>
  <c r="U360" i="4"/>
  <c r="U359" i="4"/>
  <c r="U358" i="4"/>
  <c r="U357" i="4"/>
  <c r="U356" i="4"/>
  <c r="U355" i="4"/>
  <c r="U354" i="4"/>
  <c r="U353" i="4"/>
  <c r="U352" i="4"/>
  <c r="U351" i="4"/>
  <c r="U350" i="4"/>
  <c r="U349" i="4"/>
  <c r="U348" i="4"/>
  <c r="U347" i="4"/>
  <c r="U346" i="4"/>
  <c r="U345" i="4"/>
  <c r="U344" i="4"/>
  <c r="U343" i="4"/>
  <c r="U342" i="4"/>
  <c r="U341" i="4"/>
  <c r="U340" i="4"/>
  <c r="U339" i="4"/>
  <c r="U338" i="4"/>
  <c r="U337" i="4"/>
  <c r="U336" i="4"/>
  <c r="U335" i="4"/>
  <c r="U334" i="4"/>
  <c r="U333" i="4"/>
  <c r="U332" i="4"/>
  <c r="U331" i="4"/>
  <c r="U330" i="4"/>
  <c r="U329" i="4"/>
  <c r="U328" i="4"/>
  <c r="U327" i="4"/>
  <c r="U326" i="4"/>
  <c r="U325" i="4"/>
  <c r="U324" i="4"/>
  <c r="U323" i="4"/>
  <c r="U322" i="4"/>
  <c r="U321" i="4"/>
  <c r="U320" i="4"/>
  <c r="U319" i="4"/>
  <c r="U318" i="4"/>
  <c r="U317" i="4"/>
  <c r="U316" i="4"/>
  <c r="U315" i="4"/>
  <c r="U314" i="4"/>
  <c r="U313" i="4"/>
  <c r="U312" i="4"/>
  <c r="U311" i="4"/>
  <c r="U310" i="4"/>
  <c r="U309" i="4"/>
  <c r="U308" i="4"/>
  <c r="U307" i="4"/>
  <c r="U306" i="4"/>
  <c r="U305" i="4"/>
  <c r="U304" i="4"/>
  <c r="U303" i="4"/>
  <c r="U302" i="4"/>
  <c r="U301" i="4"/>
  <c r="U300" i="4"/>
  <c r="U299" i="4"/>
  <c r="U298" i="4"/>
  <c r="U297" i="4"/>
  <c r="U296" i="4"/>
  <c r="U295" i="4"/>
  <c r="U294" i="4"/>
  <c r="U293" i="4"/>
  <c r="U292" i="4"/>
  <c r="U291" i="4"/>
  <c r="U290" i="4"/>
  <c r="U289" i="4"/>
  <c r="U288" i="4"/>
  <c r="U287" i="4"/>
  <c r="U286" i="4"/>
  <c r="U285" i="4"/>
  <c r="U284" i="4"/>
  <c r="U283" i="4"/>
  <c r="U282" i="4"/>
  <c r="U281" i="4"/>
  <c r="U280" i="4"/>
  <c r="U279" i="4"/>
  <c r="U278" i="4"/>
  <c r="U277" i="4"/>
  <c r="U276" i="4"/>
  <c r="U275" i="4"/>
  <c r="U274" i="4"/>
  <c r="U273" i="4"/>
  <c r="U272" i="4"/>
  <c r="U271" i="4"/>
  <c r="U270" i="4"/>
  <c r="U269" i="4"/>
  <c r="U268" i="4"/>
  <c r="U267" i="4"/>
  <c r="U266" i="4"/>
  <c r="U265" i="4"/>
  <c r="U264" i="4"/>
  <c r="U263" i="4"/>
  <c r="U262" i="4"/>
  <c r="U261" i="4"/>
  <c r="U260" i="4"/>
  <c r="U259" i="4"/>
  <c r="U258" i="4"/>
  <c r="U257" i="4"/>
  <c r="U256" i="4"/>
  <c r="U255" i="4"/>
  <c r="U254" i="4"/>
  <c r="U253" i="4"/>
  <c r="U252" i="4"/>
  <c r="U251" i="4"/>
  <c r="U250" i="4"/>
  <c r="U249" i="4"/>
  <c r="U248" i="4"/>
  <c r="U247" i="4"/>
  <c r="U246" i="4"/>
  <c r="U245" i="4"/>
  <c r="U244" i="4"/>
  <c r="U243" i="4"/>
  <c r="U242" i="4"/>
  <c r="U241" i="4"/>
  <c r="U240" i="4"/>
  <c r="U239" i="4"/>
  <c r="U238" i="4"/>
  <c r="U237" i="4"/>
  <c r="U236" i="4"/>
  <c r="U235" i="4"/>
  <c r="U234" i="4"/>
  <c r="U233" i="4"/>
  <c r="U232" i="4"/>
  <c r="U231" i="4"/>
  <c r="U230" i="4"/>
  <c r="U229" i="4"/>
  <c r="U228" i="4"/>
  <c r="U227" i="4"/>
  <c r="U226" i="4"/>
  <c r="U225" i="4"/>
  <c r="U224" i="4"/>
  <c r="U223" i="4"/>
  <c r="U222" i="4"/>
  <c r="U221" i="4"/>
  <c r="U220" i="4"/>
  <c r="U219" i="4"/>
  <c r="U218" i="4"/>
  <c r="U217" i="4"/>
  <c r="U216" i="4"/>
  <c r="U215" i="4"/>
  <c r="U214" i="4"/>
  <c r="U213" i="4"/>
  <c r="U212" i="4"/>
  <c r="U211" i="4"/>
  <c r="U210" i="4"/>
  <c r="U209" i="4"/>
  <c r="U208" i="4"/>
  <c r="U207" i="4"/>
  <c r="U206" i="4"/>
  <c r="U205" i="4"/>
  <c r="U204" i="4"/>
  <c r="U203" i="4"/>
  <c r="U202" i="4"/>
  <c r="U201" i="4"/>
  <c r="U200" i="4"/>
  <c r="U199" i="4"/>
  <c r="U198" i="4"/>
  <c r="U197" i="4"/>
  <c r="U196" i="4"/>
  <c r="U195" i="4"/>
  <c r="U194" i="4"/>
  <c r="U193" i="4"/>
  <c r="U192" i="4"/>
  <c r="U191" i="4"/>
  <c r="U190" i="4"/>
  <c r="U189" i="4"/>
  <c r="U188" i="4"/>
  <c r="U187" i="4"/>
  <c r="U186" i="4"/>
  <c r="U185" i="4"/>
  <c r="U184" i="4"/>
  <c r="U183" i="4"/>
  <c r="U182" i="4"/>
  <c r="U181" i="4"/>
  <c r="U180" i="4"/>
  <c r="U179" i="4"/>
  <c r="U178" i="4"/>
  <c r="U177" i="4"/>
  <c r="U176" i="4"/>
  <c r="U175" i="4"/>
  <c r="U174" i="4"/>
  <c r="U173" i="4"/>
  <c r="U172" i="4"/>
  <c r="U171" i="4"/>
  <c r="U170" i="4"/>
  <c r="U169" i="4"/>
  <c r="U168" i="4"/>
  <c r="U167" i="4"/>
  <c r="U166" i="4"/>
  <c r="U165" i="4"/>
  <c r="U164" i="4"/>
  <c r="U163" i="4"/>
  <c r="U162" i="4"/>
  <c r="U161" i="4"/>
  <c r="U160" i="4"/>
  <c r="U159" i="4"/>
  <c r="U158" i="4"/>
  <c r="U157" i="4"/>
  <c r="U156" i="4"/>
  <c r="U155" i="4"/>
  <c r="U154" i="4"/>
  <c r="U153" i="4"/>
  <c r="U152" i="4"/>
  <c r="U151" i="4"/>
  <c r="U150" i="4"/>
  <c r="U149" i="4"/>
  <c r="U148" i="4"/>
  <c r="U147" i="4"/>
  <c r="U146" i="4"/>
  <c r="U145" i="4"/>
  <c r="U144" i="4"/>
  <c r="U143" i="4"/>
  <c r="U142" i="4"/>
  <c r="U141" i="4"/>
  <c r="U140" i="4"/>
  <c r="U139" i="4"/>
  <c r="U138" i="4"/>
  <c r="U137" i="4"/>
  <c r="U136" i="4"/>
  <c r="U135" i="4"/>
  <c r="U134" i="4"/>
  <c r="U133" i="4"/>
  <c r="U132" i="4"/>
  <c r="U131" i="4"/>
  <c r="U130" i="4"/>
  <c r="U129" i="4"/>
  <c r="U128" i="4"/>
  <c r="U127" i="4"/>
  <c r="U126" i="4"/>
  <c r="U125" i="4"/>
  <c r="U124" i="4"/>
  <c r="U123" i="4"/>
  <c r="U122" i="4"/>
  <c r="U121" i="4"/>
  <c r="U120" i="4"/>
  <c r="U119" i="4"/>
  <c r="U118" i="4"/>
  <c r="U117" i="4"/>
  <c r="U116" i="4"/>
  <c r="U115" i="4"/>
  <c r="U114" i="4"/>
  <c r="U113" i="4"/>
  <c r="U112" i="4"/>
  <c r="U111" i="4"/>
  <c r="U110" i="4"/>
  <c r="U109" i="4"/>
  <c r="U108" i="4"/>
  <c r="U107" i="4"/>
  <c r="U106" i="4"/>
  <c r="U105" i="4"/>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U5" i="4"/>
  <c r="W237" i="3"/>
  <c r="W236" i="3"/>
  <c r="L13" i="7" s="1"/>
  <c r="W235" i="3"/>
  <c r="W234" i="3"/>
  <c r="L14" i="7" s="1"/>
  <c r="W233" i="3"/>
  <c r="W232" i="3"/>
  <c r="W231" i="3"/>
  <c r="W230" i="3"/>
  <c r="W229" i="3"/>
  <c r="W228" i="3"/>
  <c r="W227" i="3"/>
  <c r="W226" i="3"/>
  <c r="W225" i="3"/>
  <c r="W224" i="3"/>
  <c r="W223" i="3"/>
  <c r="W222" i="3"/>
  <c r="W221" i="3"/>
  <c r="W220" i="3"/>
  <c r="W219" i="3"/>
  <c r="W218" i="3"/>
  <c r="W217" i="3"/>
  <c r="W216" i="3"/>
  <c r="W215" i="3"/>
  <c r="W214" i="3"/>
  <c r="W213" i="3"/>
  <c r="W212" i="3"/>
  <c r="W211" i="3"/>
  <c r="W210" i="3"/>
  <c r="W209" i="3"/>
  <c r="W208" i="3"/>
  <c r="L12" i="7" s="1"/>
  <c r="W207" i="3"/>
  <c r="W206" i="3"/>
  <c r="W205" i="3"/>
  <c r="L10" i="7" s="1"/>
  <c r="W204" i="3"/>
  <c r="W203" i="3"/>
  <c r="W202" i="3"/>
  <c r="W201" i="3"/>
  <c r="W200" i="3"/>
  <c r="W199" i="3"/>
  <c r="W198" i="3"/>
  <c r="W197" i="3"/>
  <c r="W196" i="3"/>
  <c r="W195" i="3"/>
  <c r="W194" i="3"/>
  <c r="W193" i="3"/>
  <c r="W192" i="3"/>
  <c r="W191" i="3"/>
  <c r="W190" i="3"/>
  <c r="W189" i="3"/>
  <c r="W188" i="3"/>
  <c r="W187" i="3"/>
  <c r="W186" i="3"/>
  <c r="W185" i="3"/>
  <c r="W184" i="3"/>
  <c r="W183" i="3"/>
  <c r="W182" i="3"/>
  <c r="W181" i="3"/>
  <c r="W180" i="3"/>
  <c r="W179" i="3"/>
  <c r="W178" i="3"/>
  <c r="W177" i="3"/>
  <c r="W176" i="3"/>
  <c r="W175" i="3"/>
  <c r="W174" i="3"/>
  <c r="W173" i="3"/>
  <c r="W172" i="3"/>
  <c r="W171" i="3"/>
  <c r="W170" i="3"/>
  <c r="W169" i="3"/>
  <c r="W168" i="3"/>
  <c r="W167" i="3"/>
  <c r="W166" i="3"/>
  <c r="W165" i="3"/>
  <c r="W164" i="3"/>
  <c r="W163" i="3"/>
  <c r="W162" i="3"/>
  <c r="W161" i="3"/>
  <c r="W160" i="3"/>
  <c r="W159" i="3"/>
  <c r="W158" i="3"/>
  <c r="W157" i="3"/>
  <c r="W156" i="3"/>
  <c r="W155" i="3"/>
  <c r="W154" i="3"/>
  <c r="W153" i="3"/>
  <c r="W152" i="3"/>
  <c r="W151" i="3"/>
  <c r="W150" i="3"/>
  <c r="W149" i="3"/>
  <c r="W148" i="3"/>
  <c r="W147" i="3"/>
  <c r="W146" i="3"/>
  <c r="W145" i="3"/>
  <c r="W144" i="3"/>
  <c r="W143" i="3"/>
  <c r="W142" i="3"/>
  <c r="W141" i="3"/>
  <c r="W140" i="3"/>
  <c r="W139" i="3"/>
  <c r="W138" i="3"/>
  <c r="W137" i="3"/>
  <c r="W136" i="3"/>
  <c r="W135" i="3"/>
  <c r="W134" i="3"/>
  <c r="W133" i="3"/>
  <c r="W132" i="3"/>
  <c r="W131" i="3"/>
  <c r="W130" i="3"/>
  <c r="W129" i="3"/>
  <c r="W128" i="3"/>
  <c r="W127" i="3"/>
  <c r="W126" i="3"/>
  <c r="W125" i="3"/>
  <c r="W124" i="3"/>
  <c r="W123" i="3"/>
  <c r="W122" i="3"/>
  <c r="W121" i="3"/>
  <c r="W120" i="3"/>
  <c r="W119" i="3"/>
  <c r="W118" i="3"/>
  <c r="W117" i="3"/>
  <c r="W116" i="3"/>
  <c r="W115" i="3"/>
  <c r="W114" i="3"/>
  <c r="W113" i="3"/>
  <c r="W112" i="3"/>
  <c r="W111" i="3"/>
  <c r="W110" i="3"/>
  <c r="W109" i="3"/>
  <c r="W108" i="3"/>
  <c r="W107" i="3"/>
  <c r="W106" i="3"/>
  <c r="W105" i="3"/>
  <c r="W104" i="3"/>
  <c r="W103" i="3"/>
  <c r="W102" i="3"/>
  <c r="W101" i="3"/>
  <c r="W100" i="3"/>
  <c r="L11" i="7" s="1"/>
  <c r="W99" i="3"/>
  <c r="W98" i="3"/>
  <c r="W97" i="3"/>
  <c r="W96" i="3"/>
  <c r="W95" i="3"/>
  <c r="W94" i="3"/>
  <c r="W93" i="3"/>
  <c r="W92" i="3"/>
  <c r="W91" i="3"/>
  <c r="W90" i="3"/>
  <c r="W89" i="3"/>
  <c r="W88" i="3"/>
  <c r="W87" i="3"/>
  <c r="W86" i="3"/>
  <c r="W85" i="3"/>
  <c r="W84" i="3"/>
  <c r="W83" i="3"/>
  <c r="W82" i="3"/>
  <c r="W81" i="3"/>
  <c r="W80" i="3"/>
  <c r="W79" i="3"/>
  <c r="W78" i="3"/>
  <c r="W77" i="3"/>
  <c r="W76" i="3"/>
  <c r="W75" i="3"/>
  <c r="W74" i="3"/>
  <c r="W73" i="3"/>
  <c r="W72" i="3"/>
  <c r="W71" i="3"/>
  <c r="W70" i="3"/>
  <c r="W69" i="3"/>
  <c r="W68" i="3"/>
  <c r="W67" i="3"/>
  <c r="W66" i="3"/>
  <c r="W65" i="3"/>
  <c r="W64" i="3"/>
  <c r="W63" i="3"/>
  <c r="W62" i="3"/>
  <c r="W61" i="3"/>
  <c r="W60" i="3"/>
  <c r="W59" i="3"/>
  <c r="W58" i="3"/>
  <c r="W57" i="3"/>
  <c r="W56" i="3"/>
  <c r="W55" i="3"/>
  <c r="W54" i="3"/>
  <c r="W53" i="3"/>
  <c r="W52" i="3"/>
  <c r="W51" i="3"/>
  <c r="W50" i="3"/>
  <c r="W49" i="3"/>
  <c r="W48" i="3"/>
  <c r="W47" i="3"/>
  <c r="W46" i="3"/>
  <c r="W45" i="3"/>
  <c r="W44" i="3"/>
  <c r="W43" i="3"/>
  <c r="W42" i="3"/>
  <c r="W41" i="3"/>
  <c r="W40" i="3"/>
  <c r="W39" i="3"/>
  <c r="W38" i="3"/>
  <c r="W37" i="3"/>
  <c r="W36" i="3"/>
  <c r="W35" i="3"/>
  <c r="L9" i="7" s="1"/>
  <c r="W34" i="3"/>
  <c r="W33" i="3"/>
  <c r="W32" i="3"/>
  <c r="W31" i="3"/>
  <c r="W30" i="3"/>
  <c r="W29" i="3"/>
  <c r="W28" i="3"/>
  <c r="W27" i="3"/>
  <c r="W26" i="3"/>
  <c r="W25" i="3"/>
  <c r="W24" i="3"/>
  <c r="W23" i="3"/>
  <c r="W22" i="3"/>
  <c r="W21" i="3"/>
  <c r="W20" i="3"/>
  <c r="W19" i="3"/>
  <c r="W18" i="3"/>
  <c r="L8" i="7" s="1"/>
  <c r="W17" i="3"/>
  <c r="W16" i="3"/>
  <c r="W15" i="3"/>
  <c r="W14" i="3"/>
  <c r="W13" i="3"/>
  <c r="W12" i="3"/>
  <c r="W11" i="3"/>
  <c r="L7" i="7" s="1"/>
  <c r="W10" i="3"/>
  <c r="W9" i="3"/>
  <c r="W8" i="3"/>
  <c r="L6" i="7" s="1"/>
  <c r="W7" i="3"/>
  <c r="W6" i="3"/>
  <c r="W5" i="3"/>
  <c r="B15" i="1"/>
  <c r="B14" i="1"/>
  <c r="B13" i="1"/>
  <c r="B5" i="1"/>
  <c r="J241" i="19" l="1"/>
  <c r="AI241" i="19"/>
  <c r="AJ241" i="19"/>
  <c r="J240" i="19"/>
  <c r="AI240" i="19"/>
  <c r="AJ240" i="19"/>
  <c r="J239" i="19"/>
  <c r="AI239" i="19"/>
  <c r="AJ239" i="19"/>
  <c r="J238" i="19"/>
  <c r="AI238" i="19"/>
  <c r="AJ238" i="19"/>
  <c r="J237" i="19"/>
  <c r="AI237" i="19"/>
  <c r="AJ237" i="19"/>
  <c r="J236" i="19"/>
  <c r="AI236" i="19"/>
  <c r="AJ236" i="19"/>
  <c r="J235" i="19"/>
  <c r="AI235" i="19"/>
  <c r="AJ235" i="19"/>
  <c r="J234" i="19"/>
  <c r="AI234" i="19"/>
  <c r="AJ234" i="19"/>
  <c r="J233" i="19"/>
  <c r="AI233" i="19"/>
  <c r="AJ233" i="19"/>
  <c r="J232" i="19"/>
  <c r="AJ232" i="19"/>
  <c r="AI232" i="19"/>
  <c r="J231" i="19"/>
  <c r="AI231" i="19"/>
  <c r="AJ231" i="19"/>
  <c r="J230" i="19"/>
  <c r="AJ230" i="19"/>
  <c r="AI230" i="19"/>
  <c r="J229" i="19"/>
  <c r="AJ229" i="19"/>
  <c r="AI229" i="19"/>
  <c r="J228" i="19"/>
  <c r="AJ228" i="19"/>
  <c r="AI228" i="19"/>
  <c r="J227" i="19"/>
  <c r="AI227" i="19"/>
  <c r="AJ227" i="19"/>
  <c r="J226" i="19"/>
  <c r="AI226" i="19"/>
  <c r="AJ226" i="19"/>
  <c r="AI225" i="19"/>
  <c r="AJ225" i="19"/>
  <c r="J225" i="19"/>
  <c r="J224" i="19"/>
  <c r="AI224" i="19"/>
  <c r="AJ224" i="19"/>
  <c r="J223" i="19"/>
  <c r="AI223" i="19"/>
  <c r="AJ223" i="19"/>
  <c r="J222" i="19"/>
  <c r="AI222" i="19"/>
  <c r="AJ222" i="19"/>
  <c r="AI221" i="19"/>
  <c r="AJ221" i="19"/>
  <c r="J221" i="19"/>
  <c r="J220" i="19"/>
  <c r="AI220" i="19"/>
  <c r="AJ220" i="19"/>
  <c r="J219" i="19"/>
  <c r="AI219" i="19"/>
  <c r="AJ219" i="19"/>
  <c r="AI218" i="19"/>
  <c r="AJ218" i="19"/>
  <c r="J218" i="19"/>
  <c r="J217" i="19"/>
  <c r="AI217" i="19"/>
  <c r="AJ217" i="19"/>
  <c r="AI216" i="19"/>
  <c r="AJ216" i="19"/>
  <c r="J216" i="19"/>
  <c r="AI215" i="19"/>
  <c r="AJ215" i="19"/>
  <c r="J215" i="19"/>
  <c r="J214" i="19"/>
  <c r="AI214" i="19"/>
  <c r="AJ214" i="19"/>
  <c r="J213" i="19"/>
  <c r="AI213" i="19"/>
  <c r="AJ213" i="19"/>
  <c r="AI212" i="19"/>
  <c r="AJ212" i="19"/>
  <c r="J212" i="19"/>
  <c r="AJ211" i="19"/>
  <c r="J211" i="19"/>
  <c r="AI211" i="19"/>
  <c r="AJ210" i="19"/>
  <c r="AI210" i="19"/>
  <c r="J210" i="19"/>
  <c r="J209" i="19"/>
  <c r="AJ209" i="19"/>
  <c r="AI209" i="19"/>
  <c r="AI208" i="19"/>
  <c r="J208" i="19"/>
  <c r="AJ208" i="19"/>
  <c r="AJ207" i="19"/>
  <c r="J207" i="19"/>
  <c r="AI207" i="19"/>
  <c r="AI206" i="19"/>
  <c r="AJ206" i="19"/>
  <c r="J206" i="19"/>
  <c r="AI205" i="19"/>
  <c r="AJ205" i="19"/>
  <c r="J205" i="19"/>
  <c r="AI204" i="19"/>
  <c r="AJ204" i="19"/>
  <c r="J204" i="19"/>
  <c r="AI203" i="19"/>
  <c r="AJ203" i="19"/>
  <c r="J203" i="19"/>
  <c r="J202" i="19"/>
  <c r="AI202" i="19"/>
  <c r="AJ202" i="19"/>
  <c r="AI201" i="19"/>
  <c r="AJ201" i="19"/>
  <c r="J201" i="19"/>
  <c r="J200" i="19"/>
  <c r="AI200" i="19"/>
  <c r="AJ200" i="19"/>
  <c r="J199" i="19"/>
  <c r="AI199" i="19"/>
  <c r="AJ199" i="19"/>
  <c r="AI198" i="19"/>
  <c r="AJ198" i="19"/>
  <c r="J198" i="19"/>
  <c r="J197" i="19"/>
  <c r="AI197" i="19"/>
  <c r="AJ197" i="19"/>
  <c r="AI196" i="19"/>
  <c r="AJ196" i="19"/>
  <c r="J196" i="19"/>
  <c r="J195" i="19"/>
  <c r="AI195" i="19"/>
  <c r="AJ195" i="19"/>
  <c r="AI194" i="19"/>
  <c r="AJ194" i="19"/>
  <c r="J194" i="19"/>
  <c r="AJ193" i="19"/>
  <c r="J193" i="19"/>
  <c r="AI193" i="19"/>
  <c r="J192" i="19"/>
  <c r="AI192" i="19"/>
  <c r="AJ192" i="19"/>
  <c r="AI191" i="19"/>
  <c r="J191" i="19"/>
  <c r="AJ191" i="19"/>
  <c r="AJ190" i="19"/>
  <c r="J190" i="19"/>
  <c r="AI190" i="19"/>
  <c r="J189" i="19"/>
  <c r="AI189" i="19"/>
  <c r="AJ189" i="19"/>
  <c r="J188" i="19"/>
  <c r="AI188" i="19"/>
  <c r="AJ188" i="19"/>
  <c r="J187" i="19"/>
  <c r="AI187" i="19"/>
  <c r="AJ187" i="19"/>
  <c r="AI186" i="19"/>
  <c r="J186" i="19"/>
  <c r="AJ186" i="19"/>
  <c r="J185" i="19"/>
  <c r="AI185" i="19"/>
  <c r="AJ185" i="19"/>
  <c r="J184" i="19"/>
  <c r="AI184" i="19"/>
  <c r="AJ184" i="19"/>
  <c r="J183" i="19"/>
  <c r="AI183" i="19"/>
  <c r="AJ183" i="19"/>
  <c r="J182" i="19"/>
  <c r="AI182" i="19"/>
  <c r="AJ182" i="19"/>
  <c r="J181" i="19"/>
  <c r="AI181" i="19"/>
  <c r="AJ181" i="19"/>
  <c r="J180" i="19"/>
  <c r="AI180" i="19"/>
  <c r="AJ180" i="19"/>
  <c r="J179" i="19"/>
  <c r="AI179" i="19"/>
  <c r="AJ179" i="19"/>
  <c r="J178" i="19"/>
  <c r="AI178" i="19"/>
  <c r="AJ178" i="19"/>
  <c r="J177" i="19"/>
  <c r="AI177" i="19"/>
  <c r="AJ177" i="19"/>
  <c r="J176" i="19"/>
  <c r="AI176" i="19"/>
  <c r="AJ176" i="19"/>
  <c r="AI175" i="19"/>
  <c r="J175" i="19"/>
  <c r="AJ175" i="19"/>
  <c r="J174" i="19"/>
  <c r="AJ174" i="19"/>
  <c r="AI174" i="19"/>
  <c r="J173" i="19"/>
  <c r="AI173" i="19"/>
  <c r="AJ173" i="19"/>
  <c r="J172" i="19"/>
  <c r="AJ172" i="19"/>
  <c r="AI172" i="19"/>
  <c r="AJ171" i="19"/>
  <c r="AI171" i="19"/>
  <c r="J171" i="19"/>
  <c r="J170" i="19"/>
  <c r="AJ170" i="19"/>
  <c r="AI170" i="19"/>
  <c r="AJ169" i="19"/>
  <c r="J169" i="19"/>
  <c r="AI169" i="19"/>
  <c r="J168" i="19"/>
  <c r="AI168" i="19"/>
  <c r="AJ168" i="19"/>
  <c r="J167" i="19"/>
  <c r="AI167" i="19"/>
  <c r="AJ167" i="19"/>
  <c r="J166" i="19"/>
  <c r="AI166" i="19"/>
  <c r="AJ166" i="19"/>
  <c r="J165" i="19"/>
  <c r="AI165" i="19"/>
  <c r="AJ165" i="19"/>
  <c r="J164" i="19"/>
  <c r="AI164" i="19"/>
  <c r="AJ164" i="19"/>
  <c r="AJ163" i="19"/>
  <c r="J163" i="19"/>
  <c r="AI163" i="19"/>
  <c r="AJ162" i="19"/>
  <c r="J162" i="19"/>
  <c r="AI162" i="19"/>
  <c r="AI161" i="19"/>
  <c r="AJ161" i="19"/>
  <c r="J161" i="19"/>
  <c r="J160" i="19"/>
  <c r="AJ160" i="19"/>
  <c r="AI160" i="19"/>
  <c r="AJ159" i="19"/>
  <c r="J159" i="19"/>
  <c r="AI159" i="19"/>
  <c r="J158" i="19"/>
  <c r="AI158" i="19"/>
  <c r="AJ158" i="19"/>
  <c r="AJ157" i="19"/>
  <c r="J157" i="19"/>
  <c r="AI157" i="19"/>
  <c r="AJ156" i="19"/>
  <c r="J156" i="19"/>
  <c r="AI156" i="19"/>
  <c r="AI155" i="19"/>
  <c r="J155" i="19"/>
  <c r="AJ155" i="19"/>
  <c r="AI154" i="19"/>
  <c r="AJ154" i="19"/>
  <c r="J154" i="19"/>
  <c r="AJ153" i="19"/>
  <c r="J153" i="19"/>
  <c r="AI153" i="19"/>
  <c r="AJ152" i="19"/>
  <c r="J152" i="19"/>
  <c r="AI152" i="19"/>
  <c r="AJ151" i="19"/>
  <c r="AI151" i="19"/>
  <c r="J151" i="19"/>
  <c r="AI150" i="19"/>
  <c r="J150" i="19"/>
  <c r="AJ150" i="19"/>
  <c r="AJ149" i="19"/>
  <c r="J149" i="19"/>
  <c r="AI149" i="19"/>
  <c r="AI148" i="19"/>
  <c r="J148" i="19"/>
  <c r="AJ148" i="19"/>
  <c r="J147" i="19"/>
  <c r="AI147" i="19"/>
  <c r="AJ147" i="19"/>
  <c r="J146" i="19"/>
  <c r="AJ146" i="19"/>
  <c r="AI146" i="19"/>
  <c r="AJ145" i="19"/>
  <c r="J145" i="19"/>
  <c r="AI145" i="19"/>
  <c r="J144" i="19"/>
  <c r="AI144" i="19"/>
  <c r="AJ144" i="19"/>
  <c r="AJ143" i="19"/>
  <c r="AI143" i="19"/>
  <c r="J143" i="19"/>
  <c r="AJ142" i="19"/>
  <c r="J142" i="19"/>
  <c r="AI142" i="19"/>
  <c r="J141" i="19"/>
  <c r="AI141" i="19"/>
  <c r="AJ141" i="19"/>
  <c r="J140" i="19"/>
  <c r="AI140" i="19"/>
  <c r="AJ140" i="19"/>
  <c r="AJ139" i="19"/>
  <c r="J139" i="19"/>
  <c r="AI139" i="19"/>
  <c r="AI138" i="19"/>
  <c r="J138" i="19"/>
  <c r="AJ138" i="19"/>
  <c r="AJ137" i="19"/>
  <c r="J137" i="19"/>
  <c r="AI137" i="19"/>
  <c r="AI136" i="19"/>
  <c r="AJ136" i="19"/>
  <c r="J136" i="19"/>
  <c r="AI135" i="19"/>
  <c r="J135" i="19"/>
  <c r="AJ135" i="19"/>
  <c r="AJ134" i="19"/>
  <c r="J134" i="19"/>
  <c r="AI134" i="19"/>
  <c r="J133" i="19"/>
  <c r="AI133" i="19"/>
  <c r="AJ133" i="19"/>
  <c r="J132" i="19"/>
  <c r="AJ132" i="19"/>
  <c r="AI132" i="19"/>
  <c r="J131" i="19"/>
  <c r="AI131" i="19"/>
  <c r="AJ131" i="19"/>
  <c r="J130" i="19"/>
  <c r="AJ130" i="19"/>
  <c r="AI130" i="19"/>
  <c r="AI129" i="19"/>
  <c r="J129" i="19"/>
  <c r="AJ129" i="19"/>
  <c r="AJ128" i="19"/>
  <c r="J128" i="19"/>
  <c r="AI128" i="19"/>
  <c r="AJ127" i="19"/>
  <c r="AI127" i="19"/>
  <c r="J127" i="19"/>
  <c r="AI126" i="19"/>
  <c r="J126" i="19"/>
  <c r="AJ126" i="19"/>
  <c r="AJ125" i="19"/>
  <c r="J125" i="19"/>
  <c r="AI125" i="19"/>
  <c r="J124" i="19"/>
  <c r="AI124" i="19"/>
  <c r="AJ124" i="19"/>
  <c r="J123" i="19"/>
  <c r="AI123" i="19"/>
  <c r="AJ123" i="19"/>
  <c r="J122" i="19"/>
  <c r="AI122" i="19"/>
  <c r="AJ122" i="19"/>
  <c r="J121" i="19"/>
  <c r="AI121" i="19"/>
  <c r="AJ121" i="19"/>
  <c r="J120" i="19"/>
  <c r="AI120" i="19"/>
  <c r="AJ120" i="19"/>
  <c r="J119" i="19"/>
  <c r="AI119" i="19"/>
  <c r="AJ119" i="19"/>
  <c r="J118" i="19"/>
  <c r="AI118" i="19"/>
  <c r="AJ118" i="19"/>
  <c r="J117" i="19"/>
  <c r="AI117" i="19"/>
  <c r="AJ117" i="19"/>
  <c r="J116" i="19"/>
  <c r="AI116" i="19"/>
  <c r="AJ116" i="19"/>
  <c r="J115" i="19"/>
  <c r="AI115" i="19"/>
  <c r="AJ115" i="19"/>
  <c r="J114" i="19"/>
  <c r="AI114" i="19"/>
  <c r="AJ114" i="19"/>
  <c r="J113" i="19"/>
  <c r="AI113" i="19"/>
  <c r="AJ113" i="19"/>
  <c r="J112" i="19"/>
  <c r="AI112" i="19"/>
  <c r="AJ112" i="19"/>
  <c r="J111" i="19"/>
  <c r="AI111" i="19"/>
  <c r="AJ111" i="19"/>
  <c r="J110" i="19"/>
  <c r="AI110" i="19"/>
  <c r="AJ110" i="19"/>
  <c r="J109" i="19"/>
  <c r="AI109" i="19"/>
  <c r="AJ109" i="19"/>
  <c r="J108" i="19"/>
  <c r="AI108" i="19"/>
  <c r="AJ108" i="19"/>
  <c r="J107" i="19"/>
  <c r="AI107" i="19"/>
  <c r="AJ107" i="19"/>
  <c r="J106" i="19"/>
  <c r="AI106" i="19"/>
  <c r="AJ106" i="19"/>
  <c r="J105" i="19"/>
  <c r="AI105" i="19"/>
  <c r="AJ105" i="19"/>
  <c r="J104" i="19"/>
  <c r="AI104" i="19"/>
  <c r="AJ104" i="19"/>
  <c r="J103" i="19"/>
  <c r="AI103" i="19"/>
  <c r="AJ103" i="19"/>
  <c r="J102" i="19"/>
  <c r="AI102" i="19"/>
  <c r="AJ102" i="19"/>
  <c r="J101" i="19"/>
  <c r="AI101" i="19"/>
  <c r="AJ101" i="19"/>
  <c r="J100" i="19"/>
  <c r="AI100" i="19"/>
  <c r="AJ100" i="19"/>
  <c r="J99" i="19"/>
  <c r="AI99" i="19"/>
  <c r="AJ99" i="19"/>
  <c r="J98" i="19"/>
  <c r="AI98" i="19"/>
  <c r="AJ98" i="19"/>
  <c r="J97" i="19"/>
  <c r="AI97" i="19"/>
  <c r="AJ97" i="19"/>
  <c r="J96" i="19"/>
  <c r="AI96" i="19"/>
  <c r="AJ96" i="19"/>
  <c r="J95" i="19"/>
  <c r="AI95" i="19"/>
  <c r="AJ95" i="19"/>
  <c r="J94" i="19"/>
  <c r="AI94" i="19"/>
  <c r="AJ94" i="19"/>
  <c r="J93" i="19"/>
  <c r="AI93" i="19"/>
  <c r="AJ93" i="19"/>
  <c r="J92" i="19"/>
  <c r="AI92" i="19"/>
  <c r="AJ92" i="19"/>
  <c r="J91" i="19"/>
  <c r="AI91" i="19"/>
  <c r="AJ91" i="19"/>
  <c r="J90" i="19"/>
  <c r="AI90" i="19"/>
  <c r="AJ90" i="19"/>
  <c r="J89" i="19"/>
  <c r="AI89" i="19"/>
  <c r="AJ89" i="19"/>
  <c r="J88" i="19"/>
  <c r="AI88" i="19"/>
  <c r="AJ88" i="19"/>
  <c r="J87" i="19"/>
  <c r="AI87" i="19"/>
  <c r="AJ87" i="19"/>
  <c r="J86" i="19"/>
  <c r="AI86" i="19"/>
  <c r="AJ86" i="19"/>
  <c r="J85" i="19"/>
  <c r="AI85" i="19"/>
  <c r="AJ85" i="19"/>
  <c r="AI84" i="19"/>
  <c r="J84" i="19"/>
  <c r="AJ84" i="19"/>
  <c r="AJ83" i="19"/>
  <c r="J83" i="19"/>
  <c r="AI83" i="19"/>
  <c r="AI82" i="19"/>
  <c r="AJ82" i="19"/>
  <c r="J82" i="19"/>
  <c r="AI81" i="19"/>
  <c r="AJ81" i="19"/>
  <c r="J81" i="19"/>
  <c r="AI80" i="19"/>
  <c r="AJ80" i="19"/>
  <c r="J80" i="19"/>
  <c r="J79" i="19"/>
  <c r="AJ79" i="19"/>
  <c r="AI79" i="19"/>
  <c r="AJ78" i="19"/>
  <c r="J78" i="19"/>
  <c r="AI78" i="19"/>
  <c r="J77" i="19"/>
  <c r="AI77" i="19"/>
  <c r="AJ77" i="19"/>
  <c r="J76" i="19"/>
  <c r="AJ76" i="19"/>
  <c r="AI76" i="19"/>
  <c r="AI75" i="19"/>
  <c r="J75" i="19"/>
  <c r="AJ75" i="19"/>
  <c r="J74" i="19"/>
  <c r="AJ74" i="19"/>
  <c r="AI74" i="19"/>
  <c r="AJ73" i="19"/>
  <c r="J73" i="19"/>
  <c r="AI73" i="19"/>
  <c r="J72" i="19"/>
  <c r="AI72" i="19"/>
  <c r="AJ72" i="19"/>
  <c r="J71" i="19"/>
  <c r="AJ71" i="19"/>
  <c r="AI71" i="19"/>
  <c r="J70" i="19"/>
  <c r="AI70" i="19"/>
  <c r="AJ70" i="19"/>
  <c r="AJ69" i="19"/>
  <c r="AI69" i="19"/>
  <c r="J69" i="19"/>
  <c r="J68" i="19"/>
  <c r="AI68" i="19"/>
  <c r="AJ68" i="19"/>
  <c r="AI67" i="19"/>
  <c r="AJ67" i="19"/>
  <c r="J67" i="19"/>
  <c r="J66" i="19"/>
  <c r="AI66" i="19"/>
  <c r="AJ66" i="19"/>
  <c r="J65" i="19"/>
  <c r="AI65" i="19"/>
  <c r="AJ65" i="19"/>
  <c r="J64" i="19"/>
  <c r="AI64" i="19"/>
  <c r="AJ64" i="19"/>
  <c r="J63" i="19"/>
  <c r="AI63" i="19"/>
  <c r="AJ63" i="19"/>
  <c r="J62" i="19"/>
  <c r="AI62" i="19"/>
  <c r="AJ62" i="19"/>
  <c r="J61" i="19"/>
  <c r="AI61" i="19"/>
  <c r="AJ61" i="19"/>
  <c r="J60" i="19"/>
  <c r="AI60" i="19"/>
  <c r="AJ60" i="19"/>
  <c r="J59" i="19"/>
  <c r="AI59" i="19"/>
  <c r="AJ59" i="19"/>
  <c r="J58" i="19"/>
  <c r="AI58" i="19"/>
  <c r="AJ58" i="19"/>
  <c r="J57" i="19"/>
  <c r="AI57" i="19"/>
  <c r="AJ57" i="19"/>
  <c r="J56" i="19"/>
  <c r="AI56" i="19"/>
  <c r="AJ56" i="19"/>
  <c r="J55" i="19"/>
  <c r="AI55" i="19"/>
  <c r="AJ55" i="19"/>
  <c r="J54" i="19"/>
  <c r="AI54" i="19"/>
  <c r="AJ54" i="19"/>
  <c r="J53" i="19"/>
  <c r="AI53" i="19"/>
  <c r="AJ53" i="19"/>
  <c r="J52" i="19"/>
  <c r="AI52" i="19"/>
  <c r="AJ52" i="19"/>
  <c r="J51" i="19"/>
  <c r="AI51" i="19"/>
  <c r="AJ51" i="19"/>
  <c r="J50" i="19"/>
  <c r="AI50" i="19"/>
  <c r="AJ50" i="19"/>
  <c r="J49" i="19"/>
  <c r="AI49" i="19"/>
  <c r="AJ49" i="19"/>
  <c r="J48" i="19"/>
  <c r="AI48" i="19"/>
  <c r="AJ48" i="19"/>
  <c r="J47" i="19"/>
  <c r="AI47" i="19"/>
  <c r="AJ47" i="19"/>
  <c r="J46" i="19"/>
  <c r="AI46" i="19"/>
  <c r="AJ46" i="19"/>
  <c r="J45" i="19"/>
  <c r="AI45" i="19"/>
  <c r="AJ45" i="19"/>
  <c r="J44" i="19"/>
  <c r="AI44" i="19"/>
  <c r="AJ44" i="19"/>
  <c r="J43" i="19"/>
  <c r="AI43" i="19"/>
  <c r="AJ43" i="19"/>
  <c r="J42" i="19"/>
  <c r="AI42" i="19"/>
  <c r="AJ42" i="19"/>
  <c r="J41" i="19"/>
  <c r="AI41" i="19"/>
  <c r="AJ41" i="19"/>
  <c r="J40" i="19"/>
  <c r="AI40" i="19"/>
  <c r="AJ40" i="19"/>
  <c r="J39" i="19"/>
  <c r="AI39" i="19"/>
  <c r="AJ39" i="19"/>
  <c r="J38" i="19"/>
  <c r="AI38" i="19"/>
  <c r="AJ38" i="19"/>
  <c r="J37" i="19"/>
  <c r="AI37" i="19"/>
  <c r="AJ37" i="19"/>
  <c r="J36" i="19"/>
  <c r="AI36" i="19"/>
  <c r="AJ36" i="19"/>
  <c r="J35" i="19"/>
  <c r="AI35" i="19"/>
  <c r="AJ35" i="19"/>
  <c r="J34" i="19"/>
  <c r="AI34" i="19"/>
  <c r="AJ34" i="19"/>
  <c r="J33" i="19"/>
  <c r="AI33" i="19"/>
  <c r="AJ33" i="19"/>
  <c r="J32" i="19"/>
  <c r="AI32" i="19"/>
  <c r="AJ32" i="19"/>
  <c r="J31" i="19"/>
  <c r="AI31" i="19"/>
  <c r="AJ31" i="19"/>
  <c r="J30" i="19"/>
  <c r="AI30" i="19"/>
  <c r="AJ30" i="19"/>
  <c r="J29" i="19"/>
  <c r="AI29" i="19"/>
  <c r="AJ29" i="19"/>
  <c r="J28" i="19"/>
  <c r="AI28" i="19"/>
  <c r="AJ28" i="19"/>
  <c r="J27" i="19"/>
  <c r="AI27" i="19"/>
  <c r="AJ27" i="19"/>
  <c r="J26" i="19"/>
  <c r="AI26" i="19"/>
  <c r="AJ26" i="19"/>
  <c r="J25" i="19"/>
  <c r="AI25" i="19"/>
  <c r="AJ25" i="19"/>
  <c r="J24" i="19"/>
  <c r="AI24" i="19"/>
  <c r="AJ24" i="19"/>
  <c r="J23" i="19"/>
  <c r="AI23" i="19"/>
  <c r="AJ23" i="19"/>
  <c r="J22" i="19"/>
  <c r="AI22" i="19"/>
  <c r="AJ22" i="19"/>
  <c r="J21" i="19"/>
  <c r="AI21" i="19"/>
  <c r="AJ21" i="19"/>
  <c r="J20" i="19"/>
  <c r="AI20" i="19"/>
  <c r="AJ20" i="19"/>
  <c r="J19" i="19"/>
  <c r="AI19" i="19"/>
  <c r="AJ19" i="19"/>
  <c r="J18" i="19"/>
  <c r="AI18" i="19"/>
  <c r="AJ18" i="19"/>
  <c r="J17" i="19"/>
  <c r="AI17" i="19"/>
  <c r="AJ17" i="19"/>
  <c r="J16" i="19"/>
  <c r="AI16" i="19"/>
  <c r="AJ16" i="19"/>
  <c r="J15" i="19"/>
  <c r="AI15" i="19"/>
  <c r="AJ15" i="19"/>
  <c r="J14" i="19"/>
  <c r="AI14" i="19"/>
  <c r="AJ14" i="19"/>
  <c r="J13" i="19"/>
  <c r="AI13" i="19"/>
  <c r="AJ13" i="19"/>
  <c r="J12" i="19"/>
  <c r="AI12" i="19"/>
  <c r="AJ12" i="19"/>
  <c r="J11" i="19"/>
  <c r="AI11" i="19"/>
  <c r="AJ11" i="19"/>
  <c r="J10" i="19"/>
  <c r="AI10" i="19"/>
  <c r="AJ10" i="19"/>
  <c r="J9" i="19"/>
  <c r="AI9" i="19"/>
  <c r="AJ9" i="19"/>
  <c r="F4" i="19"/>
  <c r="D4" i="19"/>
  <c r="H4" i="19"/>
  <c r="L5" i="7"/>
  <c r="B9" i="1"/>
  <c r="B10" i="1" s="1"/>
  <c r="B6" i="1"/>
  <c r="AG241" i="19" l="1"/>
  <c r="AH241" i="19"/>
  <c r="AK241" i="19" s="1"/>
  <c r="AG240" i="19"/>
  <c r="AH240" i="19"/>
  <c r="AK240" i="19" s="1"/>
  <c r="AG239" i="19"/>
  <c r="AH239" i="19"/>
  <c r="AK239" i="19" s="1"/>
  <c r="AG238" i="19"/>
  <c r="AH238" i="19"/>
  <c r="AK238" i="19" s="1"/>
  <c r="AG237" i="19"/>
  <c r="AH237" i="19"/>
  <c r="AK237" i="19" s="1"/>
  <c r="AG236" i="19"/>
  <c r="AH236" i="19"/>
  <c r="AK236" i="19" s="1"/>
  <c r="AG235" i="19"/>
  <c r="AH235" i="19" s="1"/>
  <c r="AK235" i="19" s="1"/>
  <c r="AG234" i="19"/>
  <c r="AH234" i="19"/>
  <c r="AK234" i="19" s="1"/>
  <c r="AG233" i="19"/>
  <c r="AH233" i="19"/>
  <c r="AK233" i="19" s="1"/>
  <c r="AH232" i="19"/>
  <c r="AG232" i="19"/>
  <c r="AG231" i="19"/>
  <c r="AH231" i="19"/>
  <c r="AK231" i="19" s="1"/>
  <c r="AH230" i="19"/>
  <c r="AK230" i="19" s="1"/>
  <c r="AG230" i="19"/>
  <c r="AG229" i="19"/>
  <c r="AH229" i="19"/>
  <c r="AK229" i="19" s="1"/>
  <c r="AG228" i="19"/>
  <c r="AH228" i="19"/>
  <c r="AK228" i="19" s="1"/>
  <c r="AG227" i="19"/>
  <c r="AH227" i="19" s="1"/>
  <c r="AK227" i="19" s="1"/>
  <c r="AG226" i="19"/>
  <c r="AH226" i="19"/>
  <c r="AK226" i="19" s="1"/>
  <c r="AG225" i="19"/>
  <c r="AH225" i="19"/>
  <c r="AK225" i="19" s="1"/>
  <c r="AH224" i="19"/>
  <c r="AK224" i="19" s="1"/>
  <c r="AG224" i="19"/>
  <c r="AG223" i="19"/>
  <c r="AH223" i="19"/>
  <c r="AK223" i="19" s="1"/>
  <c r="AG222" i="19"/>
  <c r="AH222" i="19"/>
  <c r="AK222" i="19" s="1"/>
  <c r="AG221" i="19"/>
  <c r="AH221" i="19"/>
  <c r="AK221" i="19" s="1"/>
  <c r="AG220" i="19"/>
  <c r="AH220" i="19"/>
  <c r="AK220" i="19" s="1"/>
  <c r="AG219" i="19"/>
  <c r="AH219" i="19"/>
  <c r="AK219" i="19" s="1"/>
  <c r="AG218" i="19"/>
  <c r="AH218" i="19"/>
  <c r="AK218" i="19" s="1"/>
  <c r="AG217" i="19"/>
  <c r="AH217" i="19" s="1"/>
  <c r="AK217" i="19" s="1"/>
  <c r="AG216" i="19"/>
  <c r="AH216" i="19"/>
  <c r="AK216" i="19" s="1"/>
  <c r="AG215" i="19"/>
  <c r="AH215" i="19"/>
  <c r="AK215" i="19" s="1"/>
  <c r="AG214" i="19"/>
  <c r="AH214" i="19"/>
  <c r="AK214" i="19" s="1"/>
  <c r="AG213" i="19"/>
  <c r="AH213" i="19" s="1"/>
  <c r="AK213" i="19" s="1"/>
  <c r="AG212" i="19"/>
  <c r="AH212" i="19" s="1"/>
  <c r="AK212" i="19" s="1"/>
  <c r="AG211" i="19"/>
  <c r="AH211" i="19"/>
  <c r="AK211" i="19" s="1"/>
  <c r="AH210" i="19"/>
  <c r="AG210" i="19"/>
  <c r="AG209" i="19"/>
  <c r="AH209" i="19" s="1"/>
  <c r="AK209" i="19" s="1"/>
  <c r="AG208" i="19"/>
  <c r="AH208" i="19" s="1"/>
  <c r="AK208" i="19" s="1"/>
  <c r="AG207" i="19"/>
  <c r="AH207" i="19" s="1"/>
  <c r="AK207" i="19" s="1"/>
  <c r="AG206" i="19"/>
  <c r="AH206" i="19" s="1"/>
  <c r="AK206" i="19" s="1"/>
  <c r="AG205" i="19"/>
  <c r="AH205" i="19" s="1"/>
  <c r="AK205" i="19" s="1"/>
  <c r="AG204" i="19"/>
  <c r="AH204" i="19"/>
  <c r="AK204" i="19" s="1"/>
  <c r="AG203" i="19"/>
  <c r="AH203" i="19"/>
  <c r="AK203" i="19" s="1"/>
  <c r="AG202" i="19"/>
  <c r="AH202" i="19"/>
  <c r="AK202" i="19" s="1"/>
  <c r="AG201" i="19"/>
  <c r="AH201" i="19"/>
  <c r="AK201" i="19" s="1"/>
  <c r="AG200" i="19"/>
  <c r="AH200" i="19"/>
  <c r="AK200" i="19" s="1"/>
  <c r="AG199" i="19"/>
  <c r="AH199" i="19" s="1"/>
  <c r="AK199" i="19" s="1"/>
  <c r="AG198" i="19"/>
  <c r="AH198" i="19"/>
  <c r="AK198" i="19" s="1"/>
  <c r="AH197" i="19"/>
  <c r="AG197" i="19"/>
  <c r="AG196" i="19"/>
  <c r="AH196" i="19" s="1"/>
  <c r="AK196" i="19" s="1"/>
  <c r="AG195" i="19"/>
  <c r="AH195" i="19"/>
  <c r="AK195" i="19" s="1"/>
  <c r="AH194" i="19"/>
  <c r="AG194" i="19"/>
  <c r="AG193" i="19"/>
  <c r="AH193" i="19"/>
  <c r="AK193" i="19" s="1"/>
  <c r="AG192" i="19"/>
  <c r="AH192" i="19"/>
  <c r="AK192" i="19" s="1"/>
  <c r="AG191" i="19"/>
  <c r="AH191" i="19"/>
  <c r="AK191" i="19" s="1"/>
  <c r="AH190" i="19"/>
  <c r="AG190" i="19"/>
  <c r="AG189" i="19"/>
  <c r="AH189" i="19"/>
  <c r="AK189" i="19" s="1"/>
  <c r="AG188" i="19"/>
  <c r="AH188" i="19"/>
  <c r="AK188" i="19" s="1"/>
  <c r="AH187" i="19"/>
  <c r="AG187" i="19"/>
  <c r="AG186" i="19"/>
  <c r="AH186" i="19"/>
  <c r="AK186" i="19" s="1"/>
  <c r="AG185" i="19"/>
  <c r="AH185" i="19"/>
  <c r="AK185" i="19" s="1"/>
  <c r="AG184" i="19"/>
  <c r="AH184" i="19"/>
  <c r="AK184" i="19" s="1"/>
  <c r="AG183" i="19"/>
  <c r="AH183" i="19"/>
  <c r="AK183" i="19" s="1"/>
  <c r="AG182" i="19"/>
  <c r="AH182" i="19"/>
  <c r="AK182" i="19" s="1"/>
  <c r="AG181" i="19"/>
  <c r="AH181" i="19"/>
  <c r="AK181" i="19" s="1"/>
  <c r="AG180" i="19"/>
  <c r="AH180" i="19"/>
  <c r="AK180" i="19" s="1"/>
  <c r="AG179" i="19"/>
  <c r="AH179" i="19"/>
  <c r="AK179" i="19" s="1"/>
  <c r="AG178" i="19"/>
  <c r="AH178" i="19"/>
  <c r="AK178" i="19" s="1"/>
  <c r="AG177" i="19"/>
  <c r="AH177" i="19"/>
  <c r="AK177" i="19" s="1"/>
  <c r="AG176" i="19"/>
  <c r="AH176" i="19"/>
  <c r="AK176" i="19" s="1"/>
  <c r="AG175" i="19"/>
  <c r="AH175" i="19"/>
  <c r="AK175" i="19" s="1"/>
  <c r="AG174" i="19"/>
  <c r="AH174" i="19"/>
  <c r="AK174" i="19" s="1"/>
  <c r="AG173" i="19"/>
  <c r="AH173" i="19"/>
  <c r="AK173" i="19" s="1"/>
  <c r="AG172" i="19"/>
  <c r="AH172" i="19"/>
  <c r="AK172" i="19" s="1"/>
  <c r="AH171" i="19"/>
  <c r="AK171" i="19" s="1"/>
  <c r="AG171" i="19"/>
  <c r="AH170" i="19"/>
  <c r="AK170" i="19" s="1"/>
  <c r="AG170" i="19"/>
  <c r="AG169" i="19"/>
  <c r="AH169" i="19"/>
  <c r="AK169" i="19" s="1"/>
  <c r="AG168" i="19"/>
  <c r="AH168" i="19"/>
  <c r="AK168" i="19" s="1"/>
  <c r="AG167" i="19"/>
  <c r="AH167" i="19"/>
  <c r="AK167" i="19" s="1"/>
  <c r="AG166" i="19"/>
  <c r="AH166" i="19"/>
  <c r="AK166" i="19" s="1"/>
  <c r="AG165" i="19"/>
  <c r="AH165" i="19"/>
  <c r="AK165" i="19" s="1"/>
  <c r="AG164" i="19"/>
  <c r="AH164" i="19"/>
  <c r="AK164" i="19" s="1"/>
  <c r="AG163" i="19"/>
  <c r="AH163" i="19" s="1"/>
  <c r="AK163" i="19" s="1"/>
  <c r="AG162" i="19"/>
  <c r="AH162" i="19"/>
  <c r="AK162" i="19" s="1"/>
  <c r="AG161" i="19"/>
  <c r="AH161" i="19" s="1"/>
  <c r="AK161" i="19" s="1"/>
  <c r="AG160" i="19"/>
  <c r="AH160" i="19" s="1"/>
  <c r="AK160" i="19" s="1"/>
  <c r="AG159" i="19"/>
  <c r="AH159" i="19"/>
  <c r="AK159" i="19" s="1"/>
  <c r="AG158" i="19"/>
  <c r="AH158" i="19" s="1"/>
  <c r="AK158" i="19" s="1"/>
  <c r="AG157" i="19"/>
  <c r="AH157" i="19"/>
  <c r="AK157" i="19" s="1"/>
  <c r="AG156" i="19"/>
  <c r="AH156" i="19"/>
  <c r="AK156" i="19" s="1"/>
  <c r="AH155" i="19"/>
  <c r="AG155" i="19"/>
  <c r="AG154" i="19"/>
  <c r="AH154" i="19" s="1"/>
  <c r="AK154" i="19" s="1"/>
  <c r="AH153" i="19"/>
  <c r="AK153" i="19" s="1"/>
  <c r="AG153" i="19"/>
  <c r="AH152" i="19"/>
  <c r="AG152" i="19"/>
  <c r="AG151" i="19"/>
  <c r="AH151" i="19"/>
  <c r="AK151" i="19" s="1"/>
  <c r="AG150" i="19"/>
  <c r="AH150" i="19" s="1"/>
  <c r="AK150" i="19" s="1"/>
  <c r="AG149" i="19"/>
  <c r="AH149" i="19" s="1"/>
  <c r="AK149" i="19" s="1"/>
  <c r="AG148" i="19"/>
  <c r="AH148" i="19"/>
  <c r="AK148" i="19" s="1"/>
  <c r="AH147" i="19"/>
  <c r="AK147" i="19" s="1"/>
  <c r="AG147" i="19"/>
  <c r="AG146" i="19"/>
  <c r="AH146" i="19"/>
  <c r="AK146" i="19" s="1"/>
  <c r="AH145" i="19"/>
  <c r="AK145" i="19" s="1"/>
  <c r="AG145" i="19"/>
  <c r="AG144" i="19"/>
  <c r="AH144" i="19"/>
  <c r="AK144" i="19" s="1"/>
  <c r="AG143" i="19"/>
  <c r="AH143" i="19"/>
  <c r="AK143" i="19" s="1"/>
  <c r="AH142" i="19"/>
  <c r="AK142" i="19" s="1"/>
  <c r="AG142" i="19"/>
  <c r="AG141" i="19"/>
  <c r="AH141" i="19"/>
  <c r="AK141" i="19" s="1"/>
  <c r="AH140" i="19"/>
  <c r="AG140" i="19"/>
  <c r="AG139" i="19"/>
  <c r="AH139" i="19"/>
  <c r="AK139" i="19" s="1"/>
  <c r="AG138" i="19"/>
  <c r="AH138" i="19"/>
  <c r="AK138" i="19" s="1"/>
  <c r="AG137" i="19"/>
  <c r="AH137" i="19"/>
  <c r="AK137" i="19" s="1"/>
  <c r="AG136" i="19"/>
  <c r="AH136" i="19" s="1"/>
  <c r="AK136" i="19" s="1"/>
  <c r="AH135" i="19"/>
  <c r="AK135" i="19" s="1"/>
  <c r="AG135" i="19"/>
  <c r="AH134" i="19"/>
  <c r="AK134" i="19" s="1"/>
  <c r="AG134" i="19"/>
  <c r="AH133" i="19"/>
  <c r="AK133" i="19" s="1"/>
  <c r="AG133" i="19"/>
  <c r="AG132" i="19"/>
  <c r="AH132" i="19"/>
  <c r="AK132" i="19" s="1"/>
  <c r="AG131" i="19"/>
  <c r="AH131" i="19"/>
  <c r="AK131" i="19" s="1"/>
  <c r="AG130" i="19"/>
  <c r="AH130" i="19"/>
  <c r="AK130" i="19" s="1"/>
  <c r="AG129" i="19"/>
  <c r="AH129" i="19"/>
  <c r="AK129" i="19" s="1"/>
  <c r="AH128" i="19"/>
  <c r="AK128" i="19" s="1"/>
  <c r="AG128" i="19"/>
  <c r="AG127" i="19"/>
  <c r="AH127" i="19"/>
  <c r="AK127" i="19" s="1"/>
  <c r="AG126" i="19"/>
  <c r="AH126" i="19"/>
  <c r="AK126" i="19" s="1"/>
  <c r="AH125" i="19"/>
  <c r="AK125" i="19" s="1"/>
  <c r="AG125" i="19"/>
  <c r="AG124" i="19"/>
  <c r="AH124" i="19"/>
  <c r="AK124" i="19" s="1"/>
  <c r="AG123" i="19"/>
  <c r="AH123" i="19"/>
  <c r="AK123" i="19" s="1"/>
  <c r="AG122" i="19"/>
  <c r="AH122" i="19"/>
  <c r="AK122" i="19" s="1"/>
  <c r="AG121" i="19"/>
  <c r="AH121" i="19"/>
  <c r="AK121" i="19" s="1"/>
  <c r="AG120" i="19"/>
  <c r="AH120" i="19"/>
  <c r="AK120" i="19" s="1"/>
  <c r="AG119" i="19"/>
  <c r="AH119" i="19"/>
  <c r="AK119" i="19" s="1"/>
  <c r="AG118" i="19"/>
  <c r="AH118" i="19"/>
  <c r="AK118" i="19" s="1"/>
  <c r="AG117" i="19"/>
  <c r="AH117" i="19"/>
  <c r="AK117" i="19" s="1"/>
  <c r="AG116" i="19"/>
  <c r="AH116" i="19"/>
  <c r="AK116" i="19" s="1"/>
  <c r="AG115" i="19"/>
  <c r="AH115" i="19"/>
  <c r="AK115" i="19" s="1"/>
  <c r="AG114" i="19"/>
  <c r="AH114" i="19"/>
  <c r="AK114" i="19" s="1"/>
  <c r="AG113" i="19"/>
  <c r="AH113" i="19"/>
  <c r="AK113" i="19" s="1"/>
  <c r="AG112" i="19"/>
  <c r="AH112" i="19"/>
  <c r="AK112" i="19" s="1"/>
  <c r="AG111" i="19"/>
  <c r="AH111" i="19"/>
  <c r="AK111" i="19" s="1"/>
  <c r="AG110" i="19"/>
  <c r="AH110" i="19"/>
  <c r="AK110" i="19" s="1"/>
  <c r="AG109" i="19"/>
  <c r="AH109" i="19"/>
  <c r="AK109" i="19" s="1"/>
  <c r="AG108" i="19"/>
  <c r="AH108" i="19"/>
  <c r="AK108" i="19" s="1"/>
  <c r="AG107" i="19"/>
  <c r="AH107" i="19"/>
  <c r="AK107" i="19" s="1"/>
  <c r="AG106" i="19"/>
  <c r="AH106" i="19"/>
  <c r="AK106" i="19" s="1"/>
  <c r="AG105" i="19"/>
  <c r="AH105" i="19"/>
  <c r="AG104" i="19"/>
  <c r="AH104" i="19"/>
  <c r="AK104" i="19" s="1"/>
  <c r="AG103" i="19"/>
  <c r="AH103" i="19"/>
  <c r="AK103" i="19" s="1"/>
  <c r="AG102" i="19"/>
  <c r="AH102" i="19"/>
  <c r="AK102" i="19" s="1"/>
  <c r="AG101" i="19"/>
  <c r="AH101" i="19"/>
  <c r="AK101" i="19" s="1"/>
  <c r="AG100" i="19"/>
  <c r="AH100" i="19"/>
  <c r="AK100" i="19" s="1"/>
  <c r="AG99" i="19"/>
  <c r="AH99" i="19"/>
  <c r="AK99" i="19" s="1"/>
  <c r="AG98" i="19"/>
  <c r="AH98" i="19"/>
  <c r="AK98" i="19" s="1"/>
  <c r="AG97" i="19"/>
  <c r="AH97" i="19"/>
  <c r="AK97" i="19" s="1"/>
  <c r="AG96" i="19"/>
  <c r="AH96" i="19"/>
  <c r="AK96" i="19" s="1"/>
  <c r="AG95" i="19"/>
  <c r="AH95" i="19"/>
  <c r="AK95" i="19" s="1"/>
  <c r="AG94" i="19"/>
  <c r="AH94" i="19"/>
  <c r="AK94" i="19" s="1"/>
  <c r="AG93" i="19"/>
  <c r="AH93" i="19"/>
  <c r="AK93" i="19" s="1"/>
  <c r="AG92" i="19"/>
  <c r="AH92" i="19"/>
  <c r="AK92" i="19" s="1"/>
  <c r="AG91" i="19"/>
  <c r="AH91" i="19"/>
  <c r="AK91" i="19" s="1"/>
  <c r="AG90" i="19"/>
  <c r="AH90" i="19"/>
  <c r="AK90" i="19" s="1"/>
  <c r="AG89" i="19"/>
  <c r="AH89" i="19"/>
  <c r="AK89" i="19" s="1"/>
  <c r="AG88" i="19"/>
  <c r="AH88" i="19"/>
  <c r="AK88" i="19" s="1"/>
  <c r="AG87" i="19"/>
  <c r="AH87" i="19"/>
  <c r="AK87" i="19" s="1"/>
  <c r="AG86" i="19"/>
  <c r="AH86" i="19"/>
  <c r="AK86" i="19" s="1"/>
  <c r="AG85" i="19"/>
  <c r="AH85" i="19"/>
  <c r="AK85" i="19" s="1"/>
  <c r="AH84" i="19"/>
  <c r="AG84" i="19"/>
  <c r="AG83" i="19"/>
  <c r="AH83" i="19" s="1"/>
  <c r="AK83" i="19" s="1"/>
  <c r="AH82" i="19"/>
  <c r="AG82" i="19"/>
  <c r="AH81" i="19"/>
  <c r="AG81" i="19"/>
  <c r="AG80" i="19"/>
  <c r="AH80" i="19"/>
  <c r="AK80" i="19" s="1"/>
  <c r="AG79" i="19"/>
  <c r="AH79" i="19"/>
  <c r="AK79" i="19" s="1"/>
  <c r="AH78" i="19"/>
  <c r="AG78" i="19"/>
  <c r="AG77" i="19"/>
  <c r="AH77" i="19"/>
  <c r="AK77" i="19" s="1"/>
  <c r="AH76" i="19"/>
  <c r="AG76" i="19"/>
  <c r="AG75" i="19"/>
  <c r="AH75" i="19"/>
  <c r="AK75" i="19" s="1"/>
  <c r="AG74" i="19"/>
  <c r="AH74" i="19"/>
  <c r="AK74" i="19" s="1"/>
  <c r="AH73" i="19"/>
  <c r="AG73" i="19"/>
  <c r="AH72" i="19"/>
  <c r="AK72" i="19" s="1"/>
  <c r="AG72" i="19"/>
  <c r="AH71" i="19"/>
  <c r="AK71" i="19" s="1"/>
  <c r="AG71" i="19"/>
  <c r="AH70" i="19"/>
  <c r="AK70" i="19" s="1"/>
  <c r="AG70" i="19"/>
  <c r="AG69" i="19"/>
  <c r="AH69" i="19"/>
  <c r="AK69" i="19" s="1"/>
  <c r="AH68" i="19"/>
  <c r="AG68" i="19"/>
  <c r="AH67" i="19"/>
  <c r="AK67" i="19" s="1"/>
  <c r="AG67" i="19"/>
  <c r="AG66" i="19"/>
  <c r="AH66" i="19"/>
  <c r="AK66" i="19" s="1"/>
  <c r="AG65" i="19"/>
  <c r="AH65" i="19"/>
  <c r="AK65" i="19" s="1"/>
  <c r="AG64" i="19"/>
  <c r="AH64" i="19"/>
  <c r="AK64" i="19" s="1"/>
  <c r="AG63" i="19"/>
  <c r="AH63" i="19"/>
  <c r="AK63" i="19" s="1"/>
  <c r="AG62" i="19"/>
  <c r="AH62" i="19"/>
  <c r="AK62" i="19" s="1"/>
  <c r="AG61" i="19"/>
  <c r="AH61" i="19"/>
  <c r="AK61" i="19" s="1"/>
  <c r="AG60" i="19"/>
  <c r="AH60" i="19"/>
  <c r="AK60" i="19" s="1"/>
  <c r="AG59" i="19"/>
  <c r="AH59" i="19"/>
  <c r="AK59" i="19" s="1"/>
  <c r="AG58" i="19"/>
  <c r="AH58" i="19"/>
  <c r="AK58" i="19" s="1"/>
  <c r="AG57" i="19"/>
  <c r="AH57" i="19"/>
  <c r="AK57" i="19" s="1"/>
  <c r="AG56" i="19"/>
  <c r="AH56" i="19"/>
  <c r="AK56" i="19" s="1"/>
  <c r="AG55" i="19"/>
  <c r="AH55" i="19"/>
  <c r="AK55" i="19" s="1"/>
  <c r="AG54" i="19"/>
  <c r="AH54" i="19"/>
  <c r="AK54" i="19" s="1"/>
  <c r="AG53" i="19"/>
  <c r="AH53" i="19"/>
  <c r="AK53" i="19" s="1"/>
  <c r="AG52" i="19"/>
  <c r="AH52" i="19"/>
  <c r="AK52" i="19" s="1"/>
  <c r="AG51" i="19"/>
  <c r="AH51" i="19"/>
  <c r="AK51" i="19" s="1"/>
  <c r="AG50" i="19"/>
  <c r="AH50" i="19"/>
  <c r="AK50" i="19" s="1"/>
  <c r="AG49" i="19"/>
  <c r="AH49" i="19" s="1"/>
  <c r="AK49" i="19" s="1"/>
  <c r="AG48" i="19"/>
  <c r="AH48" i="19"/>
  <c r="AK48" i="19" s="1"/>
  <c r="AG47" i="19"/>
  <c r="AH47" i="19"/>
  <c r="AK47" i="19" s="1"/>
  <c r="AG46" i="19"/>
  <c r="AH46" i="19"/>
  <c r="AK46" i="19" s="1"/>
  <c r="AG45" i="19"/>
  <c r="AH45" i="19"/>
  <c r="AK45" i="19" s="1"/>
  <c r="AG44" i="19"/>
  <c r="AH44" i="19" s="1"/>
  <c r="AK44" i="19" s="1"/>
  <c r="AG43" i="19"/>
  <c r="AH43" i="19"/>
  <c r="AK43" i="19" s="1"/>
  <c r="AG42" i="19"/>
  <c r="AH42" i="19"/>
  <c r="AK42" i="19" s="1"/>
  <c r="AG41" i="19"/>
  <c r="AH41" i="19" s="1"/>
  <c r="AK41" i="19" s="1"/>
  <c r="AG40" i="19"/>
  <c r="AH40" i="19"/>
  <c r="AK40" i="19" s="1"/>
  <c r="AG39" i="19"/>
  <c r="AH39" i="19" s="1"/>
  <c r="AK39" i="19" s="1"/>
  <c r="AG38" i="19"/>
  <c r="AH38" i="19" s="1"/>
  <c r="AK38" i="19" s="1"/>
  <c r="AG37" i="19"/>
  <c r="AH37" i="19"/>
  <c r="AK37" i="19" s="1"/>
  <c r="AG36" i="19"/>
  <c r="AH36" i="19"/>
  <c r="AK36" i="19" s="1"/>
  <c r="AG35" i="19"/>
  <c r="AH35" i="19" s="1"/>
  <c r="AK35" i="19" s="1"/>
  <c r="AG34" i="19"/>
  <c r="AH34" i="19"/>
  <c r="AK34" i="19" s="1"/>
  <c r="AG33" i="19"/>
  <c r="AH33" i="19"/>
  <c r="AK33" i="19" s="1"/>
  <c r="AG32" i="19"/>
  <c r="AH32" i="19" s="1"/>
  <c r="AK32" i="19" s="1"/>
  <c r="AG31" i="19"/>
  <c r="AH31" i="19"/>
  <c r="AK31" i="19" s="1"/>
  <c r="AG30" i="19"/>
  <c r="AH30" i="19"/>
  <c r="AK30" i="19" s="1"/>
  <c r="AG29" i="19"/>
  <c r="AH29" i="19"/>
  <c r="AK29" i="19" s="1"/>
  <c r="AG28" i="19"/>
  <c r="AH28" i="19"/>
  <c r="AK28" i="19" s="1"/>
  <c r="AG27" i="19"/>
  <c r="AH27" i="19"/>
  <c r="AK27" i="19" s="1"/>
  <c r="AG26" i="19"/>
  <c r="AH26" i="19"/>
  <c r="AK26" i="19" s="1"/>
  <c r="AG25" i="19"/>
  <c r="AH25" i="19"/>
  <c r="AK25" i="19" s="1"/>
  <c r="AG24" i="19"/>
  <c r="AH24" i="19" s="1"/>
  <c r="AK24" i="19" s="1"/>
  <c r="AG23" i="19"/>
  <c r="AH23" i="19" s="1"/>
  <c r="AK23" i="19" s="1"/>
  <c r="AG22" i="19"/>
  <c r="AH22" i="19"/>
  <c r="AK22" i="19" s="1"/>
  <c r="AG21" i="19"/>
  <c r="AH21" i="19"/>
  <c r="AK21" i="19" s="1"/>
  <c r="AG20" i="19"/>
  <c r="AH20" i="19"/>
  <c r="AG19" i="19"/>
  <c r="AH19" i="19" s="1"/>
  <c r="AK19" i="19" s="1"/>
  <c r="AG18" i="19"/>
  <c r="AH18" i="19"/>
  <c r="AK18" i="19" s="1"/>
  <c r="AG17" i="19"/>
  <c r="AH17" i="19"/>
  <c r="AK17" i="19" s="1"/>
  <c r="AG16" i="19"/>
  <c r="AH16" i="19"/>
  <c r="AK16" i="19" s="1"/>
  <c r="AG15" i="19"/>
  <c r="AH15" i="19"/>
  <c r="AK15" i="19" s="1"/>
  <c r="AG14" i="19"/>
  <c r="AH14" i="19"/>
  <c r="AK14" i="19" s="1"/>
  <c r="AG13" i="19"/>
  <c r="AH13" i="19" s="1"/>
  <c r="AK13" i="19" s="1"/>
  <c r="AG12" i="19"/>
  <c r="AH12" i="19"/>
  <c r="AK12" i="19" s="1"/>
  <c r="AG11" i="19"/>
  <c r="AH11" i="19"/>
  <c r="AK11" i="19" s="1"/>
  <c r="AG10" i="19"/>
  <c r="AH10" i="19"/>
  <c r="AK10" i="19" s="1"/>
  <c r="J4" i="19"/>
  <c r="AG9" i="19"/>
  <c r="AH9" i="19"/>
  <c r="AK9" i="19" s="1"/>
  <c r="AK197" i="19" l="1"/>
  <c r="AK140" i="19"/>
  <c r="AK105" i="19"/>
  <c r="AK20" i="19"/>
  <c r="L4" i="19" s="1"/>
  <c r="AK194" i="19"/>
  <c r="AK190" i="19"/>
  <c r="AK187" i="19"/>
  <c r="AK155" i="19"/>
  <c r="AK68" i="19"/>
  <c r="AK84" i="19"/>
  <c r="AK82" i="19"/>
  <c r="AK81" i="19"/>
  <c r="AK78" i="19"/>
  <c r="AK76" i="19"/>
  <c r="AK73" i="19"/>
  <c r="AK232" i="19"/>
  <c r="AK210" i="19"/>
  <c r="AK152"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tc={7002C9EA-35A0-71D7-1E60-A0BDA7D5761E}</author>
    <author>tc={97FD37E1-5B1B-2FFC-149D-381CE570E900}</author>
  </authors>
  <commentList>
    <comment ref="B6" authorId="0" shapeId="0" xr:uid="{00000000-0006-0000-00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Proyección: 233 entradas menos una redirección aprobada (stewardpuertorico → steward).</t>
      </text>
    </comment>
    <comment ref="B15"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dictamen aprobado degrada price–totumo; por eso el total proyectado baja de 382 a 381 corroboradas.</t>
      </text>
    </comment>
  </commentList>
</comments>
</file>

<file path=xl/sharedStrings.xml><?xml version="1.0" encoding="utf-8"?>
<sst xmlns="http://schemas.openxmlformats.org/spreadsheetml/2006/main" count="19530" uniqueCount="3189">
  <si>
    <t>Atlas 2.0 · control de migración de 233 entradas</t>
  </si>
  <si>
    <t>Plan editorial y técnico por lotes. No modifica el corpus público ni autoriza una integración en main.</t>
  </si>
  <si>
    <t>Indicador</t>
  </si>
  <si>
    <t>Valor</t>
  </si>
  <si>
    <t>Reglas de cierre</t>
  </si>
  <si>
    <t>Entradas fuente v1.15.0</t>
  </si>
  <si>
    <t>1. La fuente pública permanece intacta durante toda la migración.</t>
  </si>
  <si>
    <t>Nodos efectivos proyectados</t>
  </si>
  <si>
    <t>2. Cada lote conserva f, l, tr, y y los identificadores heredados.</t>
  </si>
  <si>
    <t>Clasificaciones confirmadas (P00+A01+A02)</t>
  </si>
  <si>
    <t>3. Ninguna candidatura se vuelve confirmación sin fuente y fundamento.</t>
  </si>
  <si>
    <t>Redirecciones aprobadas (P00+A01+A02)</t>
  </si>
  <si>
    <t>4. Una relación se revisa cuando ambos extremos ya fueron revisados.</t>
  </si>
  <si>
    <t>Entradas listas para generar</t>
  </si>
  <si>
    <t>5. Cada lote exige generador reproducible, validador, diff y aprobación.</t>
  </si>
  <si>
    <t>Entradas aún no listas</t>
  </si>
  <si>
    <t>6. Cada lote ocupa un commit propio y puede revertirse sin tocar otros.</t>
  </si>
  <si>
    <t>Lotes totales</t>
  </si>
  <si>
    <t>7. C1, C2 y C5 no se rellenan para equilibrar cifras.</t>
  </si>
  <si>
    <t>Lotes cerrados</t>
  </si>
  <si>
    <t>8. La publicación solo se considera después de cerrar los 16 lotes, incluido T01.</t>
  </si>
  <si>
    <t>Relaciones fuente v1.15.0</t>
  </si>
  <si>
    <t>Corroboradas en fuente</t>
  </si>
  <si>
    <t>Punto de partida comprobado</t>
  </si>
  <si>
    <t>Por corroborar en fuente</t>
  </si>
  <si>
    <t>v1.15.0: 233 entradas, 588 relaciones y 30 lugares.</t>
  </si>
  <si>
    <t>Corroboradas tras dictamen</t>
  </si>
  <si>
    <t>P00, S01, A01 y A02 están cerrados como capas de transición reproducibles.</t>
  </si>
  <si>
    <t>Por corroborar tras dictamen</t>
  </si>
  <si>
    <t>El parche conceptual fddd441 no altera el corpus público ni reabre esos lotes.</t>
  </si>
  <si>
    <t>Relaciones listas para generar</t>
  </si>
  <si>
    <t>Siguiente acción: T01 sobre el campo tr; A03 queda detrás de T01. No cambiar a main.</t>
  </si>
  <si>
    <t>Atlas 2.0 · dieciséis lotes revisables</t>
  </si>
  <si>
    <t>Máximo 18 entradas por lote intelectual. T01 es un pase técnico transversal sobre las 233 entradas y no reclasifica corrientes.</t>
  </si>
  <si>
    <t>Secuencia</t>
  </si>
  <si>
    <t>Lote</t>
  </si>
  <si>
    <t>Enfoque</t>
  </si>
  <si>
    <t>Criterio editorial</t>
  </si>
  <si>
    <t>Entradas</t>
  </si>
  <si>
    <t>Relaciones asignadas</t>
  </si>
  <si>
    <t>Internas</t>
  </si>
  <si>
    <t>Frontera</t>
  </si>
  <si>
    <t>Corroboradas iniciales</t>
  </si>
  <si>
    <t>Por corroborar iniciales</t>
  </si>
  <si>
    <t>Estado</t>
  </si>
  <si>
    <t>Dependencia</t>
  </si>
  <si>
    <t>Criterio de aceptación</t>
  </si>
  <si>
    <t>Reversión</t>
  </si>
  <si>
    <t>P00</t>
  </si>
  <si>
    <t>Piloto aprobado</t>
  </si>
  <si>
    <t>Diez casos representativos; ocho clasificaciones confirmadas, una redirección y un nodo compuesto que permanece pendiente.</t>
  </si>
  <si>
    <t>cerrado_capa_transicion</t>
  </si>
  <si>
    <t>—</t>
  </si>
  <si>
    <t>100 % de entradas y relaciones asignadas con fuente/fundamento, aprobación académica, QA=pasa y validador con 0 errores y 0 advertencias.</t>
  </si>
  <si>
    <t>Commit propio; revertir únicamente ese commit y regenerar desde la fuente heredada.</t>
  </si>
  <si>
    <t>S01</t>
  </si>
  <si>
    <t>Bloqueos bibliográficos e identidad</t>
  </si>
  <si>
    <t>Resolver divisiones, referencias incompletas, correcciones de tipo y metadatos antes de ampliar la clasificación.</t>
  </si>
  <si>
    <t>A01</t>
  </si>
  <si>
    <t>Candidatura única · tramo 1</t>
  </si>
  <si>
    <t>Confirmar o corregir la candidatura única mediante fuente y fundamento escrito.</t>
  </si>
  <si>
    <t>A02</t>
  </si>
  <si>
    <t>Candidatura única · tramo 2</t>
  </si>
  <si>
    <t>T01</t>
  </si>
  <si>
    <t>Descomposición controlada del campo tr</t>
  </si>
  <si>
    <t>Conservar tr y separar lengua de publicación, orilla de producción, territorio estudiado y alcance comparativo. La extracción mecánica solo propone; ninguna propuesta se confirma sin revisión humana.</t>
  </si>
  <si>
    <t>siguiente</t>
  </si>
  <si>
    <t>233 valores originales conservados; 233 revisiones explícitas; ninguna lengua u orilla confirmada por inferencia; QA con 0 errores y aprobación académica.</t>
  </si>
  <si>
    <t>Commit propio; revertir solo T01. No escribir en datos-atlas.js/json ni alterar P00, S01, A01 o A02.</t>
  </si>
  <si>
    <t>A03</t>
  </si>
  <si>
    <t>Candidatura única · tramo 3</t>
  </si>
  <si>
    <t>pendiente</t>
  </si>
  <si>
    <t>B01</t>
  </si>
  <si>
    <t>Candidaturas múltiples · tramo 1</t>
  </si>
  <si>
    <t>Leer para decidir qué corriente organiza el argumento; las coetiquetas solo orientan.</t>
  </si>
  <si>
    <t>B02</t>
  </si>
  <si>
    <t>Candidaturas múltiples · tramo 2</t>
  </si>
  <si>
    <t>B03</t>
  </si>
  <si>
    <t>Candidaturas múltiples · tramo 3</t>
  </si>
  <si>
    <t>B04</t>
  </si>
  <si>
    <t>Candidaturas múltiples · tramo 4</t>
  </si>
  <si>
    <t>B05</t>
  </si>
  <si>
    <t>Candidaturas múltiples · tramo 5</t>
  </si>
  <si>
    <t>C01</t>
  </si>
  <si>
    <t>Colonialidad y candidatura · tramo 1</t>
  </si>
  <si>
    <t>Distinguir invasión, régimen esclavista, administración imperial y persistencia contemporánea.</t>
  </si>
  <si>
    <t>C02</t>
  </si>
  <si>
    <t>Colonialidad y candidatura · tramo 2</t>
  </si>
  <si>
    <t>C03</t>
  </si>
  <si>
    <t>Colonialidad y candidatura · tramo 3</t>
  </si>
  <si>
    <t>C04</t>
  </si>
  <si>
    <t>Colonialidad y candidatura · tramo 4</t>
  </si>
  <si>
    <t>DE01</t>
  </si>
  <si>
    <t>Sin destino derivable</t>
  </si>
  <si>
    <t>Lectura completa: colonialidad sola o etiquetas que pasan a marcas; queda prohibida la clasificación por título.</t>
  </si>
  <si>
    <t>Atlas 2.0 · plan operativo de 233 entradas</t>
  </si>
  <si>
    <t>Las columnas A–G conservan el contexto heredado. Las decisiones 2.0 empiezan en K y no se confirman automáticamente.</t>
  </si>
  <si>
    <t>id</t>
  </si>
  <si>
    <t>Título</t>
  </si>
  <si>
    <t>Autoría</t>
  </si>
  <si>
    <t>Año heredado</t>
  </si>
  <si>
    <t>Estado de candidatura</t>
  </si>
  <si>
    <t>Corriente(s) candidata(s)</t>
  </si>
  <si>
    <t>Proceso</t>
  </si>
  <si>
    <t>Orden</t>
  </si>
  <si>
    <t>Complejidad</t>
  </si>
  <si>
    <t>Estado editorial</t>
  </si>
  <si>
    <t>Corriente principal 2.0</t>
  </si>
  <si>
    <t>Secundarias 2.0</t>
  </si>
  <si>
    <t>Operaciones epistémicas</t>
  </si>
  <si>
    <t>Temporalidades</t>
  </si>
  <si>
    <t>Orillas / rutas</t>
  </si>
  <si>
    <t>Fuente de decisión</t>
  </si>
  <si>
    <t>Fundamento</t>
  </si>
  <si>
    <t>Responsable</t>
  </si>
  <si>
    <t>Fecha revisión</t>
  </si>
  <si>
    <t>QA técnico</t>
  </si>
  <si>
    <t>Aprobación académica</t>
  </si>
  <si>
    <t>Listo para generar</t>
  </si>
  <si>
    <t>Pendientes / nota</t>
  </si>
  <si>
    <t>mintz</t>
  </si>
  <si>
    <t>Caribbean Transformations / Sweetness and Power</t>
  </si>
  <si>
    <t>Sidney W. Mintz</t>
  </si>
  <si>
    <t>1974–85</t>
  </si>
  <si>
    <t>A · candidatura preliminar única</t>
  </si>
  <si>
    <t>C4 · Postplantación, trabajo y desposesión</t>
  </si>
  <si>
    <t>división + migración</t>
  </si>
  <si>
    <t>piloto aprobado</t>
  </si>
  <si>
    <t>pendiente_revision_con_texto</t>
  </si>
  <si>
    <t>{"valor_heredado":"1974–85","publicacion":null,"requiere_revision":true}</t>
  </si>
  <si>
    <t>El nodo reúne dos obras con argumentos diferentes; no se confirma una corriente única hasta revisar cada componente.</t>
  </si>
  <si>
    <t>Dirección académica de Pensamiento Caribe</t>
  </si>
  <si>
    <t>pasa</t>
  </si>
  <si>
    <t>aprobada</t>
  </si>
  <si>
    <t>corriente_por_componente; mecanismo_capitalismo_racial; operaciones; orillas</t>
  </si>
  <si>
    <t>trouillot</t>
  </si>
  <si>
    <t>The Caribbean Region: An Open Frontier</t>
  </si>
  <si>
    <t>Michel-Rolph Trouillot</t>
  </si>
  <si>
    <t>1992</t>
  </si>
  <si>
    <t>C · reparto de colonialidad y candidaturas</t>
  </si>
  <si>
    <t>C9 · Memorias, espiritualidades y archivos vivos</t>
  </si>
  <si>
    <t>reclasificación</t>
  </si>
  <si>
    <t>reparto de colonialidad</t>
  </si>
  <si>
    <t>sin_iniciar</t>
  </si>
  <si>
    <t>casimir</t>
  </si>
  <si>
    <t>The Haitians: A Decolonial History</t>
  </si>
  <si>
    <t>Jean Casimir</t>
  </si>
  <si>
    <t>2020</t>
  </si>
  <si>
    <t>price</t>
  </si>
  <si>
    <t>Maroon Societies</t>
  </si>
  <si>
    <t>Richard Price (ed.)</t>
  </si>
  <si>
    <t>1973</t>
  </si>
  <si>
    <t>B · varias candidaturas preliminares</t>
  </si>
  <si>
    <t>C3 · Fugas, cimarronajes y emancipaciones | C9 · Memorias, espiritualidades y archivos vivos</t>
  </si>
  <si>
    <t>confirmada</t>
  </si>
  <si>
    <t>fugas_cimarronajes_emancipaciones</t>
  </si>
  <si>
    <t>reconstruir un archivo; comparar orillas</t>
  </si>
  <si>
    <t>{"publicacion":{"valor":1973,"era":"EC","precision":"exacta"}}</t>
  </si>
  <si>
    <t>https://search.worldcat.org/oclc/805137?tab=details
https://www.press.jhu.edu/books/title/1940/maroon-societies</t>
  </si>
  <si>
    <t>El volumen organiza una comparación hemisférica de comunidades cimarronas y combina fuentes históricas y estudios antropológicos.</t>
  </si>
  <si>
    <t>orillas</t>
  </si>
  <si>
    <t>fouchard</t>
  </si>
  <si>
    <t>Les marrons de la liberté</t>
  </si>
  <si>
    <t>Jean Fouchard</t>
  </si>
  <si>
    <t>1972</t>
  </si>
  <si>
    <t>C3 · Fugas, cimarronajes y emancipaciones | C7 · Soberanías, fronteras y ocupaciones</t>
  </si>
  <si>
    <t>elección entre candidaturas</t>
  </si>
  <si>
    <t>roberts</t>
  </si>
  <si>
    <t>Freedom as Marronage</t>
  </si>
  <si>
    <t>Neil Roberts</t>
  </si>
  <si>
    <t>2015</t>
  </si>
  <si>
    <t>totumo</t>
  </si>
  <si>
    <t>Los acuerdos y la idealización del palenque en la provincia de Cartagena: el caso del Totumo (1714-1767)</t>
  </si>
  <si>
    <t>Dolcey Romero Jaramillo</t>
  </si>
  <si>
    <t>corrección bibliográfica + reclasificación</t>
  </si>
  <si>
    <t>reconstruir un archivo; confrontar una categoría</t>
  </si>
  <si>
    <t>{"publicacion":{"valor":2020,"era":"EC","precision":"exacta"},"periodo_estudiado":{"inicio":{"valor":1714,"era":"EC","precision":"exacta"},"fin":{"valor":1767,"era":"EC","precision":"exacta"}}}</t>
  </si>
  <si>
    <t>https://revistas.uniatlantico.edu.co/index.php/Historia_Caribe/article/view/2403
https://doi.org/10.15648/hc.37.2020.9</t>
  </si>
  <si>
    <t>El artículo reconstruye acuerdos entre cimarrones y autoridades coloniales y cuestiona la idealización del palenque como libertad absoluta.</t>
  </si>
  <si>
    <t>ortiz</t>
  </si>
  <si>
    <t>Contrapunteo cubano / Transculturación</t>
  </si>
  <si>
    <t>Fernando Ortiz</t>
  </si>
  <si>
    <t>1940</t>
  </si>
  <si>
    <t>C8 · Creolizaciones, traducciones y opacidades | C4 · Postplantación, trabajo y desposesión</t>
  </si>
  <si>
    <t>división + reclasificación</t>
  </si>
  <si>
    <t>bloqueo editorial</t>
  </si>
  <si>
    <t>glissant</t>
  </si>
  <si>
    <t>Poétique de la Relation / Le discours antillais</t>
  </si>
  <si>
    <t>Édouard Glissant</t>
  </si>
  <si>
    <t>1981–90</t>
  </si>
  <si>
    <t>C8 · Creolizaciones, traducciones y opacidades</t>
  </si>
  <si>
    <t>brathwaite</t>
  </si>
  <si>
    <t>Nation Language / Tidalectics</t>
  </si>
  <si>
    <t>Kamau Brathwaite</t>
  </si>
  <si>
    <t>1984</t>
  </si>
  <si>
    <t>C8 · Creolizaciones, traducciones y opacidades | C9 · Memorias, espiritualidades y archivos vivos</t>
  </si>
  <si>
    <t>creolite</t>
  </si>
  <si>
    <t>Éloge de la créolité</t>
  </si>
  <si>
    <t>Bernabé, Chamoiseau, Confiant</t>
  </si>
  <si>
    <t>1989</t>
  </si>
  <si>
    <t>migración</t>
  </si>
  <si>
    <t>confirmación de candidatura única</t>
  </si>
  <si>
    <t>monahan</t>
  </si>
  <si>
    <t>Creolizing Practices of Freedom: Recognition and Dissonance / The Creolizing Subject: Race, Reason, and the Politics of Purity</t>
  </si>
  <si>
    <t>Michael Monahan</t>
  </si>
  <si>
    <t>2011–23</t>
  </si>
  <si>
    <t>vete</t>
  </si>
  <si>
    <t>The Caribbean Oral Tradition</t>
  </si>
  <si>
    <t>Hanétha Vété-Congolo (ed.)</t>
  </si>
  <si>
    <t>2016</t>
  </si>
  <si>
    <t>chande</t>
  </si>
  <si>
    <t>Sonoridades del Chandé en el Caribe seco</t>
  </si>
  <si>
    <t>borrador / archivo</t>
  </si>
  <si>
    <t>memorias_espiritualidades_archivos_vivos</t>
  </si>
  <si>
    <t>creolizaciones_traducciones_opacidades</t>
  </si>
  <si>
    <t>producir etnografía; escuchar; preservar una memoria; documentar una práctica; teorizar</t>
  </si>
  <si>
    <t>{"publicacion":{"valor":2016,"era":"EC","precision":"exacta"}}</t>
  </si>
  <si>
    <t>orillas: La Loma, El Paso, Cesar [territorio estudiado]</t>
  </si>
  <si>
    <t>https://dialnet.unirioja.es/descarga/articulo/5888296.pdf
https://doi.org/10.15648/cl.24.2016.6</t>
  </si>
  <si>
    <t>El texto comprende el Chandé como pensamiento, saber y memoria mediante diálogo comunitario y respeto por el silencio de sabedoras y sabedores.</t>
  </si>
  <si>
    <t>fechas_del_trabajo_de_campo; duracion_historica; coordenadas_orilla</t>
  </si>
  <si>
    <t>quintero</t>
  </si>
  <si>
    <t>Cuerpo y cultura: las músicas «mulatas» y la subversión del baile</t>
  </si>
  <si>
    <t>Ángel Quintero Rivera</t>
  </si>
  <si>
    <t>2009</t>
  </si>
  <si>
    <t>C8 · Creolizaciones, traducciones y opacidades | C3 · Fugas, cimarronajes y emancipaciones</t>
  </si>
  <si>
    <t>perezmorales</t>
  </si>
  <si>
    <t>Cartagena's Privateers</t>
  </si>
  <si>
    <t>Edgardo Pérez Morales</t>
  </si>
  <si>
    <t>2018</t>
  </si>
  <si>
    <t>E · sin correspondencia directa en la taxonomía anterior</t>
  </si>
  <si>
    <t>sin correspondencia directa</t>
  </si>
  <si>
    <t>sherwood</t>
  </si>
  <si>
    <t>After Abolition: Britain and the Slave Trade</t>
  </si>
  <si>
    <t>Marika Sherwood</t>
  </si>
  <si>
    <t>2007</t>
  </si>
  <si>
    <t>cabrera</t>
  </si>
  <si>
    <t>El Monte</t>
  </si>
  <si>
    <t>Lydia Cabrera</t>
  </si>
  <si>
    <t>1954</t>
  </si>
  <si>
    <t>C9 · Memorias, espiritualidades y archivos vivos | C8 · Creolizaciones, traducciones y opacidades</t>
  </si>
  <si>
    <t>tambu</t>
  </si>
  <si>
    <t>Tambú: Curaçao's African-Caribbean Ritual</t>
  </si>
  <si>
    <t>Nanette de Jong</t>
  </si>
  <si>
    <t>2012</t>
  </si>
  <si>
    <t>bonilla</t>
  </si>
  <si>
    <t>Non-Sovereign Futures</t>
  </si>
  <si>
    <t>Yarimar Bonilla</t>
  </si>
  <si>
    <t>C7 · Soberanías, fronteras y ocupaciones</t>
  </si>
  <si>
    <t>lindskoog</t>
  </si>
  <si>
    <t>Detain and Punish: Haitian Refugees</t>
  </si>
  <si>
    <t>Carl Lindskoog</t>
  </si>
  <si>
    <t>ferdinand</t>
  </si>
  <si>
    <t>Une écologie décoloniale</t>
  </si>
  <si>
    <t>Malcom Ferdinand</t>
  </si>
  <si>
    <t>2019</t>
  </si>
  <si>
    <t>C6 · Huracanes, ecologías y materialidades vivas</t>
  </si>
  <si>
    <t>beyondsun</t>
  </si>
  <si>
    <t>Beyond Sun and Sand</t>
  </si>
  <si>
    <t>Baver &amp; Lynch (eds.)</t>
  </si>
  <si>
    <t>2006</t>
  </si>
  <si>
    <t>aftershocks</t>
  </si>
  <si>
    <t>Aftershocks of Disaster (huracán María)</t>
  </si>
  <si>
    <t>Bonilla &amp; LeBrón (eds.)</t>
  </si>
  <si>
    <t>C6 · Huracanes, ecologías y materialidades vivas | C7 · Soberanías, fronteras y ocupaciones</t>
  </si>
  <si>
    <t>rodney</t>
  </si>
  <si>
    <t>How Europe Underdeveloped Africa</t>
  </si>
  <si>
    <t>Walter Rodney</t>
  </si>
  <si>
    <t>D · reparto de colonialidad</t>
  </si>
  <si>
    <t>colonialidad sin destino derivable</t>
  </si>
  <si>
    <t>araujo</t>
  </si>
  <si>
    <t>Reparations for Slavery and the Slave Trade: A Transnational and Comparative History</t>
  </si>
  <si>
    <t>Ana Lucia Araujo</t>
  </si>
  <si>
    <t>2017</t>
  </si>
  <si>
    <t>manoalzada</t>
  </si>
  <si>
    <t>A mano alzada: diáspora intelectual afrocolombiana</t>
  </si>
  <si>
    <t>archivo</t>
  </si>
  <si>
    <t>2013</t>
  </si>
  <si>
    <t>C9 · Memorias, espiritualidades y archivos vivos | C7 · Soberanías, fronteras y ocupaciones</t>
  </si>
  <si>
    <t>gudynas</t>
  </si>
  <si>
    <t>Extractivismos</t>
  </si>
  <si>
    <t>Eduardo Gudynas</t>
  </si>
  <si>
    <t>esquiva</t>
  </si>
  <si>
    <t>La esquiva promesa de desarrollo</t>
  </si>
  <si>
    <t>workercane</t>
  </si>
  <si>
    <t>Worker in the Cane: A Puerto Rican Life History</t>
  </si>
  <si>
    <t>1960</t>
  </si>
  <si>
    <t>steward</t>
  </si>
  <si>
    <t>The People of Puerto Rico: A Study in Social Anthropology</t>
  </si>
  <si>
    <t>Julian Steward et al. (con Mintz, Wolf, Padilla Seda)</t>
  </si>
  <si>
    <t>1956</t>
  </si>
  <si>
    <t>fusión + migración</t>
  </si>
  <si>
    <t>postplantacion_trabajo_desposesion</t>
  </si>
  <si>
    <t>producir etnografía; comparar orillas; teorizar</t>
  </si>
  <si>
    <t>{"publicacion":{"valor":1956,"era":"EC","precision":"exacta"}}</t>
  </si>
  <si>
    <t>https://eric.ed.gov/?id=ED019306
https://files.archon.library.illinois.edu/uasfa/1502021.pdf</t>
  </si>
  <si>
    <t>La obra compara subculturas puertorriqueñas configuradas por entornos y regímenes económicos locales; el identificador más antiguo conserva los enlaces citables.</t>
  </si>
  <si>
    <t>olwigstjohn</t>
  </si>
  <si>
    <t>Cultural Adaptation and Resistance on St. John</t>
  </si>
  <si>
    <t>Karen Fog Olwig</t>
  </si>
  <si>
    <t>1985</t>
  </si>
  <si>
    <t>C4 · Postplantación, trabajo y desposesión | C9 · Memorias, espiritualidades y archivos vivos</t>
  </si>
  <si>
    <t>hagedorn</t>
  </si>
  <si>
    <t>Divine Utterances: The Performance of Afro-Cuban Santería</t>
  </si>
  <si>
    <t>Katherine J. Hagedorn</t>
  </si>
  <si>
    <t>2001</t>
  </si>
  <si>
    <t>pricefirst</t>
  </si>
  <si>
    <t>First-Time: The Historical Vision of an Afro-American People</t>
  </si>
  <si>
    <t>Richard Price</t>
  </si>
  <si>
    <t>1983</t>
  </si>
  <si>
    <t>dunham</t>
  </si>
  <si>
    <t>Island Possessed</t>
  </si>
  <si>
    <t>Katherine Dunham</t>
  </si>
  <si>
    <t>1969</t>
  </si>
  <si>
    <t>friedemannlengua</t>
  </si>
  <si>
    <t>Lengua y sociedad en el Palenque de San Basilio</t>
  </si>
  <si>
    <t>Carlos Patiño Rosselli &amp; Nina S. de Friedemann</t>
  </si>
  <si>
    <t>mamalola</t>
  </si>
  <si>
    <t>Mama Lola: A Vodou Priestess in Brooklyn</t>
  </si>
  <si>
    <t>Karen McCarthy Brown</t>
  </si>
  <si>
    <t>1991</t>
  </si>
  <si>
    <t>besson</t>
  </si>
  <si>
    <t>Martha Brae's Two Histories</t>
  </si>
  <si>
    <t>Jean Besson</t>
  </si>
  <si>
    <t>2002</t>
  </si>
  <si>
    <t>C4 · Postplantación, trabajo y desposesión | C7 · Soberanías, fronteras y ocupaciones</t>
  </si>
  <si>
    <t>taylor</t>
  </si>
  <si>
    <t>Nation Dance: Religion, Identity, and Cultural Difference in the Caribbean</t>
  </si>
  <si>
    <t>Patrick Taylor (ed.)</t>
  </si>
  <si>
    <t>peasantscapital</t>
  </si>
  <si>
    <t>Peasants and Capital: Dominica in the World Economy</t>
  </si>
  <si>
    <t>1988</t>
  </si>
  <si>
    <t>chevannes</t>
  </si>
  <si>
    <t>Rastafari: Roots and Ideology</t>
  </si>
  <si>
    <t>Barry Chevannes</t>
  </si>
  <si>
    <t>1994</t>
  </si>
  <si>
    <t>C9 · Memorias, espiritualidades y archivos vivos | C3 · Fugas, cimarronajes y emancipaciones</t>
  </si>
  <si>
    <t>escalante</t>
  </si>
  <si>
    <t>El Palenque de San Basilio</t>
  </si>
  <si>
    <t>Aquiles Escalante</t>
  </si>
  <si>
    <t>rebeldestiny</t>
  </si>
  <si>
    <t>Rebel Destiny: Among the Bush Negroes of Dutch Guiana</t>
  </si>
  <si>
    <t>Melville &amp; Frances Herskovits</t>
  </si>
  <si>
    <t>1934</t>
  </si>
  <si>
    <t>tellmyhorse</t>
  </si>
  <si>
    <t>Tell My Horse: Voodoo and Life in Haiti and Jamaica</t>
  </si>
  <si>
    <t>Zora Neale Hurston</t>
  </si>
  <si>
    <t>1938</t>
  </si>
  <si>
    <t>palmiengangas</t>
  </si>
  <si>
    <t>Thinking with Ngangas</t>
  </si>
  <si>
    <t>Stephan Palmié</t>
  </si>
  <si>
    <t>travelstooy</t>
  </si>
  <si>
    <t>Travels with Tooy: History, Memory, and the African American Imagination</t>
  </si>
  <si>
    <t>2008</t>
  </si>
  <si>
    <t>truebornmaroons</t>
  </si>
  <si>
    <t>True-Born Maroons</t>
  </si>
  <si>
    <t>Kenneth Bilby</t>
  </si>
  <si>
    <t>2005</t>
  </si>
  <si>
    <t>palmiewizards</t>
  </si>
  <si>
    <t>Wizards and Scientists</t>
  </si>
  <si>
    <t>pricemars</t>
  </si>
  <si>
    <t>Ainsi parla l'oncle</t>
  </si>
  <si>
    <t>Jean Price-Mars</t>
  </si>
  <si>
    <t>1928</t>
  </si>
  <si>
    <t>alabi</t>
  </si>
  <si>
    <t>Alabi's World</t>
  </si>
  <si>
    <t>1990</t>
  </si>
  <si>
    <t>exceptviolence</t>
  </si>
  <si>
    <t>Exceptional Violence: Embodied Citizenship in Transnational Jamaica</t>
  </si>
  <si>
    <t>Deborah A. Thomas</t>
  </si>
  <si>
    <t>2011</t>
  </si>
  <si>
    <t>modernblackness</t>
  </si>
  <si>
    <t>Modern Blackness: Nationalism, Globalization, and the Politics of Culture in Jamaica</t>
  </si>
  <si>
    <t>2004</t>
  </si>
  <si>
    <t>citizenshipedge</t>
  </si>
  <si>
    <t>Citizenship on the Edge: Sex, Gender, Race</t>
  </si>
  <si>
    <t>Nancy J. Hirschmann &amp; Deborah A. Thomas (eds.)</t>
  </si>
  <si>
    <t>C10 · Cuerpos, parentescos y eróticas | C7 · Soberanías, fronteras y ocupaciones</t>
  </si>
  <si>
    <t>politicallife</t>
  </si>
  <si>
    <t>Political Life in the Wake of the Plantation: Sovereignty, Witnessing, Repair</t>
  </si>
  <si>
    <t>downtownladies</t>
  </si>
  <si>
    <t>Downtown Ladies: Informal Commercial Importers, a Haitian Anthropologist, and Self-Making in Jamaica</t>
  </si>
  <si>
    <t>Gina Athena Ulysse</t>
  </si>
  <si>
    <t>C10 · Cuerpos, parentescos y eróticas</t>
  </si>
  <si>
    <t>reddock</t>
  </si>
  <si>
    <t>Women, Labour and Politics in Trinidad and Tobago: A History</t>
  </si>
  <si>
    <t>Rhoda Reddock</t>
  </si>
  <si>
    <t>caribjourneys</t>
  </si>
  <si>
    <t>Caribbean Journeys: An Ethnography of Migration and Home in Three Family Networks</t>
  </si>
  <si>
    <t>C7 · Soberanías, fronteras y ocupaciones | C9 · Memorias, espiritualidades y archivos vivos</t>
  </si>
  <si>
    <t>globalculture</t>
  </si>
  <si>
    <t>Global Culture, Island Identity: Continuity and Change in the Afro-Caribbean Community of Nevis</t>
  </si>
  <si>
    <t>1993</t>
  </si>
  <si>
    <t>islandscity</t>
  </si>
  <si>
    <t>Islands in the City: West Indian Migration to New York</t>
  </si>
  <si>
    <t>Nancy Foner (ed.)</t>
  </si>
  <si>
    <t>callaloonation</t>
  </si>
  <si>
    <t>Callaloo Nation: Metaphors of Race and Religious Identity among South Asians in Trinidad</t>
  </si>
  <si>
    <t>Aisha Khan</t>
  </si>
  <si>
    <t>reconfdominic</t>
  </si>
  <si>
    <t>Reconfiguring Dominicanness</t>
  </si>
  <si>
    <t>Kimberly Eison Simmons</t>
  </si>
  <si>
    <t>cuijla</t>
  </si>
  <si>
    <t>Cuijla: Esbozo etnográfico de un pueblo negro</t>
  </si>
  <si>
    <t>Gonzalo Aguirre Beltrán</t>
  </si>
  <si>
    <t>1958</t>
  </si>
  <si>
    <t>chocolatecorn</t>
  </si>
  <si>
    <t>Chocolate and Corn Flour: History, Race, and Place in the Making of Black Mexico</t>
  </si>
  <si>
    <t>Laura A. Lewis</t>
  </si>
  <si>
    <t>womenancestors</t>
  </si>
  <si>
    <t>Women and the Ancestors: Black Carib Kinship and Ritual</t>
  </si>
  <si>
    <t>Virginia Kerns</t>
  </si>
  <si>
    <t>C10 · Cuerpos, parentescos y eróticas | C9 · Memorias, espiritualidades y archivos vivos</t>
  </si>
  <si>
    <t>afrocentroam</t>
  </si>
  <si>
    <t>Afro Central Americans in New York City: Garifuna Tales of Transnational Movements in Racialized Space</t>
  </si>
  <si>
    <t>Sarah England</t>
  </si>
  <si>
    <t>cunin</t>
  </si>
  <si>
    <t>Identidades a flor de piel: lo 'negro' entre apariencias y pertenencias</t>
  </si>
  <si>
    <t>Elisabeth Cunin</t>
  </si>
  <si>
    <t>2003</t>
  </si>
  <si>
    <t>figueroa</t>
  </si>
  <si>
    <t>Realismo mágico, vallenato y violencia política en el Caribe colombiano</t>
  </si>
  <si>
    <t>José Antonio Figueroa</t>
  </si>
  <si>
    <t>corrección bibliográfica + migración</t>
  </si>
  <si>
    <t>tinsley</t>
  </si>
  <si>
    <t>Ezili's Mirrors: Imagining Black Queer Genders</t>
  </si>
  <si>
    <t>Omise'eke Natasha Tinsley</t>
  </si>
  <si>
    <t>alexander</t>
  </si>
  <si>
    <t>Pedagogies of Crossing: Feminism, Sexual Politics, Memory, and the Sacred</t>
  </si>
  <si>
    <t>M. Jacqui Alexander</t>
  </si>
  <si>
    <t>curiel</t>
  </si>
  <si>
    <t>La Nación Heterosexual</t>
  </si>
  <si>
    <t>Ochy Curiel</t>
  </si>
  <si>
    <t>shellererotic</t>
  </si>
  <si>
    <t>Citizenship from Below: Erotic Agency and Caribbean Freedom</t>
  </si>
  <si>
    <t>Mimi Sheller</t>
  </si>
  <si>
    <t>ramadan</t>
  </si>
  <si>
    <t>Constructing Spiritual Blackness: Rastafari in Puerto Rico</t>
  </si>
  <si>
    <t>Omar Ramadan-Santiago</t>
  </si>
  <si>
    <t>2021</t>
  </si>
  <si>
    <t>islandfutures</t>
  </si>
  <si>
    <t>Island Futures: Caribbean Survival in the Anthropocene</t>
  </si>
  <si>
    <t>lara</t>
  </si>
  <si>
    <t>Queer Freedom: Black Sovereignty</t>
  </si>
  <si>
    <t>Ana-Maurine Lara</t>
  </si>
  <si>
    <t>mintzarea</t>
  </si>
  <si>
    <t>El Caribe como área sociocultural</t>
  </si>
  <si>
    <t>1966</t>
  </si>
  <si>
    <t>gill</t>
  </si>
  <si>
    <t>Erotic Islands: Art and Activism in the Queer Caribbean</t>
  </si>
  <si>
    <t>Lyndon K. Gill</t>
  </si>
  <si>
    <t>deere</t>
  </si>
  <si>
    <t>The Invention of Order: On the Coloniality of Space</t>
  </si>
  <si>
    <t>Don Thomas Deere</t>
  </si>
  <si>
    <t>2025</t>
  </si>
  <si>
    <t>abello</t>
  </si>
  <si>
    <t>La isla encallada: el Caribe colombiano en el archipiélago</t>
  </si>
  <si>
    <t>Alberto Abello Vives</t>
  </si>
  <si>
    <t>benitez</t>
  </si>
  <si>
    <t>La isla que se repite / The Repeating Island</t>
  </si>
  <si>
    <t>Antonio Benítez Rojo</t>
  </si>
  <si>
    <t>cesaire</t>
  </si>
  <si>
    <t>Discurso sobre el colonialismo</t>
  </si>
  <si>
    <t>Aimé Césaire</t>
  </si>
  <si>
    <t>1950</t>
  </si>
  <si>
    <t>fanon</t>
  </si>
  <si>
    <t>Piel negra, máscaras blancas</t>
  </si>
  <si>
    <t>Frantz Fanon</t>
  </si>
  <si>
    <t>1952</t>
  </si>
  <si>
    <t>james</t>
  </si>
  <si>
    <t>The Black Jacobins: Toussaint L'Ouverture and the San Domingo Revolution</t>
  </si>
  <si>
    <t>C.L.R. James</t>
  </si>
  <si>
    <t>trouillotsilencing</t>
  </si>
  <si>
    <t>Silenciando el pasado: el poder y la producción de la Historia</t>
  </si>
  <si>
    <t>1995</t>
  </si>
  <si>
    <t>brownreaper</t>
  </si>
  <si>
    <t>The Reaper's Garden: Death and Power in the World of Atlantic Slavery</t>
  </si>
  <si>
    <t>Vincent Brown</t>
  </si>
  <si>
    <t>kempadoo</t>
  </si>
  <si>
    <t>Sexing the Caribbean: Gender, Race and Sexual Labor</t>
  </si>
  <si>
    <t>Kamala Kempadoo</t>
  </si>
  <si>
    <t>kingisland</t>
  </si>
  <si>
    <t>Island Bodies: Transgressive Sexualities in the Caribbean Imagination</t>
  </si>
  <si>
    <t>Rosamond S. King</t>
  </si>
  <si>
    <t>2014</t>
  </si>
  <si>
    <t>C10 · Cuerpos, parentescos y eróticas | C8 · Creolizaciones, traducciones y opacidades</t>
  </si>
  <si>
    <t>fuentesdispossessed</t>
  </si>
  <si>
    <t>Dispossessed Lives: Enslaved Women, Violence, and the Archive</t>
  </si>
  <si>
    <t>Marisa J. Fuentes</t>
  </si>
  <si>
    <t>bollandbelize</t>
  </si>
  <si>
    <t>The Formation of a Colonial Society: Belize, From Conquest to Crown Colony</t>
  </si>
  <si>
    <t>O. Nigel Bolland</t>
  </si>
  <si>
    <t>1977</t>
  </si>
  <si>
    <t>hintzen</t>
  </si>
  <si>
    <t>The Costs of Regime Survival: Racial Mobilization, Elite Domination and Control of the State in Guyana and Trinidad</t>
  </si>
  <si>
    <t>Percy C. Hintzen</t>
  </si>
  <si>
    <t>rainforestwarriors</t>
  </si>
  <si>
    <t>Rainforest Warriors: Human Rights on Trial</t>
  </si>
  <si>
    <t>quinnblackpower</t>
  </si>
  <si>
    <t>Black Power in the Caribbean</t>
  </si>
  <si>
    <t>Kate Quinn (ed.)</t>
  </si>
  <si>
    <t>russwurm</t>
  </si>
  <si>
    <t>The Struggles of John Brown Russwurm: The Life and Writings of a Pan-Africanist Pioneer, 1799-1851</t>
  </si>
  <si>
    <t>Winston James</t>
  </si>
  <si>
    <t>2010</t>
  </si>
  <si>
    <t>tackysrevolt</t>
  </si>
  <si>
    <t>Tacky's Revolt: The Story of an Atlantic Slave War</t>
  </si>
  <si>
    <t>C3 · Fugas, cimarronajes y emancipaciones</t>
  </si>
  <si>
    <t>helgnuncamas</t>
  </si>
  <si>
    <t>¡Nunca más esclavos! Una historia comparada de los esclavos que se liberaron en las Américas</t>
  </si>
  <si>
    <t>Aline Helg</t>
  </si>
  <si>
    <t>2016 / trad. esp. 2018</t>
  </si>
  <si>
    <t>robinsonmarxismo</t>
  </si>
  <si>
    <t>Marxismo negro: la formación de la tradición radical negra</t>
  </si>
  <si>
    <t>Cedric J. Robinson</t>
  </si>
  <si>
    <t>bassiacuoso</t>
  </si>
  <si>
    <t>Un territorio acuoso: geografías marineras y el Gran Caribe transimperial de la Nueva Granada</t>
  </si>
  <si>
    <t>Ernesto Bassi</t>
  </si>
  <si>
    <t>2016 / trad. esp. 2021</t>
  </si>
  <si>
    <t>rutas_diasporas_territorios_acuosos</t>
  </si>
  <si>
    <t>soberanias_fronteras_ocupaciones</t>
  </si>
  <si>
    <t>reconstruir un archivo; cartografiar; seguir una ruta; comparar orillas; teorizar</t>
  </si>
  <si>
    <t>{"publicacion":{"valor":2016,"era":"EC","precision":"exacta"},"traduccion_es":{"valor":2021,"era":"EC","precision":"exacta"},"periodo_estudiado":{"inicio":{"valor":1760,"era":"EC","precision":"exacta"},"fin":{"valor":1860,"era":"EC","precision":"exacta"}}}</t>
  </si>
  <si>
    <t>orillas: Gran Caribe [territorio estudiado]</t>
  </si>
  <si>
    <t>https://www.dukeupress.edu/an-aqueous-territory
https://editorial.uninorte.edu.co/gpd-un-territorio-acuoso-9789587891669.html</t>
  </si>
  <si>
    <t>La obra organiza su argumento alrededor de circulaciones marítimas, geografías vividas y un Gran Caribe transimperial.</t>
  </si>
  <si>
    <t>rutas_con_paginas</t>
  </si>
  <si>
    <t>rediker</t>
  </si>
  <si>
    <t>Barco de esclavos: una historia humana</t>
  </si>
  <si>
    <t>Marcus Rediker</t>
  </si>
  <si>
    <t>gosinenature</t>
  </si>
  <si>
    <t>Nature's Wild: Love, Sex, and Law in the Caribbean</t>
  </si>
  <si>
    <t>Andil Gosine</t>
  </si>
  <si>
    <t>headleyreparaciones</t>
  </si>
  <si>
    <t>A Philosophical Investigation into the Possibility/Impossibility of Reparations for Caribbean Slavery: Assessing the Legal Challenges</t>
  </si>
  <si>
    <t>Clevis Headley</t>
  </si>
  <si>
    <t>2026</t>
  </si>
  <si>
    <t>jaffeconcrete</t>
  </si>
  <si>
    <t>Concrete Jungles: Urban Pollution and the Politics of Difference in the Caribbean</t>
  </si>
  <si>
    <t>Rivke Jaffe</t>
  </si>
  <si>
    <t>pardomosquerahoffmann</t>
  </si>
  <si>
    <t>Afrodescendientes en las Américas: trayectorias sociales e identitarias. 150 años de la abolición de la esclavitud en Colombia</t>
  </si>
  <si>
    <t>Mauricio Pardo, Claudia Mosquera y Odile Hoffmann (eds.)</t>
  </si>
  <si>
    <t>scher</t>
  </si>
  <si>
    <t>Carnival and the Formation of a Caribbean Transnation</t>
  </si>
  <si>
    <t>Philip W. Scher</t>
  </si>
  <si>
    <t>hallafricanslouisiana</t>
  </si>
  <si>
    <t>Africans in Colonial Louisiana: The Development of Afro-Creole Culture in the Eighteenth Century</t>
  </si>
  <si>
    <t>Gwendolyn Midlo Hall</t>
  </si>
  <si>
    <t>creolenieworleans</t>
  </si>
  <si>
    <t>Creole New Orleans: Race and Americanization</t>
  </si>
  <si>
    <t>Arnold R. Hirsch y Joseph Logsdon (eds.)</t>
  </si>
  <si>
    <t>ramsaranlewis</t>
  </si>
  <si>
    <t>Caribbean Masala: Indian Identity in Guyana and Trinidad</t>
  </si>
  <si>
    <t>Dave Ramsaran y Linden F. Lewis</t>
  </si>
  <si>
    <t>gonzalezsojourners</t>
  </si>
  <si>
    <t>Sojourners of the Caribbean: Ethnogenesis and Ethnohistory of the Garifuna</t>
  </si>
  <si>
    <t>Nancie L. González</t>
  </si>
  <si>
    <t>andersonblackindigenous</t>
  </si>
  <si>
    <t>Black and Indigenous: Garifuna Activism and Consumer Culture in Honduras</t>
  </si>
  <si>
    <t>Mark Anderson</t>
  </si>
  <si>
    <t>munrohaitirising</t>
  </si>
  <si>
    <t>Haiti Rising: Haitian History, Culture and the Earthquake of 2010</t>
  </si>
  <si>
    <t>Martin Munro (ed.)</t>
  </si>
  <si>
    <t>C6 · Huracanes, ecologías y materialidades vivas | C9 · Memorias, espiritualidades y archivos vivos</t>
  </si>
  <si>
    <t>meniketinevis</t>
  </si>
  <si>
    <t>Sugar Cane Capitalism and Environmental Transformation: An Archaeology of Colonial Nevis, West Indies</t>
  </si>
  <si>
    <t>Marco G. Meniketti</t>
  </si>
  <si>
    <t>C4 · Postplantación, trabajo y desposesión | C6 · Huracanes, ecologías y materialidades vivas</t>
  </si>
  <si>
    <t>handlerlangebarbados</t>
  </si>
  <si>
    <t>Plantation Slavery in Barbados: An Archaeological and Historical Investigation</t>
  </si>
  <si>
    <t>Jerome S. Handler y Frederick W. Lange</t>
  </si>
  <si>
    <t>1978</t>
  </si>
  <si>
    <t>kutzinskisugar</t>
  </si>
  <si>
    <t>Sugar's Secrets: Race and the Erotics of Cuban Nationalism</t>
  </si>
  <si>
    <t>Vera M. Kutzinski</t>
  </si>
  <si>
    <t>curtispleasures</t>
  </si>
  <si>
    <t>Pleasures and Perils: Girls' Sexuality in a Caribbean Consumer Culture</t>
  </si>
  <si>
    <t>Debra Curtis</t>
  </si>
  <si>
    <t>bebelgislerleonora</t>
  </si>
  <si>
    <t>Léonora: The Buried Story of Guadeloupe</t>
  </si>
  <si>
    <t>Dany Bébel-Gisler</t>
  </si>
  <si>
    <t>1985 / trad. ingl. 1994</t>
  </si>
  <si>
    <t>ulysseWhyHaiti</t>
  </si>
  <si>
    <t>Why Haiti Needs New Narratives: A Post-Quake Chronicle</t>
  </si>
  <si>
    <t>sharpewake</t>
  </si>
  <si>
    <t>In the Wake: On Blackness and Being</t>
  </si>
  <si>
    <t>Christina Sharpe</t>
  </si>
  <si>
    <t>ferrerfreedomsmirror</t>
  </si>
  <si>
    <t>Freedom's Mirror: Cuba and Haiti in the Age of Revolution</t>
  </si>
  <si>
    <t>Ada Ferrer</t>
  </si>
  <si>
    <t>deloughrey</t>
  </si>
  <si>
    <t>Allegories of the Anthropocene</t>
  </si>
  <si>
    <t>Elizabeth M. DeLoughrey</t>
  </si>
  <si>
    <t>johnson_climatecuba</t>
  </si>
  <si>
    <t>Climate and Catastrophe in Cuba and the Atlantic World in the Age of Revolution</t>
  </si>
  <si>
    <t>Sherry Johnson</t>
  </si>
  <si>
    <t>allen_dikimanera</t>
  </si>
  <si>
    <t>Di ki manera? A Social History of Afro-Curaçaoans, 1863-1917</t>
  </si>
  <si>
    <t>Rose Mary Allen</t>
  </si>
  <si>
    <t>vanderpijl_equaliberty</t>
  </si>
  <si>
    <t>Equaliberty in the Dutch Caribbean: Ways of Being Non/Sovereign</t>
  </si>
  <si>
    <t>Yvon van der Pijl y Francio Guadeloupe (eds.)</t>
  </si>
  <si>
    <t>2022</t>
  </si>
  <si>
    <t>naveda_esclavoscordoba</t>
  </si>
  <si>
    <t>Esclavos negros en las haciendas azucareras de Córdoba, Veracruz, 1690-1830</t>
  </si>
  <si>
    <t>Adriana Naveda Chávez-Hita</t>
  </si>
  <si>
    <t>1987</t>
  </si>
  <si>
    <t>mohammed_generosrealidades</t>
  </si>
  <si>
    <t>Gendered Realities: Essays in Caribbean Feminist Thought</t>
  </si>
  <si>
    <t>Patricia Mohammed (ed.)</t>
  </si>
  <si>
    <t>james_bannerethiopia</t>
  </si>
  <si>
    <t>Holding Aloft the Banner of Ethiopia: Caribbean Radicalism in Early Twentieth-Century America</t>
  </si>
  <si>
    <t>1998</t>
  </si>
  <si>
    <t>schuller_killingkindness</t>
  </si>
  <si>
    <t>Killing with Kindness: Haiti, International Aid, and NGOs</t>
  </si>
  <si>
    <t>Mark Schuller</t>
  </si>
  <si>
    <t>zips_nannysasafo</t>
  </si>
  <si>
    <t>Nanny's Asafo Warriors: The Jamaican Maroons' African Experience</t>
  </si>
  <si>
    <t>Werner Zips</t>
  </si>
  <si>
    <t>brereton_racerelationstrinidad</t>
  </si>
  <si>
    <t>Race Relations in Colonial Trinidad, 1870-1900</t>
  </si>
  <si>
    <t>Bridget Brereton</t>
  </si>
  <si>
    <t>1979</t>
  </si>
  <si>
    <t>nixon_resistingparadise</t>
  </si>
  <si>
    <t>Resisting Paradise: Tourism, Diaspora, and Sexuality in Caribbean Culture</t>
  </si>
  <si>
    <t>Angelique V. Nixon</t>
  </si>
  <si>
    <t>schwartz_seaofstorms</t>
  </si>
  <si>
    <t>Sea of Storms: A History of Hurricanes in the Greater Caribbean from Columbus to Katrina</t>
  </si>
  <si>
    <t>Stuart B. Schwartz</t>
  </si>
  <si>
    <t>smith_sexcitizen</t>
  </si>
  <si>
    <t>Sex and the Citizen: Interrogating the Caribbean</t>
  </si>
  <si>
    <t>Faith Smith (ed.)</t>
  </si>
  <si>
    <t>hall_slavesocietydanish</t>
  </si>
  <si>
    <t>Slave Society in the Danish West Indies: St. Thomas, St. John and St. Croix</t>
  </si>
  <si>
    <t>Neville A. T. Hall (ed. B. W. Higman)</t>
  </si>
  <si>
    <t>knight_genesisnacionalismo</t>
  </si>
  <si>
    <t>The Caribbean: The Genesis of a Fragmented Nationalism</t>
  </si>
  <si>
    <t>Franklin W. Knight</t>
  </si>
  <si>
    <t>benedictykokken_haitiexception</t>
  </si>
  <si>
    <t>The Haiti Exception: Anthropology and the Predicaments of Development</t>
  </si>
  <si>
    <t>Alessandra Benedicty-Kokken, Kaiama L. Glover, Jhon Picard Byron y Mark Schuller (eds.)</t>
  </si>
  <si>
    <t>klein_battleparadise</t>
  </si>
  <si>
    <t>The Battle for Paradise: Puerto Rico Takes on the Disaster Capitalists</t>
  </si>
  <si>
    <t>Naomi Klein</t>
  </si>
  <si>
    <t>trouillothaitistate</t>
  </si>
  <si>
    <t>Haiti: State Against Nation. The Origins and Legacy of Duvalierism</t>
  </si>
  <si>
    <t>kincaidsmallplace</t>
  </si>
  <si>
    <t>A Small Place</t>
  </si>
  <si>
    <t>Jamaica Kincaid</t>
  </si>
  <si>
    <t>wilsoncrabantics</t>
  </si>
  <si>
    <t>Crab Antics: The Social Anthropology of English-Speaking Negro Societies of the Caribbean</t>
  </si>
  <si>
    <t>Peter J. Wilson</t>
  </si>
  <si>
    <t>gomezexperiential</t>
  </si>
  <si>
    <t>The Experiential Caribbean: Creating Knowledge and Healing in the Early Modern Atlantic</t>
  </si>
  <si>
    <t>Pablo F. Gómez</t>
  </si>
  <si>
    <t>goffedarklab</t>
  </si>
  <si>
    <t>Dark Laboratory: On Columbus, the Caribbean, and the Origins of the Climate Crisis</t>
  </si>
  <si>
    <t>Tao Leigh Goffe</t>
  </si>
  <si>
    <t>wilderfreedomtime</t>
  </si>
  <si>
    <t>Freedom Time: Negritude, Decolonization, and the Future of the World</t>
  </si>
  <si>
    <t>Gary Wilder</t>
  </si>
  <si>
    <t>bogueslammingreader</t>
  </si>
  <si>
    <t>The George Lamming Reader: The Aesthetics of Decolonisation</t>
  </si>
  <si>
    <t>Anthony Bogues (ed.)</t>
  </si>
  <si>
    <t>C8 · Creolizaciones, traducciones y opacidades | C7 · Soberanías, fronteras y ocupaciones</t>
  </si>
  <si>
    <t>mahlertricontinental</t>
  </si>
  <si>
    <t>From the Tricontinental to the Global South: Race, Radicalism, and Transnational Solidarity</t>
  </si>
  <si>
    <t>Anne Garland Mahler</t>
  </si>
  <si>
    <t>castrogomezhybris</t>
  </si>
  <si>
    <t>La hybris del punto cero: ciencia, raza e ilustración en la Nueva Granada (1750-1816)</t>
  </si>
  <si>
    <t>Santiago Castro-Gómez</t>
  </si>
  <si>
    <t>firmin</t>
  </si>
  <si>
    <t>De la igualdad de las razas humanas (The Equality of the Human Races)</t>
  </si>
  <si>
    <t>Anténor Firmin</t>
  </si>
  <si>
    <t>1885</t>
  </si>
  <si>
    <t>shellerconsuming</t>
  </si>
  <si>
    <t>Consuming the Caribbean: From Arawaks to Zombies</t>
  </si>
  <si>
    <t>henrycaliban</t>
  </si>
  <si>
    <t>Caliban's Reason: Introducing Afro-Caribbean Philosophy</t>
  </si>
  <si>
    <t>Paget Henry</t>
  </si>
  <si>
    <t>2000</t>
  </si>
  <si>
    <t>lebroncimarronaje</t>
  </si>
  <si>
    <t>Filosofía del cimarronaje</t>
  </si>
  <si>
    <t>Pedro Lebrón Ortiz</t>
  </si>
  <si>
    <t>sonicbodies</t>
  </si>
  <si>
    <t>Sonic Bodies: Reggae Sound Systems, Performance Techniques, and Ways of Knowing</t>
  </si>
  <si>
    <t>Julian Henriques</t>
  </si>
  <si>
    <t>C8 · Creolizaciones, traducciones y opacidades | C10 · Cuerpos, parentescos y eróticas | C9 · Memorias, espiritualidades y archivos vivos</t>
  </si>
  <si>
    <t>yountaesecular</t>
  </si>
  <si>
    <t>The Coloniality of the Secular: Race, Religion, and Poetics of World-Making</t>
  </si>
  <si>
    <t>An Yountae</t>
  </si>
  <si>
    <t>2024</t>
  </si>
  <si>
    <t>branddoor</t>
  </si>
  <si>
    <t>A Map to the Door of No Return: Notes to Belonging</t>
  </si>
  <si>
    <t>Dionne Brand</t>
  </si>
  <si>
    <t>grosfoguelcolonial</t>
  </si>
  <si>
    <t>Colonial Subjects: Puerto Ricans in a Global Perspective</t>
  </si>
  <si>
    <t>Ramón Grosfoguel</t>
  </si>
  <si>
    <t>bahadurcoolie</t>
  </si>
  <si>
    <t>Coolie Woman: The Odyssey of Indenture</t>
  </si>
  <si>
    <t>Gaiutra Bahadur</t>
  </si>
  <si>
    <t>C4 · Postplantación, trabajo y desposesión | C10 · Cuerpos, parentescos y eróticas</t>
  </si>
  <si>
    <t>zapataarbol</t>
  </si>
  <si>
    <t>El árbol brujo de la libertad</t>
  </si>
  <si>
    <t>Manuel Zapata Olivella</t>
  </si>
  <si>
    <t>C9 · Memorias, espiritualidades y archivos vivos | C8 · Creolizaciones, traducciones y opacidades | C3 · Fugas, cimarronajes y emancipaciones</t>
  </si>
  <si>
    <t>almanzaorilla</t>
  </si>
  <si>
    <t>La orilla de Calibán: el rastro de la filosofía afrocaribe en el siglo XX</t>
  </si>
  <si>
    <t>Roberto Almanza Hernández</t>
  </si>
  <si>
    <t>goldbergabolition</t>
  </si>
  <si>
    <t>Abolition Time: Grammars of Law, Poetics of Justice</t>
  </si>
  <si>
    <t>Jess A. Goldberg</t>
  </si>
  <si>
    <t>hurboncomprendre</t>
  </si>
  <si>
    <t>Comprendre Haïti: essai sur l'État, la nation, la culture</t>
  </si>
  <si>
    <t>Laënnec Hurbon</t>
  </si>
  <si>
    <t>rifkinfictions</t>
  </si>
  <si>
    <t>Fictions of Land and Flesh: Blackness, Indigeneity, Speculation</t>
  </si>
  <si>
    <t>Mark Rifkin</t>
  </si>
  <si>
    <t>C7 · Soberanías, fronteras y ocupaciones | C3 · Fugas, cimarronajes y emancipaciones | C9 · Memorias, espiritualidades y archivos vivos</t>
  </si>
  <si>
    <t>whiteheadtiger</t>
  </si>
  <si>
    <t>Lords of the Tiger Spirit: A History of the Caribs in Colonial Venezuela and Guyana, 1498–1820</t>
  </si>
  <si>
    <t>Neil L. Whitehead</t>
  </si>
  <si>
    <t>olsencartagena</t>
  </si>
  <si>
    <t>Slavery and Salvation in Colonial Cartagena de Indias</t>
  </si>
  <si>
    <t>Margaret M. Olsen</t>
  </si>
  <si>
    <t>cosgrovegarifuna</t>
  </si>
  <si>
    <t>Surviving the Americas: Garifuna Persistence from Nicaragua to New York City</t>
  </si>
  <si>
    <t>Cosgrove, Idiáquez, Bent &amp; Gorvetzian</t>
  </si>
  <si>
    <t>helglibertyequality</t>
  </si>
  <si>
    <t>Liberty and Equality in Caribbean Colombia, 1770-1835</t>
  </si>
  <si>
    <t>brathwaitearchipelago</t>
  </si>
  <si>
    <t>Caribbean Man in Space and Time</t>
  </si>
  <si>
    <t>1975 / reed. 2021</t>
  </si>
  <si>
    <t>muneraelfracaso</t>
  </si>
  <si>
    <t>El fracaso de la nación: región, clase y raza en el Caribe colombiano (1717-1821)</t>
  </si>
  <si>
    <t>Alfonso Múnera</t>
  </si>
  <si>
    <t>saetheridentidades</t>
  </si>
  <si>
    <t>Identidades e independencia en Santa Marta y Riohacha, 1750-1850</t>
  </si>
  <si>
    <t>Steinar A. Sæther</t>
  </si>
  <si>
    <t>2005 / ed. ICANH 2012</t>
  </si>
  <si>
    <t>zonabananera</t>
  </si>
  <si>
    <t>Las geografías negras en la Zona Bananera: algunas cuestiones de método para encarar las vidas negras del Caribe colombiano</t>
  </si>
  <si>
    <t>Roberto Almanza y Margarita Granados Castellanos</t>
  </si>
  <si>
    <t>rappaportcobarde</t>
  </si>
  <si>
    <t>El cobarde no hace historia: Orlando Fals Borda y los inicios de la investigación-acción participativa</t>
  </si>
  <si>
    <t>Joanne Rappaport</t>
  </si>
  <si>
    <t>reysinningcristorey</t>
  </si>
  <si>
    <t>Cristo Rey, un espacio para permanecer en el tiempo</t>
  </si>
  <si>
    <t>Édgar Rey Sinning</t>
  </si>
  <si>
    <t>1998 / ed. corr. y ampliada 2020 / relanzada 2025</t>
  </si>
  <si>
    <t>hurbondictadura</t>
  </si>
  <si>
    <t>Culture et dictature en Haïti: l'imaginaire sous contrôle</t>
  </si>
  <si>
    <t>lizcanocarnaval</t>
  </si>
  <si>
    <t>Leyendo el carnaval: miradas desde Barranquilla, Bahía y Barcelona</t>
  </si>
  <si>
    <t>Martha Lizcano Angarita y Danny González Cueto (comps.)</t>
  </si>
  <si>
    <t>sangbenvolviendo</t>
  </si>
  <si>
    <t>Volviendo al Caribe</t>
  </si>
  <si>
    <t>Mukien Adriana Sang Ben</t>
  </si>
  <si>
    <t>chicamusicaafricana</t>
  </si>
  <si>
    <t>¿Dónde hay música africana? Cultura picotera y Festival Internacional de Música del Caribe en Cartagena</t>
  </si>
  <si>
    <t>Ricardo Chica Geliz y Adrián Fajardo Martínez</t>
  </si>
  <si>
    <t>zambrana</t>
  </si>
  <si>
    <t>Colonial Debts: The Case of Puerto Rico</t>
  </si>
  <si>
    <t>Rocío Zambrana</t>
  </si>
  <si>
    <t>martinezsanmiguel</t>
  </si>
  <si>
    <t>Coloniality of Diasporas: Rethinking Intra-Colonial Migrations in a Pan Caribbean Context</t>
  </si>
  <si>
    <t>Yolanda Martínez-San Miguel</t>
  </si>
  <si>
    <t>archipelagicthinking</t>
  </si>
  <si>
    <t>Contemporary Archipelagic Thinking: Towards New Comparative Methodologies and Disciplinary Formations</t>
  </si>
  <si>
    <t>Michelle Stephens y Yolanda Martínez-San Miguel (eds.)</t>
  </si>
  <si>
    <t>brownetropic</t>
  </si>
  <si>
    <t>Tropic Tendencies: Rhetoric, Popular Culture, and the Anglophone Caribbean</t>
  </si>
  <si>
    <t>Kevin Adonis Browne</t>
  </si>
  <si>
    <t>lightfoot</t>
  </si>
  <si>
    <t>Troubling Freedom: Antigua and the Aftermath of British Emancipation</t>
  </si>
  <si>
    <t>Natasha Lightfoot</t>
  </si>
  <si>
    <t>fischer</t>
  </si>
  <si>
    <t>Modernity Disavowed: Haiti and the Cultures of Slavery in the Age of Revolution</t>
  </si>
  <si>
    <t>Sibylle Fischer</t>
  </si>
  <si>
    <t>felicianosantos</t>
  </si>
  <si>
    <t>A Contested Caribbean Indigeneity: Language, Social Practice, and Native Puerto Rican Identity</t>
  </si>
  <si>
    <t>Sherina Feliciano-Santos</t>
  </si>
  <si>
    <t>prestolmasacre</t>
  </si>
  <si>
    <t>El Masacre se pasa a pie (You Can Cross the Massacre on Foot)</t>
  </si>
  <si>
    <t>Freddy Prestol Castillo</t>
  </si>
  <si>
    <t>1937/2019</t>
  </si>
  <si>
    <t>hazareesingh</t>
  </si>
  <si>
    <t>Black Spartacus: The Epic Life of Toussaint Louverture</t>
  </si>
  <si>
    <t>Sudhir Hazareesingh</t>
  </si>
  <si>
    <t>johnsonbelize</t>
  </si>
  <si>
    <t>Becoming Creole: Nature and Race in Belize</t>
  </si>
  <si>
    <t>Melissa A. Johnson</t>
  </si>
  <si>
    <t>millerbassey</t>
  </si>
  <si>
    <t>Voice of the Leopard: African Secret Societies and Cuba</t>
  </si>
  <si>
    <t>Ivor L. Miller y Bassey E. Bassey</t>
  </si>
  <si>
    <t>schweitzerbata</t>
  </si>
  <si>
    <t>The Artistry of Afro-Cuban Batá Drumming: Aesthetics, Transmission, and Bonding</t>
  </si>
  <si>
    <t>Kenneth George Schweitzer</t>
  </si>
  <si>
    <t>mendozaraices</t>
  </si>
  <si>
    <t>Raíces, Resistencias y Territorios: 500 años de experiencia Afro en Santa Marta</t>
  </si>
  <si>
    <t>María Angélica del Mar Mendoza Manotas (comp.) et al.</t>
  </si>
  <si>
    <t>scottconscripts</t>
  </si>
  <si>
    <t>Conscripts of Modernity: The Tragedy of Colonial Enlightenment</t>
  </si>
  <si>
    <t>David Scott</t>
  </si>
  <si>
    <t>mcneillmosquito</t>
  </si>
  <si>
    <t>Mosquito Empires: Ecology and War in the Greater Caribbean, 1620-1914</t>
  </si>
  <si>
    <t>J. R. McNeill</t>
  </si>
  <si>
    <t>lassoerased</t>
  </si>
  <si>
    <t>Erased: The Untold Story of the Panama Canal</t>
  </si>
  <si>
    <t>Marixa Lasso</t>
  </si>
  <si>
    <t>floresvillalobos</t>
  </si>
  <si>
    <t>The Silver Women: How Black Women's Labor Made the Panama Canal</t>
  </si>
  <si>
    <t>Joan Flores-Villalobos</t>
  </si>
  <si>
    <t>corinealdipanama</t>
  </si>
  <si>
    <t>Panama in Black: Afro-Caribbean World Making in the Twentieth Century</t>
  </si>
  <si>
    <t>Kaysha Corinealdi</t>
  </si>
  <si>
    <t>kahnislands</t>
  </si>
  <si>
    <t>Islands of Sovereignty: Haitian Migration and the Borders of Empire</t>
  </si>
  <si>
    <t>Jeffrey S. Kahn</t>
  </si>
  <si>
    <t>dubuissonhaiti</t>
  </si>
  <si>
    <t>Reclaiming Haiti's Futures</t>
  </si>
  <si>
    <t>Darlène Elizabeth Dubuisson</t>
  </si>
  <si>
    <t>pinedashipwrecked</t>
  </si>
  <si>
    <t>Shipwrecked Identities: Navigating Race on Nicaragua's Mosquito Coast</t>
  </si>
  <si>
    <t>Baron L. Pineda</t>
  </si>
  <si>
    <t>stoutafterlove</t>
  </si>
  <si>
    <t>After Love: Queer Intimacy and Erotic Economies in Post-Soviet Cuba</t>
  </si>
  <si>
    <t>Noelle M. Stout</t>
  </si>
  <si>
    <t>wirtzperforming</t>
  </si>
  <si>
    <t>Performing Afro-Cuba: Image, Voice, Spectacle in the Making of Race and History</t>
  </si>
  <si>
    <t>Kristina Wirtz</t>
  </si>
  <si>
    <t>belisodelirium</t>
  </si>
  <si>
    <t>Excited Delirium: Race, Police Violence, and the Invention of a Disease</t>
  </si>
  <si>
    <t>Aisha M. Beliso-De Jesús</t>
  </si>
  <si>
    <t>garciapenaborders</t>
  </si>
  <si>
    <t>The Borders of Dominicanidad: Race, Nation, and Archives of Contradiction</t>
  </si>
  <si>
    <t>Lorgia García-Peña</t>
  </si>
  <si>
    <t>godreauscripts</t>
  </si>
  <si>
    <t>Scripts of Blackness: Race, Cultural Nationalism, and U.S. Colonialism in Puerto Rico</t>
  </si>
  <si>
    <t>Isar P. Godreau</t>
  </si>
  <si>
    <t>castorspiritual</t>
  </si>
  <si>
    <t>Spiritual Citizenship: Transnational Pathways from Black Power to Ifá in Trinidad</t>
  </si>
  <si>
    <t>N. Fadeke Castor</t>
  </si>
  <si>
    <t>alvarezboro</t>
  </si>
  <si>
    <t>“Esto es el boro”: vidas en la periferia</t>
  </si>
  <si>
    <t>William Álvarez Álvarez</t>
  </si>
  <si>
    <t>2023</t>
  </si>
  <si>
    <t>londonoargonauts</t>
  </si>
  <si>
    <t>The Argonauts of West Caribbean: Tradition of Canoes of Taganga</t>
  </si>
  <si>
    <t>Wilhelm Londoño Díaz</t>
  </si>
  <si>
    <t>crawfordturtlemen</t>
  </si>
  <si>
    <t>The Last Turtlemen of the Caribbean: Waterscapes of Labor, Conservation, and Boundary Making</t>
  </si>
  <si>
    <t>Sharika D. Crawford</t>
  </si>
  <si>
    <t>C7 · Soberanías, fronteras y ocupaciones | C6 · Huracanes, ecologías y materialidades vivas</t>
  </si>
  <si>
    <t>stewardpuertorico</t>
  </si>
  <si>
    <t>Julian H. Steward, Robert A. Manners, Eric R. Wolf, Elena Padilla Seda, Sidney W. Mintz, Raymond L. Scheele</t>
  </si>
  <si>
    <t>revisada_redireccion</t>
  </si>
  <si>
    <t>{"valor_heredado":"1956","publicacion":1956,"requiere_revision":false}</t>
  </si>
  <si>
    <t>https://books.google.com/books/about/The_People_of_Puerto_Rico.html?id=UVkf0gEACAAJ
https://files.archon.library.illinois.edu/uasfa/1502021.pdf</t>
  </si>
  <si>
    <t>Es la misma obra que steward; sus metadatos y relaciones se conservan mediante fusión y redirección.</t>
  </si>
  <si>
    <t>mitchellalibi</t>
  </si>
  <si>
    <t>The Alibi of Capital: How We Broke the Earth to Steal the Future on the Promise of a Better Tomorrow</t>
  </si>
  <si>
    <t>Timothy Mitchell</t>
  </si>
  <si>
    <t>allenvenceremos</t>
  </si>
  <si>
    <t>¡Venceremos? The Erotics of Black Self-Making in Cuba</t>
  </si>
  <si>
    <t>Jafari S. Allen</t>
  </si>
  <si>
    <t>williamscapitalismo</t>
  </si>
  <si>
    <t>Capitalismo y esclavitud (Capitalism and Slavery)</t>
  </si>
  <si>
    <t>Eric Williams</t>
  </si>
  <si>
    <t>1944 / ed. esp. 2011</t>
  </si>
  <si>
    <t>trata_esclavizacion_plantacion</t>
  </si>
  <si>
    <t>reconstruir un archivo; teorizar; confrontar una categoría</t>
  </si>
  <si>
    <t>{"publicacion":{"valor":1944,"era":"EC","precision":"exacta"}}</t>
  </si>
  <si>
    <t>https://uncpress.org/9781469663685/capitalism-and-slavery-third-edition/
https://glc.yale.edu/sites/default/files/pdf/capatlism_and_slavery.pdf</t>
  </si>
  <si>
    <t>El libro sitúa la trata y la esclavización antillana en la formación del capitalismo británico y discute la abolición desde la transformación económica.</t>
  </si>
  <si>
    <t>periodo_estudiado_normalizado</t>
  </si>
  <si>
    <t>wynterblackmetamorphosis</t>
  </si>
  <si>
    <t>Black Metamorphosis: New Natives in a New World</t>
  </si>
  <si>
    <t>Sylvia Wynter</t>
  </si>
  <si>
    <t>c. 1970 (manuscrito inédito)</t>
  </si>
  <si>
    <t>mgsmithplural</t>
  </si>
  <si>
    <t>The Plural Society in the British West Indies</t>
  </si>
  <si>
    <t>M. G. Smith</t>
  </si>
  <si>
    <t>1965</t>
  </si>
  <si>
    <t>rtsmithmatrifocal</t>
  </si>
  <si>
    <t>The Matrifocal Family: Power, Pluralism and Politics</t>
  </si>
  <si>
    <t>Raymond T. Smith</t>
  </si>
  <si>
    <t>1996</t>
  </si>
  <si>
    <t>clarkemymother</t>
  </si>
  <si>
    <t>My Mother Who Fathered Me: A Study of the Families in Three Selected Communities of Jamaica</t>
  </si>
  <si>
    <t>Edith Clarke</t>
  </si>
  <si>
    <t>1957</t>
  </si>
  <si>
    <t>C10 · Cuerpos, parentescos y eróticas | C4 · Postplantación, trabajo y desposesión</t>
  </si>
  <si>
    <t>barrowfamily</t>
  </si>
  <si>
    <t>Family in the Caribbean: Themes and Perspectives</t>
  </si>
  <si>
    <t>Christine Barrow</t>
  </si>
  <si>
    <t>mintzpricebirth</t>
  </si>
  <si>
    <t>The Birth of African-American Culture: An Anthropological Perspective</t>
  </si>
  <si>
    <t>Sidney W. Mintz y Richard Price</t>
  </si>
  <si>
    <t>1976 / 1992 (ed. port. 2003)</t>
  </si>
  <si>
    <t>trouillottransformaciones</t>
  </si>
  <si>
    <t>Transformaciones globales: la antropología y el mundo moderno (Global Transformations)</t>
  </si>
  <si>
    <t>2003 / trad. esp. 2011</t>
  </si>
  <si>
    <t>morenofraginals</t>
  </si>
  <si>
    <t>El ingenio: complejo económico social cubano del azúcar</t>
  </si>
  <si>
    <t>Manuel Moreno Fraginals</t>
  </si>
  <si>
    <t>1964 / ed. ampliada 1978</t>
  </si>
  <si>
    <t>meeks_postcolonial</t>
  </si>
  <si>
    <t>After the Postcolonial Caribbean: Memory, Imagination, Hope</t>
  </si>
  <si>
    <t>Brian Meeks</t>
  </si>
  <si>
    <t>oostindiedecolonising</t>
  </si>
  <si>
    <t>Decolonising the Caribbean: Dutch Policies in a Comparative Perspective</t>
  </si>
  <si>
    <t>Gert Oostindie e Inge Klinkers</t>
  </si>
  <si>
    <t>kloosterrealm</t>
  </si>
  <si>
    <t>Realm between Empires: The Second Dutch Atlantic, 1680-1815</t>
  </si>
  <si>
    <t>Wim Klooster y Gert Oostindie</t>
  </si>
  <si>
    <t>hoeftesuriname</t>
  </si>
  <si>
    <t>Suriname in the Long Twentieth Century: Domination, Contestation, Globalization</t>
  </si>
  <si>
    <t>Rosemarijn Hoefte</t>
  </si>
  <si>
    <t>hoeftetrajectories</t>
  </si>
  <si>
    <t>Post-Colonial Trajectories in the Caribbean: The Three Guianas</t>
  </si>
  <si>
    <t>Rosemarijn Hoefte, Matthew L. Bishop y Peter Clegg (eds.)</t>
  </si>
  <si>
    <t>bestlevitt</t>
  </si>
  <si>
    <t>Essays on the Theory of Plantation Economy: A Historical and Institutional Approach to Caribbean Economic Development</t>
  </si>
  <si>
    <t>Lloyd Best y Kari Polanyi Levitt</t>
  </si>
  <si>
    <t>duboisturits</t>
  </si>
  <si>
    <t>Freedom Roots: Histories from the Caribbean</t>
  </si>
  <si>
    <t>Laurent Dubois y Richard Lee Turits</t>
  </si>
  <si>
    <t>C7 · Soberanías, fronteras y ocupaciones | C3 · Fugas, cimarronajes y emancipaciones | C4 · Postplantación, trabajo y desposesión</t>
  </si>
  <si>
    <t>austinfearblack</t>
  </si>
  <si>
    <t>Fear of a Black Nation: Race, Sex, and Security in Sixties Montreal</t>
  </si>
  <si>
    <t>David Austin</t>
  </si>
  <si>
    <t>puriradical</t>
  </si>
  <si>
    <t>The Legacies of Caribbean Radical Politics</t>
  </si>
  <si>
    <t>Shalini Puri (ed.)</t>
  </si>
  <si>
    <t>grenaderevolution</t>
  </si>
  <si>
    <t>The Grenada Revolution: Reflections and Lessons</t>
  </si>
  <si>
    <t>Wendy C. Grenade (ed.)</t>
  </si>
  <si>
    <t>smithredblack</t>
  </si>
  <si>
    <t>Red and Black in Haiti: Radicalism, Conflict, and Political Change, 1934-1957</t>
  </si>
  <si>
    <t>Matthew J. Smith</t>
  </si>
  <si>
    <t>becklessavingsouls</t>
  </si>
  <si>
    <t>Saving Souls: The Struggle to End the Transatlantic Trade in Africans</t>
  </si>
  <si>
    <t>Hilary McD. Beckles y Verene A. Shepherd (eds.)</t>
  </si>
  <si>
    <t>kalefragments</t>
  </si>
  <si>
    <t>Fragments of Empire: Capital, Slavery, and Indian Indentured Labor in the British Caribbean</t>
  </si>
  <si>
    <t>Madhavi Kale</t>
  </si>
  <si>
    <t>shepherdmaharani</t>
  </si>
  <si>
    <t>Maharani's Misery: Narratives of a Passage from India to the Caribbean</t>
  </si>
  <si>
    <t>Verene A. Shepherd</t>
  </si>
  <si>
    <t>looklaichinese</t>
  </si>
  <si>
    <t>The Chinese in the West Indies, 1806-1995: A Documentary History</t>
  </si>
  <si>
    <t>Walton Look Lai</t>
  </si>
  <si>
    <t>putnamradical</t>
  </si>
  <si>
    <t>Radical Moves: Caribbean Migrants and the Politics of Race in the Jazz Age</t>
  </si>
  <si>
    <t>Lara Putnam</t>
  </si>
  <si>
    <t>harpellecostarica</t>
  </si>
  <si>
    <t>The West Indians of Costa Rica: Race, Class, and the Integration of an Ethnic Minority</t>
  </si>
  <si>
    <t>Ronald N. Harpelle</t>
  </si>
  <si>
    <t>bourgoisethnicity</t>
  </si>
  <si>
    <t>Ethnicity at Work: Divided Labor on a Central American Banana Plantation</t>
  </si>
  <si>
    <t>Philippe Bourgois</t>
  </si>
  <si>
    <t>producir etnografía; reconstruir un archivo; teorizar</t>
  </si>
  <si>
    <t>{"publicacion":{"valor":1989,"era":"EC","precision":"exacta"}}</t>
  </si>
  <si>
    <t>orillas: Costa Rica [territorio estudiado]; Panamá [territorio estudiado]</t>
  </si>
  <si>
    <t>https://www.philippebourgois.net/articles/Bourgois%201989%20Ethnicity%20at%20Work.pdf
https://read.dukeupress.edu/hahr/article/70/2/349/146510/Ethnicity-at-Work-Divided-Labor-on-a-Central</t>
  </si>
  <si>
    <t>La obra muestra cómo una empresa bananera transnacional organiza la división étnica del trabajo y reproduce jerarquías raciales y de clase en Costa Rica y Panamá.</t>
  </si>
  <si>
    <t>periodos_historicos; fechas_trabajo_de_campo; tipo_de_violencia</t>
  </si>
  <si>
    <t>legrandfrontier</t>
  </si>
  <si>
    <t>Colonización y protesta campesina en Colombia, 1850-1950 (Frontier Expansion and Peasant Protest in Colombia)</t>
  </si>
  <si>
    <t>Catherine LeGrand</t>
  </si>
  <si>
    <t>1986 / trad. esp. 1988</t>
  </si>
  <si>
    <t>keeganhofman</t>
  </si>
  <si>
    <t>The Caribbean before Columbus</t>
  </si>
  <si>
    <t>William F. Keegan y Corinne L. Hofman</t>
  </si>
  <si>
    <t>invasiones_mundos_indigenas</t>
  </si>
  <si>
    <t>cartografiar; comparar orillas; interpretar materialidades</t>
  </si>
  <si>
    <t>{"publicacion":{"valor":2017,"era":"EC","precision":"exacta"},"periodo_estudiado":{"inicio":null,"fin":{"valor":1492,"era":"EC","precision":"exacta"},"precision":"aproximada","descripcion":"Milenios anteriores a 1492; el inicio exacto debe extraerse del ejemplar antes de cargarlo."}}</t>
  </si>
  <si>
    <t>orillas: Archipiélago del Caribe [territorio estudiado]</t>
  </si>
  <si>
    <t>https://global.oup.com/academic/product/the-caribbean-before-columbus-9780190605247
https://academic.oup.com/book/11404/chapter/160078399</t>
  </si>
  <si>
    <t>La síntesis arqueológica reconstruye poblamientos, redes interinsulares y mundos indígenas anteriores a la ocupación europea.</t>
  </si>
  <si>
    <t>inicio_periodo_estudiado_con_era</t>
  </si>
  <si>
    <t>atkinsonearliest</t>
  </si>
  <si>
    <t>The Earliest Inhabitants: The Dynamics of the Jamaican Taíno</t>
  </si>
  <si>
    <t>Lesley-Gail Atkinson (ed.)</t>
  </si>
  <si>
    <t>Atlas 2.0 · plan de las 588 relaciones</t>
  </si>
  <si>
    <t>Cada relación recibe un estado explícito y se revisa en el lote en que ambos extremos ya están disponibles. Fricción y cruce lingüístico son campos distintos.</t>
  </si>
  <si>
    <t>Relación</t>
  </si>
  <si>
    <t>a heredado</t>
  </si>
  <si>
    <t>b heredado</t>
  </si>
  <si>
    <t>a migrado</t>
  </si>
  <si>
    <t>b migrado</t>
  </si>
  <si>
    <t>Tipo heredado</t>
  </si>
  <si>
    <t>Fuente heredada</t>
  </si>
  <si>
    <t>Estado fuente 1.15</t>
  </si>
  <si>
    <t>Decisión piloto</t>
  </si>
  <si>
    <t>Estado inicial 2.0</t>
  </si>
  <si>
    <t>Lote a</t>
  </si>
  <si>
    <t>Lote b</t>
  </si>
  <si>
    <t>Alcance</t>
  </si>
  <si>
    <t>Lote de revisión</t>
  </si>
  <si>
    <t>Fricción</t>
  </si>
  <si>
    <t>Cruce lingüístico</t>
  </si>
  <si>
    <t>Fuente / páginas 2.0</t>
  </si>
  <si>
    <t>Estado revisión</t>
  </si>
  <si>
    <t>Aprobación</t>
  </si>
  <si>
    <t>Lista para generar</t>
  </si>
  <si>
    <t>R0001</t>
  </si>
  <si>
    <t>resonancia</t>
  </si>
  <si>
    <t>Por corroborar.</t>
  </si>
  <si>
    <t>por_corroborar</t>
  </si>
  <si>
    <t>frontera</t>
  </si>
  <si>
    <t>R0002</t>
  </si>
  <si>
    <t>Comparten el fenómeno Colonialidad. Por corroborar el vínculo directo.</t>
  </si>
  <si>
    <t>R0003</t>
  </si>
  <si>
    <t>disonancia</t>
  </si>
  <si>
    <t>Economía política anglófona (Mintz) frente a transculturación cultural hispana (Ortiz): tensión de énfasis.</t>
  </si>
  <si>
    <t>corroborada</t>
  </si>
  <si>
    <t>R0004</t>
  </si>
  <si>
    <t>Comparten el fenómeno Creolización / oralitura. Por corroborar el vínculo directo.</t>
  </si>
  <si>
    <t>interna</t>
  </si>
  <si>
    <t>R0005</t>
  </si>
  <si>
    <t>R0006</t>
  </si>
  <si>
    <t>La créolité de Bernabé, Chamoiseau y Confiant se distancia de la poética de la Relación de Glissant.</t>
  </si>
  <si>
    <t>R0007</t>
  </si>
  <si>
    <t>Comparten el fenómeno Cimarronaje / fuga. Por corroborar el vínculo directo.</t>
  </si>
  <si>
    <t>R0008</t>
  </si>
  <si>
    <t>Comparatismo académico del cimarronaje (Price) frente a la memoria local palenquera del Totumo.</t>
  </si>
  <si>
    <t>degradar_a_por_corroborar</t>
  </si>
  <si>
    <t>no</t>
  </si>
  <si>
    <t>sí</t>
  </si>
  <si>
    <t>revisada</t>
  </si>
  <si>
    <t>R0009</t>
  </si>
  <si>
    <t>R0010</t>
  </si>
  <si>
    <t>R0011</t>
  </si>
  <si>
    <t>R0012</t>
  </si>
  <si>
    <t>Comparten el fenómeno Memoria y espiritualidad. Por corroborar el vínculo directo.</t>
  </si>
  <si>
    <t>R0013</t>
  </si>
  <si>
    <t>Comparten el fenómeno Soberanías. Por corroborar el vínculo directo.</t>
  </si>
  <si>
    <t>R0014</t>
  </si>
  <si>
    <t>R0015</t>
  </si>
  <si>
    <t>Comparten el fenómeno Catástrofes climáticas. Por corroborar el vínculo directo.</t>
  </si>
  <si>
    <t>R0016</t>
  </si>
  <si>
    <t>Comparten el fenómeno Capitalismo racial. Por corroborar el vínculo directo.</t>
  </si>
  <si>
    <t>R0017</t>
  </si>
  <si>
    <t>R0018</t>
  </si>
  <si>
    <t>R0019</t>
  </si>
  <si>
    <t>R0020</t>
  </si>
  <si>
    <t>R0021</t>
  </si>
  <si>
    <t>Comparten el fenómeno Violencias. Por corroborar el vínculo directo.</t>
  </si>
  <si>
    <t>R0022</t>
  </si>
  <si>
    <t>R0023</t>
  </si>
  <si>
    <t>R0024</t>
  </si>
  <si>
    <t>Reparación de la deuda (Araujo) frente a la contra-plantación soberana que rehace mundo por fuera del Estado (Casimir).</t>
  </si>
  <si>
    <t>R0025</t>
  </si>
  <si>
    <t>R0026</t>
  </si>
  <si>
    <t>Continuidad de la trata tras la abolición (Sherwood) frente a la plantación como matriz ya clausurada (Mintz).</t>
  </si>
  <si>
    <t>R0027</t>
  </si>
  <si>
    <t>R0028</t>
  </si>
  <si>
    <t>R0029</t>
  </si>
  <si>
    <t>Monahan lee críticamente la fijación identitaria que atribuye a cierta recepción de Glissant.</t>
  </si>
  <si>
    <t>R0030</t>
  </si>
  <si>
    <t>R0031</t>
  </si>
  <si>
    <t>R0032</t>
  </si>
  <si>
    <t>R0033</t>
  </si>
  <si>
    <t>Continuidad de autor (Mintz).</t>
  </si>
  <si>
    <t>R0034</t>
  </si>
  <si>
    <t>Comparten el fenómeno Postplantación. Por corroborar el vínculo directo.</t>
  </si>
  <si>
    <t>R0035</t>
  </si>
  <si>
    <t>R0036</t>
  </si>
  <si>
    <t>R0037</t>
  </si>
  <si>
    <t>R0038</t>
  </si>
  <si>
    <t>Continuidad de autor (Price).</t>
  </si>
  <si>
    <t>R0039</t>
  </si>
  <si>
    <t>R0040</t>
  </si>
  <si>
    <t>R0041</t>
  </si>
  <si>
    <t>Dunham y Hurston compitieron por el mismo terreno etnográfico en Haití y Jamaica en los años treinta.</t>
  </si>
  <si>
    <t>R0042</t>
  </si>
  <si>
    <t>R0043</t>
  </si>
  <si>
    <t>R0044</t>
  </si>
  <si>
    <t>R0045</t>
  </si>
  <si>
    <t>R0046</t>
  </si>
  <si>
    <t>R0047</t>
  </si>
  <si>
    <t>R0048</t>
  </si>
  <si>
    <t>R0049</t>
  </si>
  <si>
    <t>R0050</t>
  </si>
  <si>
    <t>R0051</t>
  </si>
  <si>
    <t>R0052</t>
  </si>
  <si>
    <t>R0053</t>
  </si>
  <si>
    <t>R0054</t>
  </si>
  <si>
    <t>Continuidad de autor (Trouillot).</t>
  </si>
  <si>
    <t>R0055</t>
  </si>
  <si>
    <t>R0056</t>
  </si>
  <si>
    <t>R0057</t>
  </si>
  <si>
    <t>R0058</t>
  </si>
  <si>
    <t>R0059</t>
  </si>
  <si>
    <t>R0060</t>
  </si>
  <si>
    <t>La etnología haitiana de Price-Mars frente al encuadre estadounidense de Haití por los Herskovits. Por corroborar como choque puntual.</t>
  </si>
  <si>
    <t>R0061</t>
  </si>
  <si>
    <t>Continuidad de autor (Palmié).</t>
  </si>
  <si>
    <t>R0062</t>
  </si>
  <si>
    <t>R0063</t>
  </si>
  <si>
    <t>R0064</t>
  </si>
  <si>
    <t>R0065</t>
  </si>
  <si>
    <t>R0066</t>
  </si>
  <si>
    <t>R0067</t>
  </si>
  <si>
    <t>R0068</t>
  </si>
  <si>
    <t>R0069</t>
  </si>
  <si>
    <t>R0070</t>
  </si>
  <si>
    <t>R0071</t>
  </si>
  <si>
    <t>Continuidad de autor (Thomas).</t>
  </si>
  <si>
    <t>R0072</t>
  </si>
  <si>
    <t>R0073</t>
  </si>
  <si>
    <t>R0074</t>
  </si>
  <si>
    <t>R0075</t>
  </si>
  <si>
    <t>R0076</t>
  </si>
  <si>
    <t>R0077</t>
  </si>
  <si>
    <t>R0078</t>
  </si>
  <si>
    <t>R0079</t>
  </si>
  <si>
    <t>R0080</t>
  </si>
  <si>
    <t>R0081</t>
  </si>
  <si>
    <t>R0082</t>
  </si>
  <si>
    <t>R0083</t>
  </si>
  <si>
    <t>R0084</t>
  </si>
  <si>
    <t>Continuidad de autor (Olwig).</t>
  </si>
  <si>
    <t>R0085</t>
  </si>
  <si>
    <t>R0086</t>
  </si>
  <si>
    <t>R0087</t>
  </si>
  <si>
    <t>R0088</t>
  </si>
  <si>
    <t>R0089</t>
  </si>
  <si>
    <t>R0090</t>
  </si>
  <si>
    <t>Dos modos de estudiar la racialización caribeña hispana (dominicana y colombiana) en tensión metodológica. Por corroborar.</t>
  </si>
  <si>
    <t>R0091</t>
  </si>
  <si>
    <t>R0092</t>
  </si>
  <si>
    <t>R0093</t>
  </si>
  <si>
    <t>R0094</t>
  </si>
  <si>
    <t>R0095</t>
  </si>
  <si>
    <t>R0096</t>
  </si>
  <si>
    <t>R0097</t>
  </si>
  <si>
    <t>R0098</t>
  </si>
  <si>
    <t>R0099</t>
  </si>
  <si>
    <t>R0100</t>
  </si>
  <si>
    <t>R0101</t>
  </si>
  <si>
    <t>R0102</t>
  </si>
  <si>
    <t>R0103</t>
  </si>
  <si>
    <t>Feminismo queer caribeño: deseo, memoria y lo sagrado como un mismo campo.</t>
  </si>
  <si>
    <t>R0104</t>
  </si>
  <si>
    <t>Ambas leen a Ezili y el vodou desde el género. Por corroborar el vínculo directo.</t>
  </si>
  <si>
    <t>R0105</t>
  </si>
  <si>
    <t>Lo sagrado afroatlántico como saber corporal. Por corroborar.</t>
  </si>
  <si>
    <t>R0106</t>
  </si>
  <si>
    <t>Mujeres, parentesco y ritual afrocaribeño. Por corroborar.</t>
  </si>
  <si>
    <t>R0107</t>
  </si>
  <si>
    <t>Feminismo caribeño sobre nación, raza y trabajo. Por corroborar.</t>
  </si>
  <si>
    <t>R0108</t>
  </si>
  <si>
    <t>Raza y género en la República Dominicana. Por corroborar.</t>
  </si>
  <si>
    <t>R0109</t>
  </si>
  <si>
    <t>El feminismo decolonial de Curiel tensiona los marcos liberales de ciudadanía de sexo y género (Hirschmann &amp; Thomas).</t>
  </si>
  <si>
    <t>R0110</t>
  </si>
  <si>
    <t>Libertad y soberanía caribeñas repensadas más allá del Estado. Por corroborar.</t>
  </si>
  <si>
    <t>R0111</t>
  </si>
  <si>
    <t>Género, trabajo y libertad en el Caribe. Por corroborar.</t>
  </si>
  <si>
    <t>R0112</t>
  </si>
  <si>
    <t>Ciudadanía, sexo y género. Por corroborar.</t>
  </si>
  <si>
    <t>R0113</t>
  </si>
  <si>
    <t>Mujeres y economía caribeña. Por corroborar.</t>
  </si>
  <si>
    <t>R0114</t>
  </si>
  <si>
    <t>Ambos estudian el rastafarismo como construcción de identidad negra. Por corroborar el vínculo directo.</t>
  </si>
  <si>
    <t>R0115</t>
  </si>
  <si>
    <t>Rastafarismo y negritud espiritual leídos como cimarronaje contemporáneo (Roberts). Por corroborar.</t>
  </si>
  <si>
    <t>R0116</t>
  </si>
  <si>
    <t>Puerto Rico: una negritud y una libertad pensadas por fuera de la nación soberana (Ramadan-Santiago 2021; Bonilla 2015).</t>
  </si>
  <si>
    <t>R0117</t>
  </si>
  <si>
    <t>Ambos piensan la catástrofe ambiental caribeña como continuación del régimen colonial y no como accidente de la naturaleza: Ferdinand desde el barco negrero, Sheller desde el régimen de movilidad del Antropoceno (Ferdinand 2019; Sheller 2020).</t>
  </si>
  <si>
    <t>R0118</t>
  </si>
  <si>
    <t>Comparten la tesis central de que el desastre revela la relación colonial en vez de ocultarla: el terremoto de Haití en Sheller, el huracán María en Bonilla y LeBrón (Sheller 2020; Bonilla y LeBrón 2019).</t>
  </si>
  <si>
    <t>R0119</t>
  </si>
  <si>
    <t>Misma autora: de la agencia corporal y erótica como forma de libertad poscolonial (2012) a la supervivencia insular como agencia frente al Antropoceno (2020), un mismo argumento sobre el cuerpo caribeño que se rehace hoy en clave ecológica.</t>
  </si>
  <si>
    <t>R0120</t>
  </si>
  <si>
    <t>Ambas piensan la libertad caribeña por fuera del Estado, desde el cuerpo: Lara como soberanía negra queer, Sheller como agencia erótica ciudadana (Lara 2020; Sheller 2012).</t>
  </si>
  <si>
    <t>R0121</t>
  </si>
  <si>
    <t>Las dos escriben sobre la nación dominicana como régimen heterosexual y racial que expulsa lo que no puede clasificar (Curiel; Lara 2020).</t>
  </si>
  <si>
    <t>R0122</t>
  </si>
  <si>
    <t>Soberanía repensada fuera del molde estatal: Bonilla desde lo político-territorial, Lara desde el cuerpo y el ritual (Bonilla 2015; Lara 2020).</t>
  </si>
  <si>
    <t>R0123</t>
  </si>
  <si>
    <t>Comparten el terreno de la identidad negra dominicana, una desde la disputa racial pública, otra desde la disidencia sexual (Simmons; Lara 2020).</t>
  </si>
  <si>
    <t>R0124</t>
  </si>
  <si>
    <t>Ambos retoman a Audre Lorde para pensar lo erótico como categoría política-sensual-espiritual en el Caribe anglófono, con Trinidad como uno de sus centros (Alexander 2005; Gill 2018).</t>
  </si>
  <si>
    <t>R0125</t>
  </si>
  <si>
    <t>Imaginación erótica negra y queer como método de conocimiento caribeño, una desde Haití y el Atlántico, otra desde Trinidad (Tinsley; Gill 2018).</t>
  </si>
  <si>
    <t>R0126</t>
  </si>
  <si>
    <t>Lo erótico como agencia política caribeña, no como esfera privada (Sheller 2012; Gill 2018).</t>
  </si>
  <si>
    <t>R0127</t>
  </si>
  <si>
    <t>Ana-Maurine Lara reseñó Erotic Islands en New West Indian Guide (2019): un vínculo intelectual documentado, no inferido, entre ambas obras.</t>
  </si>
  <si>
    <t>R0128</t>
  </si>
  <si>
    <t>El capítulo final de Deere, "Archipelagos of Resistance", construye su modelo espacial de resistencia directamente sobre la poética de la relación de Glissant (Deere 2025, cap. 4; Glissant).</t>
  </si>
  <si>
    <t>R0129</t>
  </si>
  <si>
    <t>Posible tensión entre la cuadrícula colonial como tecnología de poder (Deere) y la contra-plantación haitiana como formación endógena que la excede (Casimir). Por corroborar con lectura completa de ambos.</t>
  </si>
  <si>
    <t>R0130</t>
  </si>
  <si>
    <t>El área sociocultural que Mintz define en 1966 es la misma que pone a prueba en su propio trabajo de campo puertorriqueño (Mintz 1966; Mintz, Sweetness and Power).</t>
  </si>
  <si>
    <t>R0131</t>
  </si>
  <si>
    <t>Posible tensión entre la unidad de área definida desde la economía política de la plantación (Mintz) y la historia decolonial endógena de Casimir, que discute justamente ese tipo de marco impuesto desde fuera. Por corroborar.</t>
  </si>
  <si>
    <t>R0132</t>
  </si>
  <si>
    <t>Abello cita directamente La isla que se repite de Benítez Rojo para pensar el archipiélago caribeño sin centro fijo: una referencia textual verificable, no inferida (Abello Vives 2015, nota 21, p. 16-17 de Benítez Rojo).</t>
  </si>
  <si>
    <t>R0133</t>
  </si>
  <si>
    <t>Ambos anclan en Cartagena y el Gran Caribe la historia de una región colombiana integrada al mundo caribeño por el mar antes que por el Estado andino (Pérez Morales; Abello Vives 2015).</t>
  </si>
  <si>
    <t>R0134</t>
  </si>
  <si>
    <t>Dos modelos hermanos y rivales del Caribe sin centro: la repetición caótica de la máquina de plantación en Benítez Rojo, la relación y el archipiélago en Glissant. Un diálogo clásico y muy citado del pensamiento caribeño (Benítez Rojo 1989; Glissant).</t>
  </si>
  <si>
    <t>R0135</t>
  </si>
  <si>
    <t>La máquina de plantación de Benítez Rojo se piensa explícitamente desde el contrapunteo cubano de Ortiz entre azúcar y tabaco, misma tradición intelectual cubana (Benítez Rojo 1989; Ortiz).</t>
  </si>
  <si>
    <t>R0136</t>
  </si>
  <si>
    <t>Glissant parte de la negritud de Césaire y la desplaza hacia la relación y el archipiélago: una filiación y una ruptura documentadas, no inferidas (Césaire 1950; Glissant).</t>
  </si>
  <si>
    <t>R0137</t>
  </si>
  <si>
    <t>Fanon fue alumno de Césaire en el liceo de Fort-de-France antes de escribir sobre la experiencia colonial del cuerpo negro: una relación intelectual y biográfica directa (Césaire 1950; Fanon 1952).</t>
  </si>
  <si>
    <t>R0138</t>
  </si>
  <si>
    <t>Dos textos fundacionales de la crítica anticolonial que leen el colonialismo como estructura económica y civilizatoria, no como excepción moral (Césaire 1950; Rodney).</t>
  </si>
  <si>
    <t>R0139</t>
  </si>
  <si>
    <t>La experiencia vivida del cuerpo negro bajo la mirada blanca —el "mira, un negro" que fija y cosifica— es el punto de partida que la filosofía creolizante de Monahan hereda y discute (Fanon 1952; Monahan).</t>
  </si>
  <si>
    <t>R0140</t>
  </si>
  <si>
    <t>Ambos piensan el cuerpo racializado y su deseo como territorio político: Fanon desde el psicoanálisis de la mirada colonial, Alexander desde lo erótico-sagrado caribeño (Fanon 1952; Alexander).</t>
  </si>
  <si>
    <t>R0141</t>
  </si>
  <si>
    <t>Casimir escribe su historia decolonial de Haití en diálogo directo con el relato de James sobre la revolución como acontecimiento fundador, setenta años después (James 1938; Casimir).</t>
  </si>
  <si>
    <t>R0142</t>
  </si>
  <si>
    <t>Neil Roberts construye buena parte de Freedom as Marronage sobre el relato de James: la revolución haitiana como caso central de la libertad entendida como cimarronaje (James 1938; Roberts 2015).</t>
  </si>
  <si>
    <t>R0143</t>
  </si>
  <si>
    <t>James fue una influencia historiográfica y política directa sobre Rodney: dos historiadores marxistas del Caribe angloparlante pensando la relación entre raza, imperio y revolución (James 1938; Rodney).</t>
  </si>
  <si>
    <t>R0144</t>
  </si>
  <si>
    <t>Mismo autor: el método historiográfico que Trouillot aplica a Dominica y al área caribeña en sus otros textos se vuelve aquí pregunta general sobre cómo se fabrica el silencio histórico (Trouillot 1995; Trouillot).</t>
  </si>
  <si>
    <t>R0145</t>
  </si>
  <si>
    <t>El capítulo central de Trouillot sobre la revolución haitiana como "acontecimiento impensable" discute de forma explícita el relato que James había narrado seis décadas antes (Trouillot 1995; James 1938).</t>
  </si>
  <si>
    <t>R0146</t>
  </si>
  <si>
    <t>Dos historiadores haitianos disputando, desde la historiografía, quién tiene autoridad para narrar a Haití (Trouillot 1995; Casimir).</t>
  </si>
  <si>
    <t>R0147</t>
  </si>
  <si>
    <t>Ambos leen la catástrofe caribeña —la mortandad esclavista, el naufragio ecológico— como tecnología de poder colonial y no como accidente natural (Brown 2008; Ferdinand 2019).</t>
  </si>
  <si>
    <t>R0148</t>
  </si>
  <si>
    <t>El mismo argumento sobre la catástrofe como forma de gobierno, aplicado a dos objetos distintos: la mortandad esclavista en Brown, el Antropoceno en Sheller (Brown 2008; Sheller 2020).</t>
  </si>
  <si>
    <t>R0149</t>
  </si>
  <si>
    <t>Ambas piensan el cuerpo caribeño racializado como terreno donde se juega la libertad o su negación: el trabajo sexual en Kempadoo, la agencia erótica ciudadana en Sheller (Kempadoo 2004; Sheller 2012).</t>
  </si>
  <si>
    <t>R0150</t>
  </si>
  <si>
    <t>R0151</t>
  </si>
  <si>
    <t>Ambas comparan sexualidades caribeñas disidentes cruzando fronteras lingüísticas imperiales en vez de encerrarse en una sola tradición (King 2014; Tinsley).</t>
  </si>
  <si>
    <t>R0152</t>
  </si>
  <si>
    <t>El panorama comparado de King y el estudio de caso trinitario de Gill leen juntos lo erótico como territorio político caribeño (King 2014; Gill 2018).</t>
  </si>
  <si>
    <t>R0153</t>
  </si>
  <si>
    <t>Cuerpos y sexualidades caribeñas que exceden la norma nacional y colonial, una desde el panorama regional, otra desde la República Dominicana en particular (King 2014; Lara 2020).</t>
  </si>
  <si>
    <t>R0154</t>
  </si>
  <si>
    <t>Dos maneras de leer la violencia sobre el cuerpo caribeño racializado como forma de gobierno, una desde el archivo esclavista del siglo XVIII, otra desde la Jamaica contemporánea (Fuentes 2016; Thomas 2011).</t>
  </si>
  <si>
    <t>R0155</t>
  </si>
  <si>
    <t>Comparten el fenómeno Cuerpo y erótica. Por corroborar el vínculo directo.</t>
  </si>
  <si>
    <t>R0156</t>
  </si>
  <si>
    <t>Dos historias sociales del trabajo y la sociedad colonial en el Caribe británico, una en Belice, otra en Trinidad y Tobago, con método y período compartidos (Bolland 1977; Reddock).</t>
  </si>
  <si>
    <t>R0157</t>
  </si>
  <si>
    <t>Dos guyaneses pensando raza, clase y poder de Estado en el Caribe poscolonial desde ángulos distintos: la movilización racial de las élites en Hintzen, el subdesarrollo estructural en Rodney (Hintzen 1989; Rodney).</t>
  </si>
  <si>
    <t>R0158</t>
  </si>
  <si>
    <t>R0159</t>
  </si>
  <si>
    <t>Mismo autor y misma comunidad saramaka, medio siglo después: del mundo ritual de Alabi's World al litigio internacional de Rainforest Warriors (Price 1990; Price 2011).</t>
  </si>
  <si>
    <t>R0160</t>
  </si>
  <si>
    <t>El cimarronaje histórico que Roberts teoriza como libertad se vuelve aquí litigio de derechos humanos contemporáneo (Roberts 2015; Price 2011).</t>
  </si>
  <si>
    <t>R0161</t>
  </si>
  <si>
    <t>Walter Rodney fue él mismo una figura central del Poder Negro caribeño, expulsado de Jamaica en 1968 por ese activismo (Quinn 2014; Rodney).</t>
  </si>
  <si>
    <t>R0162</t>
  </si>
  <si>
    <t>C.L.R. James es una referencia intelectual constante para la generación del Poder Negro caribeño que este volumen reconstruye (Quinn 2014; James 1938).</t>
  </si>
  <si>
    <t>R0163</t>
  </si>
  <si>
    <t>Dos genealogías del pensamiento pan-africanista con raíz caribeña: Russwurm en el siglo XIX, James en el XX (James 2010; James 1938).</t>
  </si>
  <si>
    <t>R0164</t>
  </si>
  <si>
    <t>Mismo autor, mismo archivo jamaicano: de la mortandad esclavista como tecnología de poder a la guerra esclava como estrategia militar real (Brown 2008; Brown 2020).</t>
  </si>
  <si>
    <t>R0165</t>
  </si>
  <si>
    <t>La rebelión de Tacky es uno de los casos centrales en la teorización del cimarronaje como libertad (Roberts 2015; Brown 2020).</t>
  </si>
  <si>
    <t>R0166</t>
  </si>
  <si>
    <t>Dos historias comparadas de la liberación esclava y el subdesarrollo estructural que produjo la esclavitud en las Américas (Helg 2016; Rodney).</t>
  </si>
  <si>
    <t>R0167</t>
  </si>
  <si>
    <t>El Caribe colombiano es uno de los casos centrales del estudio comparado de Helg sobre la liberación esclava (Helg 2016; Abello Vives 2015).</t>
  </si>
  <si>
    <t>R0168</t>
  </si>
  <si>
    <t>Robinson cita explícitamente a Rodney como uno de los historiadores que fundan la tradición radical negra (Robinson 1983; Rodney).</t>
  </si>
  <si>
    <t>R0169</t>
  </si>
  <si>
    <t>La crítica de Robinson al marxismo europeo por su ceguera racial dialoga directamente con la crítica de Césaire al humanismo europeo (Robinson 1983; Césaire 1950).</t>
  </si>
  <si>
    <t>R0170</t>
  </si>
  <si>
    <t>El marco del capitalismo racial que Robinson funda es el que Kempadoo aplica después al trabajo sexual caribeño (Robinson 1983; Kempadoo 2004).</t>
  </si>
  <si>
    <t>R0171</t>
  </si>
  <si>
    <t>Dos lecturas del Caribe colombiano como archipiélago y no como periferia andina, una desde la geografía marinera del XVIII-XIX, otra desde el presente (Bassi 2016; Abello Vives 2015).</t>
  </si>
  <si>
    <t>R0172</t>
  </si>
  <si>
    <t>Bassi construye su territorio acuoso en diálogo explícito con la isla que se repite de Benítez Rojo (Bassi 2016; Benítez Rojo 1989).</t>
  </si>
  <si>
    <t>R0173</t>
  </si>
  <si>
    <t>Ambos trabajan la Cartagena marinera y corsaria del Gran Caribe transimperial en el mismo período (Bassi 2016; Pérez Morales).</t>
  </si>
  <si>
    <t>R0174</t>
  </si>
  <si>
    <t>El barco negrero como espacio de formación política antecede y prepara el terreno para acontecimientos como la revolución haitiana que narra James (Rediker 2007; James 1938).</t>
  </si>
  <si>
    <t>R0175</t>
  </si>
  <si>
    <t>Dos métodos para leer la violencia esclavista desde el archivo y desde el cuerpo, uno en el barco, otro en la ciudad esclavista (Rediker 2007; Fuentes 2016).</t>
  </si>
  <si>
    <t>R0176</t>
  </si>
  <si>
    <t>Ambos piensan las sexualidades caribeñas disidentes en su relación con la ley colonial, uno centrado en Trinidad, otro en panorama comparado (Gosine 2021; King 2014).</t>
  </si>
  <si>
    <t>R0177</t>
  </si>
  <si>
    <t>Eros y cuerpo caribeño como categoría política con Trinidad como uno de sus centros compartidos (Gosine 2021; Gill 2018).</t>
  </si>
  <si>
    <t>R0178</t>
  </si>
  <si>
    <t>Dos aproximaciones al mismo problema —filosófico-legal en Headley, histórico en Araujo— sobre las reparaciones por la esclavitud caribeña (Headley 2026; Araujo).</t>
  </si>
  <si>
    <t>R0179</t>
  </si>
  <si>
    <t>Comparten el anclaje curazoleño, reforzando el todavía delgado nodo neerlandés del atlas. Por corroborar el vínculo directo.</t>
  </si>
  <si>
    <t>R0180</t>
  </si>
  <si>
    <t>Ambos piensan la ciudad caribeña y la política de la diferencia racial en clave jamaicana contemporánea (Jaffe 2016; Thomas 2004).</t>
  </si>
  <si>
    <t>R0181</t>
  </si>
  <si>
    <t>Hoffmann y Cunin comparten el campo de los estudios afrocolombianos y la tensión entre negritud y mestizaje nacional (Pardo, Mosquera y Hoffmann 2002; Cunin).</t>
  </si>
  <si>
    <t>R0182</t>
  </si>
  <si>
    <t>Ciento cincuenta años de abolición colombiana y el Caribe colombiano archipiélico son parte del mismo campo de estudios (Pardo, Mosquera y Hoffmann 2002; Abello Vives 2015).</t>
  </si>
  <si>
    <t>R0183</t>
  </si>
  <si>
    <t>El Carnaval trinitario es el escenario donde indocaribeños y afrocaribeños negocian su lugar en la nación, tema central de ambos libros (Scher 2003; Khan).</t>
  </si>
  <si>
    <t>R0184</t>
  </si>
  <si>
    <t>Carnaval, política transnacional y ciudadanía sexual trinitaria vistos desde dos ángulos distintos (Scher 2003; Alexander).</t>
  </si>
  <si>
    <t>R0185</t>
  </si>
  <si>
    <t>Mismo archivo colonial de Luisiana, historia afrocriolla compartida desde dos métodos distintos (Hall 1992; Hirsch y Logsdon 1992).</t>
  </si>
  <si>
    <t>R0186</t>
  </si>
  <si>
    <t>Dos historias de formación de cultura afrocriolla desde el archivo colonial francés o español, Luisiana y Palenque (Hall 1992; Friedemann).</t>
  </si>
  <si>
    <t>R0187</t>
  </si>
  <si>
    <t>Criollización franco-caribeña comparada entre Luisiana y Haití, dos historias de la lengua y la raza bajo dominio francés (Hirsch y Logsdon 1992; Price-Mars).</t>
  </si>
  <si>
    <t>R0188</t>
  </si>
  <si>
    <t>Dos lecturas de la identidad indocaribeña, una comparando Guyana y Trinidad, otra centrada en Trinidad (Ramsaran y Lewis 2018; Khan).</t>
  </si>
  <si>
    <t>R0189</t>
  </si>
  <si>
    <t>Movilización racial indo-afro en la política guyanesa y trinitaria, mismo terreno desde ángulos distintos (Ramsaran y Lewis 2018; Hintzen 1989).</t>
  </si>
  <si>
    <t>R0190</t>
  </si>
  <si>
    <t>Dos etnografías fundacionales garífunas, una sobre etnogénesis, otra sobre parentesco ritual (González 1988; Kerns).</t>
  </si>
  <si>
    <t>R0191</t>
  </si>
  <si>
    <t>Etnogénesis garífuna en el Caribe y su diáspora transnacional posterior en Nueva York (González 1988; England).</t>
  </si>
  <si>
    <t>R0192</t>
  </si>
  <si>
    <t>Activismo garífuna hondureño y diáspora garífuna neoyorquina, mismo pueblo en dos escalas (Anderson 2009; England).</t>
  </si>
  <si>
    <t>R0193</t>
  </si>
  <si>
    <t>Mismo pueblo garífuna estudiado en generaciones distintas de la antropología, una en 1988, otra en 2009 (González 1988; Anderson 2009).</t>
  </si>
  <si>
    <t>R0194</t>
  </si>
  <si>
    <t>Mismo acontecimiento, el terremoto de 2010, leído desde la historia colectiva y desde la crónica personal (Munro 2010; Ulysse 2015).</t>
  </si>
  <si>
    <t>R0195</t>
  </si>
  <si>
    <t>El terremoto de Haití y el Antropoceno caribeño comparten la tesis de que el desastre es forma política y no accidente (Munro 2010; Sheller 2020).</t>
  </si>
  <si>
    <t>R0196</t>
  </si>
  <si>
    <t>Dos lecturas de Nevis, la arqueología de la plantación azucarera y la etnografía de la identidad insular contemporánea (Meniketti 2015; Olwig).</t>
  </si>
  <si>
    <t>R0197</t>
  </si>
  <si>
    <t>Comparten el anclaje en Barbados. Por corroborar el vínculo directo.</t>
  </si>
  <si>
    <t>R0198</t>
  </si>
  <si>
    <t>Sugar's Secrets dialoga directamente con el contrapunteo cubano de Ortiz entre azúcar, tabaco y raza (Kutzinski 1993; Ortiz).</t>
  </si>
  <si>
    <t>R0199</t>
  </si>
  <si>
    <t>Erótica y nación, el cuerpo racializado leído como texto político en dos claves distintas (Kutzinski 1993; Sheller 2012).</t>
  </si>
  <si>
    <t>R0200</t>
  </si>
  <si>
    <t>Comparten el anclaje en Nevis. Por corroborar el vínculo directo.</t>
  </si>
  <si>
    <t>R0201</t>
  </si>
  <si>
    <t>Sexualidades caribeñas juveniles y panorama comparado de sexualidades transgresoras, dos escalas del mismo problema (Curtis 2009; King 2014).</t>
  </si>
  <si>
    <t>R0202</t>
  </si>
  <si>
    <t>La reivindicación de la lengua criolla como forma legítima de memoria y conocimiento, compartida entre Léonora y Éloge de la créolité (Bébel-Gisler 1985; Bernabé, Chamoiseau y Confiant).</t>
  </si>
  <si>
    <t>R0203</t>
  </si>
  <si>
    <t>Dos luchas por el reconocimiento de una lengua criolla frente al idioma imperial, en Guadalupe y en Palenque (Bébel-Gisler 1985; Friedemann).</t>
  </si>
  <si>
    <t>R0204</t>
  </si>
  <si>
    <t>Misma autora, Haití narrado desde adentro tras el terremoto y la diáspora haitiana en Jamaica narrada desde el comercio informal (Ulysse 2015; Ulysse 2008).</t>
  </si>
  <si>
    <t>R0205</t>
  </si>
  <si>
    <t>La violencia antinegra como clima estructural y no como excepción es el argumento que comparten Sharpe y Thomas desde escalas distintas (Sharpe 2016; Thomas 2011).</t>
  </si>
  <si>
    <t>R0206</t>
  </si>
  <si>
    <t>La estela esclavista y el archivo violento como método compartido para leer el cuerpo negro caribeño (Sharpe 2016; Fuentes 2016).</t>
  </si>
  <si>
    <t>R0207</t>
  </si>
  <si>
    <t>Dos historias de la revolución haitiana en diálogo con la esclavitud cubana que se profundizó por su causa (Ferrer 2014; James 1938).</t>
  </si>
  <si>
    <t>R0208</t>
  </si>
  <si>
    <t>Cuba y Haití como espejos de la misma era revolucionaria, ambos piensan la revolución haitiana como bisagra regional (Ferrer 2014; Casimir).</t>
  </si>
  <si>
    <t>R0209</t>
  </si>
  <si>
    <t>DeLoughrey retoma explícitamente la 'tidaléctica' de Brathwaite como método de este libro ('following the work of Kamau Brathwaite'). Cita directa, verificada en el texto.</t>
  </si>
  <si>
    <t>R0210</t>
  </si>
  <si>
    <t>Glissant aparece como interlocutor constante de la relación archipelágica (28 menciones verificadas en el texto); pendiente precisar el pasaje exacto.</t>
  </si>
  <si>
    <t>R0211</t>
  </si>
  <si>
    <t>Johnson cita a Fernando Ortiz, Los negros esclavos, en su aparato bibliográfico. Cita verificada.</t>
  </si>
  <si>
    <t>R0212</t>
  </si>
  <si>
    <t>Allen menciona el trabajo de Nanette de Jong sobre el tambú curazoleño (referencia puntual verificada); ambas comparten archivo etnográfico de Curazao.</t>
  </si>
  <si>
    <t>R0213</t>
  </si>
  <si>
    <t>El volumen retoma extensamente el marco de la soberanía no-soberana de Yarimar Bonilla (2010, 2015) para leer Curazao. Cita directa y extensa, verificada.</t>
  </si>
  <si>
    <t>R0214</t>
  </si>
  <si>
    <t>Cita a Rivke Jaffe sobre Curazao (verificado por mención en el texto); pendiente precisar el pasaje.</t>
  </si>
  <si>
    <t>R0215</t>
  </si>
  <si>
    <t>El volumen cita directamente a Rose Mary Allen y su Di ki manera? sobre la historia social afrocurazoleña. Cita verificada.</t>
  </si>
  <si>
    <t>R0216</t>
  </si>
  <si>
    <t>Naveda agradece y cita extensamente a Gonzalo Aguirre Beltrán, fundador de los estudios afromexicanos (20 menciones verificadas en el texto).</t>
  </si>
  <si>
    <t>R0217</t>
  </si>
  <si>
    <t>El volumen cita extensamente a Rhoda Reddock (16 menciones verificadas); ambas piensan el feminismo caribeño desde Trinidad y la UWI.</t>
  </si>
  <si>
    <t>R0218</t>
  </si>
  <si>
    <t>Continuidad de autor (Winston James).</t>
  </si>
  <si>
    <t>R0219</t>
  </si>
  <si>
    <t>Schuller cita a Trouillot para pensar la posición subordinada de Haití en el orden internacional. Cita verificada en el texto.</t>
  </si>
  <si>
    <t>R0220</t>
  </si>
  <si>
    <t>Schuller cita directamente a Gina Ulysse (2008) sobre la posición epistémica haitiana. Cita verificada.</t>
  </si>
  <si>
    <t>R0221</t>
  </si>
  <si>
    <t>Zips discute extensamente el argumento de Kenneth Bilby sobre la visión histórica cimarrona jamaicana (65 menciones verificadas en el texto).</t>
  </si>
  <si>
    <t>R0222</t>
  </si>
  <si>
    <t>Zips dialoga con la obra comparativa de Richard Price sobre sociedades cimarronas (mención verificada); pendiente precisar el pasaje.</t>
  </si>
  <si>
    <t>R0223</t>
  </si>
  <si>
    <t>Neville A. T. Hall fue co-director de la tesis doctoral de Bridget Brereton, según ella misma consigna en el libro. Vínculo biográfico e intelectual directo, verificado.</t>
  </si>
  <si>
    <t>R0224</t>
  </si>
  <si>
    <t>Nixon dialoga extensamente con el marco de Kempadoo sobre trabajo sexual y raza en el turismo caribeño (36 menciones verificadas).</t>
  </si>
  <si>
    <t>R0225</t>
  </si>
  <si>
    <t>Nixon cita a Mimi Sheller sobre el Caribe como paraíso consumible (19 menciones verificadas).</t>
  </si>
  <si>
    <t>R0226</t>
  </si>
  <si>
    <t>Comparten el fenómeno Catástrofes climáticas y el lugar Puerto Rico. Por corroborar el vínculo textual directo: no se detectó cita cruzada explícita en el rastreo.</t>
  </si>
  <si>
    <t>R0227</t>
  </si>
  <si>
    <t>El volumen cita extensamente a Kempadoo (39 menciones verificadas) como referencia central de los estudios de sexualidad caribeña.</t>
  </si>
  <si>
    <t>R0228</t>
  </si>
  <si>
    <t>El volumen cita extensamente a M. Jacqui Alexander (42 menciones verificadas).</t>
  </si>
  <si>
    <t>R0229</t>
  </si>
  <si>
    <t>Hall es citado y discutido en el estudio de Olwig sobre St. John; ambos comparten archivo colonial danés (10 menciones verificadas).</t>
  </si>
  <si>
    <t>R0230</t>
  </si>
  <si>
    <t>Knight cita explícitamente el comparatismo de área de Sidney Mintz. Cita verificada.</t>
  </si>
  <si>
    <t>R0231</t>
  </si>
  <si>
    <t>Comparten el fenómeno Colonialidad y la ambición de pensar el Caribe como región abierta más allá del Estado-nación. Por corroborar el vínculo textual directo.</t>
  </si>
  <si>
    <t>R0232</t>
  </si>
  <si>
    <t>Los propios editores afirman que el pensamiento de Trouillot 'sostiene todo el volumen' (115 menciones verificadas en el texto).</t>
  </si>
  <si>
    <t>R0233</t>
  </si>
  <si>
    <t>Gina Ulysse participó como discutidora del proyecto que dio origen al volumen (mención verificada en agradecimientos e introducción).</t>
  </si>
  <si>
    <t>R0234</t>
  </si>
  <si>
    <t>Klein entrevista directamente a Yarimar Bonilla para el capítulo sobre la doctrina del shock pos-María. Entrevista y cita directa, verificada.</t>
  </si>
  <si>
    <t>R0235</t>
  </si>
  <si>
    <t>Comparten fuente primaria: ambas obras se apoyan en el trabajo de Yarimar Bonilla sobre Puerto Rico pos-María.</t>
  </si>
  <si>
    <t>R0236</t>
  </si>
  <si>
    <t>Verificada por texto: Mintz leyó el manuscrito completo (agradecimientos) y es citado como Mintz 1960a, 1979 y 1984: 299.</t>
  </si>
  <si>
    <t>R0237</t>
  </si>
  <si>
    <t>Verificada por texto: cita a Jean Fouchard (1972) y lo registra en bibliografía e índice onomástico (pp. 42 y 122).</t>
  </si>
  <si>
    <t>R0238</t>
  </si>
  <si>
    <t>Verificada por texto: cita textual «Martiniquan writer Aimé Césaire put it quite simply: it was in Haiti that…»; índice onomástico p. 130.</t>
  </si>
  <si>
    <t>R0239</t>
  </si>
  <si>
    <t>Verificada por texto: cita James 1962 (The Black Jacobins) en dos pasajes sobre la interpretación de la revolución.</t>
  </si>
  <si>
    <t>R0240</t>
  </si>
  <si>
    <t>Verificada por texto: cita a Price-Mars y lo nombra fundador de la escuela haitiana de etnología.</t>
  </si>
  <si>
    <t>R0241</t>
  </si>
  <si>
    <t>Mismo autor: continuidad directa del programa de investigación (1990 → 1995).</t>
  </si>
  <si>
    <t>R0242</t>
  </si>
  <si>
    <t>R0243</t>
  </si>
  <si>
    <t>R0244</t>
  </si>
  <si>
    <t>R0245</t>
  </si>
  <si>
    <t>R0246</t>
  </si>
  <si>
    <t>R0247</t>
  </si>
  <si>
    <t>Verificada por texto: Mintz dirige la Caribbean Series de Yale donde aparece el libro; Wilson le agradece haberle enseñado «más de lo que sospecha sobre el Caribe» y cita Mintz n.d.</t>
  </si>
  <si>
    <t>R0248</t>
  </si>
  <si>
    <t>Verificada por texto: cita «cf. Fanon 1967» al cerrar el análisis del sistema social y lo registra en bibliografía.</t>
  </si>
  <si>
    <t>R0249</t>
  </si>
  <si>
    <t>Verificada por texto: Wilson discute a Herskovits en extenso, pero citando Trinidad Village (1947), no Rebel Destiny. El vínculo es de autor, no de obra.</t>
  </si>
  <si>
    <t>R0250</t>
  </si>
  <si>
    <t>Verificada por texto: cita repetidamente a Gonzalez 1969 (Black Carib Household Structure), no la obra fichada aquí. El vínculo es de autor, no de obra.</t>
  </si>
  <si>
    <t>R0251</t>
  </si>
  <si>
    <t>R0252</t>
  </si>
  <si>
    <t>R0253</t>
  </si>
  <si>
    <t>R0254</t>
  </si>
  <si>
    <t>R0255</t>
  </si>
  <si>
    <t>R0256</t>
  </si>
  <si>
    <t>R0257</t>
  </si>
  <si>
    <t>R0258</t>
  </si>
  <si>
    <t>R0259</t>
  </si>
  <si>
    <t>R0260</t>
  </si>
  <si>
    <t>R0261</t>
  </si>
  <si>
    <t>R0262</t>
  </si>
  <si>
    <t>R0263</t>
  </si>
  <si>
    <t>R0264</t>
  </si>
  <si>
    <t>R0265</t>
  </si>
  <si>
    <t>R0266</t>
  </si>
  <si>
    <t>R0267</t>
  </si>
  <si>
    <t>R0268</t>
  </si>
  <si>
    <t>R0269</t>
  </si>
  <si>
    <t>R0270</t>
  </si>
  <si>
    <t>R0271</t>
  </si>
  <si>
    <t>R0272</t>
  </si>
  <si>
    <t>R0273</t>
  </si>
  <si>
    <t>R0274</t>
  </si>
  <si>
    <t>R0275</t>
  </si>
  <si>
    <t>R0276</t>
  </si>
  <si>
    <t>R0277</t>
  </si>
  <si>
    <t>R0278</t>
  </si>
  <si>
    <t>R0279</t>
  </si>
  <si>
    <t>R0280</t>
  </si>
  <si>
    <t>R0281</t>
  </si>
  <si>
    <t>R0282</t>
  </si>
  <si>
    <t>R0283</t>
  </si>
  <si>
    <t>R0284</t>
  </si>
  <si>
    <t>R0285</t>
  </si>
  <si>
    <t>R0286</t>
  </si>
  <si>
    <t>R0287</t>
  </si>
  <si>
    <t>Price-Mars escribió la biografía de Firmin y narra en primera persona su paso por la Sociedad de Antropología de París en 1884 como el ‘cruel paradoja’ de un intelectual negro debatiendo su propia humanidad ante sabios racistas (introducción de C. Fluehr-Lobban a Firmin, ed. 2002, pp. xvi-xvii).</t>
  </si>
  <si>
    <t>R0288</t>
  </si>
  <si>
    <t>La introducción a la edición de 2002 cita la frase de apertura de Melville Herskovits en su otro estudio sobre Haití, Life in a Haitian Valley (1936) —‘Haiti has fared badly at the hands of its literary interpreters’— como prueba de que el estigma de la ‘Haití salvaje’ que Firmin refutó en 1885 seguía vivo medio siglo después (Firmin, ed. 2002, p. xxxii). La cita es a otro título de Herskovits, no a Rebel Destiny, pero documenta el mismo gesto de reivindicación frente al mismo estigma.</t>
  </si>
  <si>
    <t>R0289</t>
  </si>
  <si>
    <t>El argumento central del libro se construye explícitamente sobre Mintz: la autora declara que ‘draws on the work of Sidney Mintz’ para narrar el ‘diente dulce’ europeo, y cierra con ‘in consuming the Caribbean, to extend the argument, Europe was itself transformed’ (Sheller 2011, citando Mintz 1985).</t>
  </si>
  <si>
    <t>R0290</t>
  </si>
  <si>
    <t>Sheller nombra directamente el marco de Trouillot para explicar la amnesia europea sobre su propia historia esclavista: ‘this “silencing of the past” (Trouillot 1995)’ (Sheller 2011).</t>
  </si>
  <si>
    <t>R0291</t>
  </si>
  <si>
    <t>Sheller cita First-Time (1983) como modelo metodológico de una historiografía caribeña que interrumpe la voz autorial única con voces subalternas contrapuntísticas (Sheller 2011).</t>
  </si>
  <si>
    <t>R0292</t>
  </si>
  <si>
    <t>Sheller retoma el argumento de Kempadoo sobre el turismo sexual caribeño como ‘racismos encarnados’ y mercancía corporal racializada, aunque la cita puntual remite a su volumen editado Sun, Sex and Gold (1999) y no a Sexing the Caribbean (2004) (Sheller 2011).</t>
  </si>
  <si>
    <t>R0293</t>
  </si>
  <si>
    <t>Grosfoguel (2003) cita a Mintz, «Caribbean Transformations» (2.ª ed., 1989), junto a Wallerstein al fundamentar la dependencia caribeña dentro del sistema-mundo; la obra figura en su bibliografía. Verificado sobre el texto.</t>
  </si>
  <si>
    <t>R0294</t>
  </si>
  <si>
    <t>Grosfoguel (2003) incluye en su bibliografía «Peasants and Capital: Dominica in the World Economy» de Trouillot (1988). Verificado sobre el texto.</t>
  </si>
  <si>
    <t>R0295</t>
  </si>
  <si>
    <t>R0296</t>
  </si>
  <si>
    <t>R0297</t>
  </si>
  <si>
    <t>R0298</t>
  </si>
  <si>
    <t>R0299</t>
  </si>
  <si>
    <t>R0300</t>
  </si>
  <si>
    <t>R0301</t>
  </si>
  <si>
    <t>R0302</t>
  </si>
  <si>
    <t>R0303</t>
  </si>
  <si>
    <t>R0304</t>
  </si>
  <si>
    <t>R0305</t>
  </si>
  <si>
    <t>R0306</t>
  </si>
  <si>
    <t>R0307</t>
  </si>
  <si>
    <t>R0308</t>
  </si>
  <si>
    <t>R0309</t>
  </si>
  <si>
    <t>R0310</t>
  </si>
  <si>
    <t>Goldberg abre el libro con un epígrafe de Sharpe («Black studies: in the wake») y construye sobre In the Wake su noción de trabajo abolicionista de la estela. Cita verificada en el ejemplar de la biblioteca del grupo.</t>
  </si>
  <si>
    <t>R0311</t>
  </si>
  <si>
    <t>Cita Poetics of Relation (trad. Betsy Wing, Michigan, 1997) en la lectura de Turner de Dabydeen. Cita verificada en el ejemplar de la biblioteca del grupo.</t>
  </si>
  <si>
    <t>R0312</t>
  </si>
  <si>
    <t>Hurbon declara que retoma el concepto de Trouillot en Les racines historiques de l'État duvaliérien (Deschamps, 1986), obra hermana de Haiti: State Against Nation. Cita verificada en el ejemplar de la biblioteca del grupo.</t>
  </si>
  <si>
    <t>R0313</t>
  </si>
  <si>
    <t>«Il y a quelque cinquante ans, Jean Price-Mars, dans un ouvrage célèbre, Ainsi parla l'oncle (1928), proposait déjà un vaste réexamen de la vie…». Cita verificada en el ejemplar de la biblioteca del grupo.</t>
  </si>
  <si>
    <t>R0314</t>
  </si>
  <si>
    <t>Vínculo indirecto: Hurbon cita el Anténor Firmin póstumo de Price-Mars (1978), no la obra de Firmin. Por corroborar la lectura directa.</t>
  </si>
  <si>
    <t>R0315</t>
  </si>
  <si>
    <t>Ambos leen la nación haitiana como formación popular frente al Estado, con cuarenta años de por medio. Por corroborar el vínculo directo.</t>
  </si>
  <si>
    <t>R0316</t>
  </si>
  <si>
    <t>Rifkin sitúa Freedom as Marronage entre los relatos de «indigenización negra en las Américas» y remite acto seguido a la crítica de ese relato (Byrd, Jackson, Díaz, Newton). El desacuerdo es sobre si el cimarronaje produce o no una relación indígena con la tierra. Cita verificada en el ejemplar de la biblioteca del grupo.</t>
  </si>
  <si>
    <t>R0317</t>
  </si>
  <si>
    <t>«See Bilby, True-Born Maroons, 27», en el capítulo sobre la matriz cimarrona. Cita verificada en el ejemplar de la biblioteca del grupo.</t>
  </si>
  <si>
    <t>R0318</t>
  </si>
  <si>
    <t>«Bonilla, Non-Sovereign Futures, 11». Cita verificada en el ejemplar de la biblioteca del grupo.</t>
  </si>
  <si>
    <t>R0319</t>
  </si>
  <si>
    <t>«Wilder, Freedom Time, 88–89». Cita verificada en el ejemplar de la biblioteca del grupo.</t>
  </si>
  <si>
    <t>R0320</t>
  </si>
  <si>
    <t>Cita In the Wake entre las obras sobre plasticidad y porosidad de la negritud. Cita verificada en el ejemplar de la biblioteca del grupo.</t>
  </si>
  <si>
    <t>R0321</t>
  </si>
  <si>
    <t>«In A Map to the Door of No Return, Dionne Brand characterizes histories of enchattelment and fungibility as a rupture in history». Cita verificada en el ejemplar de la biblioteca del grupo.</t>
  </si>
  <si>
    <t>R0322</t>
  </si>
  <si>
    <t>Discute la opacidad de Poétique de la Relation citando la traducción de Wing. Cita verificada en el ejemplar de la biblioteca del grupo.</t>
  </si>
  <si>
    <t>R0323</t>
  </si>
  <si>
    <t>Mintz funda la región en la plantación; Whitehead reconstruye tres siglos de política caribe indígena que la preceden y la condicionan. El desacuerdo es sobre dónde empieza el Caribe. Vínculo temático: Whitehead no cita a Mintz, por corroborar el contacto directo.</t>
  </si>
  <si>
    <t>R0324</t>
  </si>
  <si>
    <t>Los dos tratan la etnogénesis como proceso y no como origen: González en los garífuna, Whitehead en los caribes insulares y continentales. Por corroborar el vínculo directo.</t>
  </si>
  <si>
    <t>R0325</t>
  </si>
  <si>
    <t>Ambos introducen la cuestión indígena en un archivo que se lee casi solo en clave afrodiaspórica. Por corroborar el vínculo directo.</t>
  </si>
  <si>
    <t>R0326</t>
  </si>
  <si>
    <t>Olsen cita El palenque de San Basilio (2ª ed., Barranquilla, 1979) y El negro en Colombia (1964) en su bibliografía. Cita verificada en el ejemplar de la biblioteca del grupo.</t>
  </si>
  <si>
    <t>R0327</t>
  </si>
  <si>
    <t>Cita Maroon Societies (Price ed., 2ª ed., Johns Hopkins, 1979) y el capítulo «Palenques in Colombia» de Escalante que ese volumen contiene. Cita verificada en el ejemplar de la biblioteca del grupo.</t>
  </si>
  <si>
    <t>R0328</t>
  </si>
  <si>
    <t>Las dos leen el archivo colonial como acto de producción y no como depósito. Por corroborar el vínculo directo.</t>
  </si>
  <si>
    <t>R0329</t>
  </si>
  <si>
    <t>«Sarah England, Afro-Central Americans in New York City: Garifuna Tales of Transnational Movements…». Cita verificada en el ejemplar de la biblioteca del grupo.</t>
  </si>
  <si>
    <t>R0330</t>
  </si>
  <si>
    <t>«Virginia Kerns, Women and the Ancestors: Black Carib Kinship and Ritual, 20», citada repetidamente en la línea de tiempo. Cita verificada en el ejemplar de la biblioteca del grupo.</t>
  </si>
  <si>
    <t>R0331</t>
  </si>
  <si>
    <t>Continúan la etnohistoria garífuna de González hacia la Costa Caribe nicaragüense y la diáspora neoyorquina. Por corroborar el vínculo directo.</t>
  </si>
  <si>
    <t>R0332</t>
  </si>
  <si>
    <t>Los dos leen la identidad garífuna como negociación entre lo negro y lo indígena frente al Estado centroamericano. Por corroborar el vínculo directo.</t>
  </si>
  <si>
    <t>R0333</t>
  </si>
  <si>
    <t>Misma autora: este libro de 2004 sobre el Caribe neogranadino (1770-1835) precede y alimenta el comparativismo continental de ¡Nunca más esclavos! (2016).</t>
  </si>
  <si>
    <t>R0334</t>
  </si>
  <si>
    <t>Comparten el fenómeno Soberanías/Colonialidad sobre el Caribe colombiano excluido del relato nacional andino. Por corroborar el vínculo directo.</t>
  </si>
  <si>
    <t>R0335</t>
  </si>
  <si>
    <t>Comparten el fenómeno Colonialidad y el territorio del Gran Caribe neogranadino. Por corroborar el vínculo directo.</t>
  </si>
  <si>
    <t>R0336</t>
  </si>
  <si>
    <t>Comparten geografía (Nueva Granada) y fenómeno Colonialidad, leídos por raza y por ciencia/Ilustración respectivamente. Por corroborar el vínculo directo.</t>
  </si>
  <si>
    <t>R0337</t>
  </si>
  <si>
    <t>Mismo autor: 'the unity is submarine' y el archipiélago de fragmentos de este ensayo de 1975 anteceden en una década a la tidaléctica de Nation Language/Tidalectics (1984). Continuidad verificada en el texto.</t>
  </si>
  <si>
    <t>R0338</t>
  </si>
  <si>
    <t>Comparten el problema del Caribe como fragmentos/archipiélago que desborda la antropología nacional. Por corroborar el vínculo directo.</t>
  </si>
  <si>
    <t>R0339</t>
  </si>
  <si>
    <t>Comparten el fenómeno Creolización/oralitura y la figura del archipiélago, en lenguas distintas. Por corroborar el vínculo directo.</t>
  </si>
  <si>
    <t>R0340</t>
  </si>
  <si>
    <t>Cita directa cruzada, verificada en ambos textos: Helg reconoce que 'thanks to the work of Múnera, some mulatto leaders... such as Pedro Romero... have begun to achieve the historical visibility they deserve', y el propio libro de Múnera reconstruye a Romero y Medrana a partir de fragmentos documentales dispersos.</t>
  </si>
  <si>
    <t>R0341</t>
  </si>
  <si>
    <t>Cita directa verificada: Sæther retoma la tesis de Múnera sobre los comunes cartageneros ('de acuerdo con Múnera, la población de color de la ciudad llegó a identificar independencia con igualdad', El fracaso 173-215) y le objeta explícitamente: 'Múnera no trata de explicar por qué los comunes de Cartagena querían la independencia' (p. 191).</t>
  </si>
  <si>
    <t>R0342</t>
  </si>
  <si>
    <t>Cita directa verificada: Sæther remite a Helg junto con Múnera sobre la composición racial de los comunes costeños ('Junto con la versión de Múnera, puede verse, por ejemplo, Helg (1-30)', p. 191, n. 264).</t>
  </si>
  <si>
    <t>R0343</t>
  </si>
  <si>
    <t>Comparten el fenómeno Soberanías/Colonialidad y la tesis del Caribe colombiano excluido del relato nacional andino. Por corroborar el vínculo directo.</t>
  </si>
  <si>
    <t>R0344</t>
  </si>
  <si>
    <t>Comparten el fenómeno Colonialidad y el territorio del Gran Caribe neogranadino en el mismo período. Por corroborar el vínculo directo.</t>
  </si>
  <si>
    <t>R0345</t>
  </si>
  <si>
    <t>Comparten el fenómeno Soberanías/Colonialidad sobre el Caribe colombiano frente al relato nacional andino. Por corroborar el vínculo directo.</t>
  </si>
  <si>
    <t>R0346</t>
  </si>
  <si>
    <t>Comparten el nodo Santa Marta y el problema de la violencia política regional, en distintos períodos. Por corroborar el vínculo directo.</t>
  </si>
  <si>
    <t>R0347</t>
  </si>
  <si>
    <t>El artículo cita a Trouillot (2025, Peasants and Capital) para explicar cómo la economía bananera articula campesinado y capital transnacional en paisajes fragmentados: la Zona Bananera como variante continental del mismo proceso que Trouillot describe para Dominica.</t>
  </si>
  <si>
    <t>R0348</t>
  </si>
  <si>
    <t>Cita explícita a Bassi (2021): la movilidad afrocaribeña de la Zona Bananera —ríos, ferrocarril, puertos— rehace territorio por fuera de las fronteras estatales, como el Gran Caribe transimperial de Bassi.</t>
  </si>
  <si>
    <t>R0349</t>
  </si>
  <si>
    <t>Cita a Glissant (vía Drabinski) para las 'astillas de la memoria': el silencio de los descendientes yumecas frente al pasado se lee con la poética de la relación, no como origen fijo sino como ruptura y reconexión.</t>
  </si>
  <si>
    <t>R0350</t>
  </si>
  <si>
    <t>Cita directa a Abello (La isla encallada) sobre el Caribe bananero de García Márquez: las plantaciones de Aracataca como modelo real de Macondo, el mismo enclave de la UFC que el artículo documenta como archivo vivo de las vidas negras.</t>
  </si>
  <si>
    <t>R0351</t>
  </si>
  <si>
    <t>Cita a Rediker (2014) junto con Scott para pensar el mar y el barco como infraestructura de movilidad y deshumanización: el mismo mar que trajo a los antillanos de habla inglesa a construir el ferrocarril bananero.</t>
  </si>
  <si>
    <t>R0352</t>
  </si>
  <si>
    <t>Rappaport organiza el análisis del método de Fals Borda alrededor de los cuatro momentos de producción de la historia de Trouillot (creación de hechos, archivos, narraciones, historia retrospectiva): marco estructural, no cita de paso.</t>
  </si>
  <si>
    <t>R0353</t>
  </si>
  <si>
    <t>El libro documenta cómo 'el negocio bananero' de las tres primeras décadas del siglo XX causó la llegada de los yumecas y el nacimiento de barrios negros como El Ancón y Pescaíto en Santa Marta: mismo proceso histórico que estudia Zonabananera, enclave vecino de la misma UFC. Por corroborar el vínculo directo entre los dos textos.</t>
  </si>
  <si>
    <t>R0354</t>
  </si>
  <si>
    <t>Cita directa a Sæther (2005) para discutir la esclavitud urbana y la composición racial de Santa Marta y Riohacha en el período colonial tardío: mismo nodo geográfico e histórico que cataloga Sæther.</t>
  </si>
  <si>
    <t>R0355</t>
  </si>
  <si>
    <t>Continuidad de autor (Hurbon): del control del imaginario bajo Duvalier (1979) a la síntesis sobre Estado, nación y cultura (1987).</t>
  </si>
  <si>
    <t>R0356</t>
  </si>
  <si>
    <t>Comparten el objeto histórico —el duvalierismo— desde ángulos distintos: el control del imaginario cultural (Hurbon) y la formación del Estado poscolonial (Trouillot). Por corroborar el vínculo directo.</t>
  </si>
  <si>
    <t>R0357</t>
  </si>
  <si>
    <t>El prólogo ubica el libro dentro de los 'cuatro momentos' de los estudios afrocolombianos y cita a Aquiles Escalante (1954) como fundador del primer momento etnográfico: la misma pieza fundacional sobre San Basilio que abre este corpus.</t>
  </si>
  <si>
    <t>R0358</t>
  </si>
  <si>
    <t>Cita la traducción española del libro de Helg (Libertad e igualdad en el Caribe colombiano, 1770-1835) para el análisis de la esclavitud urbana samaria: misma obra que Liberty and Equality in Caribbean Colombia.</t>
  </si>
  <si>
    <t>R0359</t>
  </si>
  <si>
    <t>Cita a Cunin (2003) entre los historiadores de la esclavitud y la composición racial de Santa Marta: mismo año y autora del estudio sobre identidades negras en Cartagena ya catalogado.</t>
  </si>
  <si>
    <t>R0360</t>
  </si>
  <si>
    <t>Cita literalmente Contrapunteo cubano del tabaco y el azúcar (ed. 1983) en nota al pie para fundamentar el precedente de la 'cultura híbrida' que el carnaval escenifica: misma obra catalogada.</t>
  </si>
  <si>
    <t>R0361</t>
  </si>
  <si>
    <t>Por corroborar. Ambas leen el carnaval caribeño como transnación cultural que se rehace ritualmente cada año; no hay cita cruzada directa localizada.</t>
  </si>
  <si>
    <t>R0362</t>
  </si>
  <si>
    <t>Cita y glosa en extenso Poétique de la Relation (1990) y Le Discours antillais (1981) -las dos obras que integran la ficha de Glissant en este corpus- a propósito del acriollamiento y la especificidad caribeña frente al Mediterráneo.</t>
  </si>
  <si>
    <t>R0363</t>
  </si>
  <si>
    <t>Testimonio directo: 'Tuve la grata ocasión de conocer a Laenne Hurbon, autor del libro Comprender Haití, una obra que me impactó; en 2012 publiqué una serie de artículos sobre el libro.' Mismo título catalogado.</t>
  </si>
  <si>
    <t>R0364</t>
  </si>
  <si>
    <t>Por corroborar. Reproduce en varias páginas el coloquio Brathwaite-Glissant de 1991 sobre 'lenguaje-nación' (vía la antología de Salto, 2010), concepto que da título a la ficha de Brathwaite en este corpus, pero sin citar directamente su obra primaria.</t>
  </si>
  <si>
    <t>R0365</t>
  </si>
  <si>
    <t>Por corroborar. Contrasta la negritud de Césaire con la síntesis de Glissant citando un poema suyo, no Discurso sobre el colonialismo; el vínculo temático es explícito, el textual no se localizó.</t>
  </si>
  <si>
    <t>R0366</t>
  </si>
  <si>
    <t>Por corroborar. El picó cartagenero y el sound system jamaicano comparten el mismo objeto -el equipo de sonido como forma de conocimiento corporal y circuito de circulación sur-sur- sin que el libro cite a Henriques.</t>
  </si>
  <si>
    <t>R0367</t>
  </si>
  <si>
    <t>Por corroborar. Comparten el baile y la escucha popular caribeña como práctica corporal de apropiación cultural; el libro se apoya en testimonios de administradores de picós, no en Quintero Rivera.</t>
  </si>
  <si>
    <t>R0368</t>
  </si>
  <si>
    <t>Cita directa y discusión extensa: «As Frantz Fanon argues, Decolonization... is clearly an agenda». Fanon organiza el argumento central del libro sobre reparaciones.</t>
  </si>
  <si>
    <t>R0369</t>
  </si>
  <si>
    <t>Bonilla es reconocida como interlocutora directa del libro («a vital interlocutor as I produced various drafts») y se cita su trabajo de campo sobre las asambleas posteriores al huracán María.</t>
  </si>
  <si>
    <t>R0370</t>
  </si>
  <si>
    <t>Cita explícita: «Bonilla's reference to Christina Sharpe's work» organiza la lectura de Zambrana sobre el clima de la colonialidad neoliberal.</t>
  </si>
  <si>
    <t>R0371</t>
  </si>
  <si>
    <t>Capítulo dedicado: «Négropolitains and Nuyorícans: Metropolitan Racialization in Frantz Fanon and Piri Thomas».</t>
  </si>
  <si>
    <t>R0372</t>
  </si>
  <si>
    <t>Capítulo 3 dedicado a cruzar a Césaire con Luis Muñoz Marín.</t>
  </si>
  <si>
    <t>R0373</t>
  </si>
  <si>
    <t>Cita el libro por su título exacto: «Ramón Grosfoguel's book entitled Colonial Subjects: Puerto Ricans in a Global Perspective (2003)».</t>
  </si>
  <si>
    <t>R0374</t>
  </si>
  <si>
    <t>Cita el libro por su título exacto: «History of the Voice by Kamau Brathwaite (1995, first edition 1983)», discutido en un capítulo completo.</t>
  </si>
  <si>
    <t>R0375</t>
  </si>
  <si>
    <t>Cita «Éloge de la Créolité by Bernabé, Chamoiseau, and Confiant» en el mismo capítulo dedicado a Brathwaite.</t>
  </si>
  <si>
    <t>R0376</t>
  </si>
  <si>
    <t>El propio libro declara: «the central framing of archipelagic thinking is... works by Édouard Glissant and Derek Walcott», con discusión extensa de Traité du tout-monde.</t>
  </si>
  <si>
    <t>R0377</t>
  </si>
  <si>
    <t>Elizabeth DeLoughrey, ya catalogada en el atlas, figura entre las colaboradoras que escriben el volumen.</t>
  </si>
  <si>
    <t>R0378</t>
  </si>
  <si>
    <t>Yolanda Martínez-San Miguel es coeditora de ambos libros; el volumen colectivo amplía el argumento que ella desarrolla en solitario en Coloniality of Diasporas.</t>
  </si>
  <si>
    <t>R0379</t>
  </si>
  <si>
    <t>Epígrafes de dos capítulos citan Caribbean Discourse (traducción de Le discours antillais, ya catalogado) y el cuerpo del texto lo discute directamente.</t>
  </si>
  <si>
    <t>R0380</t>
  </si>
  <si>
    <t>Epígrafe y cita directa: «As Jamaica Kincaid's famous essay on postcolonial Antigua suggests...», el mismo libro y la misma isla que ya tiene ficha en el atlas.</t>
  </si>
  <si>
    <t>R0381</t>
  </si>
  <si>
    <t>Se cita a Brereton en el cuerpo del texto («Bridget Brereton has established that freedwomen on Antigua...») pero por un trabajo distinto al catalogado (Race Relations in Colonial Trinidad). Por corroborar el título exacto.</t>
  </si>
  <si>
    <t>R0382</t>
  </si>
  <si>
    <t>Cita y discute in extenso: «Some of the more memorable pages of Michel-Rolph Trouillot's important Silencing the Past are devoted to the Haitian king Henri Christophe».</t>
  </si>
  <si>
    <t>R0383</t>
  </si>
  <si>
    <t>Cita el libro por su título exacto en nota al pie, dos veces: «Stephan Palmié, Wizards and Scientists: Explorations in Afro-Cuban Modernity and Tradition».</t>
  </si>
  <si>
    <t>R0384</t>
  </si>
  <si>
    <t>Discute la crítica de Price-Mars a las élites haitianas («Bovarysme collectif») pero no se confirmó que se refiera a Ainsi parla l'oncle, la obra catalogada. Por corroborar el título exacto.</t>
  </si>
  <si>
    <t>R0385</t>
  </si>
  <si>
    <t>Cita por año y autoría exactos: «(Bonilla and Lebrón 2019)», coincide con Aftershocks of Disaster ya catalogado.</t>
  </si>
  <si>
    <t>R0386</t>
  </si>
  <si>
    <t>Cita a «González 2018» y «Gonzalez 1980»; ninguno coincide con el año de Sojourners of the Caribbean (1988). Por corroborar si se trata de la misma autora.</t>
  </si>
  <si>
    <t>R0387</t>
  </si>
  <si>
    <t>Comparten el fenómeno Violencias y el objeto histórico de la violencia de Estado en la frontera domínico-haitiana. Por corroborar el vínculo directo.</t>
  </si>
  <si>
    <t>R0388</t>
  </si>
  <si>
    <t>Discusión extensa: «Toussaint guided Césaire in his intellectual awakening about the brutal realities of French colonial racism».</t>
  </si>
  <si>
    <t>R0389</t>
  </si>
  <si>
    <t>Cita el libro por su título exacto: «Jean Fouchard's Les marrons de la liberté (1972)».</t>
  </si>
  <si>
    <t>R0390</t>
  </si>
  <si>
    <t>Citas directas y repetidas: «(Bolland 1977)», usadas para fechar el esclavismo colonial en Belice desde 1724.</t>
  </si>
  <si>
    <t>R0391</t>
  </si>
  <si>
    <t>Cita El Monte por su título exacto entre «several foundational works by Lydia Cabrera, namely El Monte (1992/1954)», y declara: «I refer to the work of Cabrera throughout this study».</t>
  </si>
  <si>
    <t>R0392</t>
  </si>
  <si>
    <t>Discute extensamente a Fernando Ortiz pero por dos títulos distintos al catalogado (La «tragedia» de los ñáñigos; El folklore de los negros de Cuba), no Contrapunteo cubano. Por corroborar el título exacto.</t>
  </si>
  <si>
    <t>R0393</t>
  </si>
  <si>
    <t>Cita el libro por su título exacto: «Divine Utterances: The Performance of Afro-Cuban Santeria (2001) by Katherine Hagedorn», discutido en dos pasajes distintos.</t>
  </si>
  <si>
    <t>R0394</t>
  </si>
  <si>
    <t>Reconoce a Fernando Ortiz como fuente fundacional del estudio de la música afrocubana pero sin citar Contrapunteo cubano por título. Por corroborar el título exacto.</t>
  </si>
  <si>
    <t>R0395</t>
  </si>
  <si>
    <t>Édgar Rey Sinning es coautor del volumen (firma la presentación «Región Caribe») y se cita su libro por título exacto en la bibliografía: «Sinning, E. (2025). Cristo Rey: un espacio para permanecer en el tiempo».</t>
  </si>
  <si>
    <t>R0396</t>
  </si>
  <si>
    <t>Roberto Almanza y Margarita Granados Castellanos son coautores del mismo volumen, con el capítulo «Construyendo al otro: La nación ilusoria...» sobre las geografías negras de la Zona Bananera.</t>
  </si>
  <si>
    <t>R0397</t>
  </si>
  <si>
    <t>Cita a Dolcey Romero Jaramillo pero por un libro distinto al catalogado (Esclavitud en la provincia de Santa Marta, 1791-1851, no el estudio sobre El Totumo). Por corroborar el título exacto.</t>
  </si>
  <si>
    <t>R0398</t>
  </si>
  <si>
    <t>El libro entero relee The Black Jacobins: «C. L. R. James... urges us to connect Toussaint to the vital stories of our own time».</t>
  </si>
  <si>
    <t>R0399</t>
  </si>
  <si>
    <t>Cita el libro por su título exacto: «Michel-Rolph Trouillot, Silencing the Past: Power and the Production of History (Boston: Beacon Press, 1995)».</t>
  </si>
  <si>
    <t>R0400</t>
  </si>
  <si>
    <t>Cita a Schwartz repetidamente («Schwartz 1985:188») pero por un trabajo distinto al catalogado (Sugar Plantations in the Formation of Brazilian Society, no Sea of Storms). Por corroborar el título exacto.</t>
  </si>
  <si>
    <t>R0401</t>
  </si>
  <si>
    <t>Cita el libro por su título y año exactos al narrar cómo «C. L. R. James (in 1938)... James wrote The Black Jacobins» conecta la Revolución Haitiana con la francesa.</t>
  </si>
  <si>
    <t>R0402</t>
  </si>
  <si>
    <t>Cita el libro por su título exacto: «Marixa Lasso, Erased: The Untold Story of the Panama Canal (Cambridge, MA: Harvard University Press, 2019)», Lasso, Erased, 32, 49-50.</t>
  </si>
  <si>
    <t>R0403</t>
  </si>
  <si>
    <t>Cita el libro por su título exacto, entonces inédito: «the forthcoming work of Kaysha Corinealdi, Panama in Black: Afro-Caribbean...».</t>
  </si>
  <si>
    <t>R0404</t>
  </si>
  <si>
    <t>Cita el libro por su título exacto: «Natasha Lightfoot, Troubling Freedom: Antigua and the Aftermath of British Emancipation (Durham, NC: Duke University Press, 2015)».</t>
  </si>
  <si>
    <t>R0405</t>
  </si>
  <si>
    <t>Cita el libro por su título exacto y lo declara metodológicamente influyente: «Marisa Fuentes, Dispossessed Lives: Enslaved Women, Violence, and the Archive».</t>
  </si>
  <si>
    <t>R0406</t>
  </si>
  <si>
    <t>Cita el libro por su título exacto: «Lasso, Erased, 32, 49-50».</t>
  </si>
  <si>
    <t>R0407</t>
  </si>
  <si>
    <t>Cita el libro por su título exacto en bibliografía: «Schuller, Mark. 2012. Killing with Kindness: Haiti, International Aid, and NGOs».</t>
  </si>
  <si>
    <t>R0408</t>
  </si>
  <si>
    <t>Cita a «sociólogo Laënnec Hurbon (1979)» con año que coincide de forma inequívoca con la única obra de Hurbon de 1979 del corpus (Culture et dictature en Haïti).</t>
  </si>
  <si>
    <t>R0409</t>
  </si>
  <si>
    <t>Cita «(see Casimir 2020...)» con año que coincide de forma exacta con la obra catalogada (The Haitians: A Decolonial History, 2020).</t>
  </si>
  <si>
    <t>R0410</t>
  </si>
  <si>
    <t>Cita el título original en francés con año exacto: «Anténor Firmin published De l'égalité des races Humaines (Anthropologie positive)», 1885.</t>
  </si>
  <si>
    <t>R0411</t>
  </si>
  <si>
    <t>Cita el libro por su título y concepto exactos: «Christina Sharpe (2016, 2) terms 'the wake'... Sharpe (2016, 15) adds, 'Living in the wake...'».</t>
  </si>
  <si>
    <t>R0412</t>
  </si>
  <si>
    <t>Cita con año exacto: «(Bolland 1977, 40)» y «(Bolland 1977, 4)», coincide con la única obra de Bolland de 1977 del corpus.</t>
  </si>
  <si>
    <t>R0413</t>
  </si>
  <si>
    <t>Cita con año exacto y tema coincidente: «Anthropologist Nancie Gonzalez, who conducted fieldwork among the Garifuna...» (Gonzalez 1988), mismo año que Sojourners of the Caribbean.</t>
  </si>
  <si>
    <t>R0414</t>
  </si>
  <si>
    <t>Cita con año exacto: «Kamala Kempadoo (2004) has argued», coincide con Sexing the Caribbean (2004).</t>
  </si>
  <si>
    <t>R0415</t>
  </si>
  <si>
    <t>Cita con año exacto: «Stephan Palmié... (2002: 282)» y «Palmié (2002)», coincide con Wizards and Scientists (2002).</t>
  </si>
  <si>
    <t>R0416</t>
  </si>
  <si>
    <t>Cita el libro por su título exacto en bibliografía: «Allen, Jafari Sinclaire. 2011. ¡Venceremos? The Erotics of Black Self-Making in Cuba».</t>
  </si>
  <si>
    <t>R0417</t>
  </si>
  <si>
    <t>Cita con año exacto y mismo tema: «Katherine Hagedorn (2001) describes how the company sought to police its dancers...», coincide con Divine Utterances (2001).</t>
  </si>
  <si>
    <t>R0418</t>
  </si>
  <si>
    <t>Cita el libro por su título exacto: «Lydia Cabrera (1993) famously described in her book El monte».</t>
  </si>
  <si>
    <t>R0419</t>
  </si>
  <si>
    <t>Cita el libro por su título exacto: «In Silencing the Past, Trouillot insists on the relationship between power and the production of history».</t>
  </si>
  <si>
    <t>R0420</t>
  </si>
  <si>
    <t>Cita el libro por su título exacto: «un testimonio El masacre se pasa a pie by Freddy Prestol Castillo (Santo Domingo, 1973)».</t>
  </si>
  <si>
    <t>R0421</t>
  </si>
  <si>
    <t>Coautoría directa: Sidney W. Mintz figura como investigador del mismo proyecto («Dr. Sidney W. Mintz, then of Columbia University»), no como cita externa.</t>
  </si>
  <si>
    <t>redirigir_extremo_y_conservar</t>
  </si>
  <si>
    <t>Coautoría directa de Sidney W. Mintz en el proyecto The People of Puerto Rico.</t>
  </si>
  <si>
    <t>R0422</t>
  </si>
  <si>
    <t>Cita el libro por su título original en inglés como autoridad: «Cedric Robinson, Black Marxism: The Making of the Black Radical Tradition», mismo texto catalogado en su edición en español.</t>
  </si>
  <si>
    <t>R0423</t>
  </si>
  <si>
    <t>Cita el libro por su título exacto en inglés: «Rappaport, J. (2020). Cowards Don't Make History: Orlando Fals Borda and the Origins of Participatory Action Research», misma obra catalogada en su edición en español.</t>
  </si>
  <si>
    <t>R0424</t>
  </si>
  <si>
    <t>Cita el libro por su título exacto en notas: «Schwartz, Sea of Storms».</t>
  </si>
  <si>
    <t>R0425</t>
  </si>
  <si>
    <t>Cita el libro por su título exacto en notas: «Johnson, Climate and Catastrophe [in Cuba]».</t>
  </si>
  <si>
    <t>R0426</t>
  </si>
  <si>
    <t>Comparten lugar (Cartagena) y el eje de la vida afrocaribeña contemporánea en la ciudad —violencia y marginalidad de un lado, cultura picotera del otro, en barrios contiguos. Por corroborar el vínculo directo.</t>
  </si>
  <si>
    <t>R0427</t>
  </si>
  <si>
    <t>Comparten lugar (Cuba) y el eje del cuerpo religioso afrocubano: la autora se formó en santería cubana antes de escribir sobre violencia policial. Por corroborar el vínculo directo.</t>
  </si>
  <si>
    <t>R0428</t>
  </si>
  <si>
    <t>Comparten el fenómeno Soberanías: el libro rastrea explícitamente la ruta del Black Power trinitario a la religión ifá, linaje intelectual que reclama a C.L.R. James. Por corroborar el vínculo directo.</t>
  </si>
  <si>
    <t>R0429</t>
  </si>
  <si>
    <t>Comparten lugar (Puerto Rico) y el fenómeno Colonialidad: ambas leen la administración colonial estadounidense sobre la isla desde ángulos distintos (raza cultural vs. deuda). Por corroborar el vínculo directo.</t>
  </si>
  <si>
    <t>R0430</t>
  </si>
  <si>
    <t>Williams y James se formaron juntos en Trinidad y el libro de 1944 discute de frente Los jacobinos negros: la misma revolución, leída desde la contabilidad del azúcar en vez de la insurrección. Cita verificada en el ejemplar.</t>
  </si>
  <si>
    <t>R0431</t>
  </si>
  <si>
    <t>Robinson toma de Williams la premisa de que la acumulación europea se montó sobre la esclavitud, y le reprocha haberse quedado en la economía sin nombrar la raza. Cita verificada en el ejemplar (13 menciones).</t>
  </si>
  <si>
    <t>R0432</t>
  </si>
  <si>
    <t>Rediker reconstruye en el barco negrero la maquinaria que Williams describió en el balance comercial. Cita verificada en el ejemplar.</t>
  </si>
  <si>
    <t>R0433</t>
  </si>
  <si>
    <t>La máquina de plantación de Benítez Rojo presupone la tesis de Williams sobre el azúcar como motor del capital atlántico. Cita verificada en el ejemplar.</t>
  </si>
  <si>
    <t>R0434</t>
  </si>
  <si>
    <t>Al definir el Caribe como área sociocultural, Mintz apoya en Williams el argumento de la plantación como matriz económica común. Cita verificada en el ejemplar.</t>
  </si>
  <si>
    <t>R0435</t>
  </si>
  <si>
    <t>Knight organiza su síntesis histórica sobre la periodización económica que Williams estableció. Cita verificada en el ejemplar.</t>
  </si>
  <si>
    <t>R0436</t>
  </si>
  <si>
    <t>Bolland aplica a Belice la pregunta de Williams: qué hizo el capital cuando el trabajo forzado dejó de convenirle. Cita verificada en el ejemplar.</t>
  </si>
  <si>
    <t>R0437</t>
  </si>
  <si>
    <t>Hintzen lee la movilización racial de las élites poscoloniales como continuación del arreglo económico que Williams describió. Cita verificada en el ejemplar.</t>
  </si>
  <si>
    <t>R0438</t>
  </si>
  <si>
    <t>Fuentes trabaja el archivo esclavista de Barbados con la economía política de Williams como telón de fondo. Cita verificada en el ejemplar (3 menciones).</t>
  </si>
  <si>
    <t>R0439</t>
  </si>
  <si>
    <t>Goldberg discute la abolición como acto jurídico partiendo de la objeción económica de Williams al relato humanitario. Cita verificada en el ejemplar.</t>
  </si>
  <si>
    <t>R0440</t>
  </si>
  <si>
    <t>Sheller sigue el consumo caribeño desde el azúcar hasta el turismo por la vía que abrió Williams. Cita verificada en el ejemplar.</t>
  </si>
  <si>
    <t>R0441</t>
  </si>
  <si>
    <t>Roberts apoya en Wynter su idea de la libertad como fuga: el cimarronaje como acto de indigenización, no de retorno. Cita verificada en el ejemplar (3 menciones).</t>
  </si>
  <si>
    <t>R0442</t>
  </si>
  <si>
    <t>Rifkin usa la noción wynteriana de nuevos nativos para pensar juntas negritud e indigeneidad. Cita verificada en el ejemplar (3 menciones).</t>
  </si>
  <si>
    <t>R0443</t>
  </si>
  <si>
    <t>R0444</t>
  </si>
  <si>
    <t>La tesis de la sociedad criolla de Brathwaite se formuló contra el modelo de Smith: donde Smith ve compartimentos que solo la fuerza mantiene juntos, Brathwaite ve un proceso de mezcla que ya ocurrió. Cita verificada en el ejemplar.</t>
  </si>
  <si>
    <t>R0445</t>
  </si>
  <si>
    <t>Raymond T. Smith objeta de frente a su homónimo: el pluralismo institucional no explica el parentesco afrocaribeño, que él lee como sistema estratificado y no como cultura aparte. Cita verificada en el ejemplar.</t>
  </si>
  <si>
    <t>R0446</t>
  </si>
  <si>
    <t>Smith discute el material jamaiquino de Edith Clarke para sostener que las tres comunidades responden a órdenes normativos distintos. Cita verificada en el ejemplar.</t>
  </si>
  <si>
    <t>R0447</t>
  </si>
  <si>
    <t>Smith se apoya en la etnografía de los Herskovits entre los cimarrones de Guayana para su idea de secciones culturales. Vínculo verificado por lectura; falta precisar el pasaje.</t>
  </si>
  <si>
    <t>R0448</t>
  </si>
  <si>
    <t>Wilson construye respetabilidad y reputación como alternativa al pluralismo de Smith, con el que discute explícitamente. Cita verificada en el ejemplar.</t>
  </si>
  <si>
    <t>R0449</t>
  </si>
  <si>
    <t>Hintzen retoma el pluralismo de Smith para explicar la política racial de Guyana y Trinidad. Cita verificada en el ejemplar.</t>
  </si>
  <si>
    <t>R0450</t>
  </si>
  <si>
    <t>Khan discute el modelo plural al pensar la mezcla indoantillana como metáfora culinaria. Cita verificada en el ejemplar.</t>
  </si>
  <si>
    <t>R0451</t>
  </si>
  <si>
    <t>González usa la categoría de sociedad plural para situar la etnogénesis garífuna. Cita verificada en el ejemplar.</t>
  </si>
  <si>
    <t>R0452</t>
  </si>
  <si>
    <t>Trouillot inventaría el pluralismo de Smith entre los marcos que hicieron del Caribe una frontera abierta de la teoría antropológica. Cita verificada en el ejemplar.</t>
  </si>
  <si>
    <t>R0453</t>
  </si>
  <si>
    <t>El área sociocultural de Mintz y la sociedad plural de Smith son dos respuestas incompatibles a la misma pregunta: si lo que une al Caribe es una historia común o solo la coacción de un mercado. Cita verificada en el ejemplar.</t>
  </si>
  <si>
    <t>R0454</t>
  </si>
  <si>
    <t>Smith reconoce en Clarke el trabajo que estableció el objeto: la familia jamaiquina descrita desde adentro y no como carencia. Cita verificada en el ejemplar.</t>
  </si>
  <si>
    <t>R0455</t>
  </si>
  <si>
    <t>Smith cruza su modelo del hogar con la historia de vida del cortador de caña puertorriqueño de Mintz. Cita verificada en el ejemplar.</t>
  </si>
  <si>
    <t>R0456</t>
  </si>
  <si>
    <t>Besson discute la matrifocalidad de Smith al reconstruir el parentesco y la tierra familiar en Martha Brae. Cita verificada en el ejemplar (4 menciones).</t>
  </si>
  <si>
    <t>R0457</t>
  </si>
  <si>
    <t>Kerns lee el parentesco garífuna con la categoría de matrifocalidad de Smith. Cita verificada en el ejemplar.</t>
  </si>
  <si>
    <t>R0458</t>
  </si>
  <si>
    <t>El volumen feminista de la UWI revisa críticamente la matrifocalidad de Smith. Cita verificada en el ejemplar.</t>
  </si>
  <si>
    <t>R0459</t>
  </si>
  <si>
    <t>Ulysse sitúa a las comerciantes jamaiquinas en la discusión sobre matrifocalidad que abrió Smith. Cita verificada en el ejemplar.</t>
  </si>
  <si>
    <t>R0460</t>
  </si>
  <si>
    <t>Mintz cuenta el estudio de Clarke entre los trabajos que hicieron del Caribe un área comparable. Cita verificada en el ejemplar.</t>
  </si>
  <si>
    <t>R0461</t>
  </si>
  <si>
    <t>Besson vuelve sobre las comunidades jamaiquinas de Clarke cuarenta años después. Cita verificada en el ejemplar.</t>
  </si>
  <si>
    <t>R0462</t>
  </si>
  <si>
    <t>Olwig apoya en Clarke la lectura del hogar afrocaribeño como institución con historia propia. Cita verificada en el ejemplar.</t>
  </si>
  <si>
    <t>R0463</t>
  </si>
  <si>
    <t>Kerns cita a Clarke como precedente del parentesco centrado en las mujeres. Cita verificada en el ejemplar.</t>
  </si>
  <si>
    <t>R0464</t>
  </si>
  <si>
    <t>Deborah Thomas rastrea en Clarke la construcción académica de la familia jamaiquina que su libro discute. Cita verificada en el ejemplar.</t>
  </si>
  <si>
    <t>R0465</t>
  </si>
  <si>
    <t>El feminismo caribeño de la UWI reivindica a Clarke como su antecesora en la isla. Cita verificada en el ejemplar (3 menciones).</t>
  </si>
  <si>
    <t>R0466</t>
  </si>
  <si>
    <t>Barrow abre su balance con Clarke: el estudio que fundó el campo que ella somete a crítica. Cita verificada en el ejemplar (20 menciones).</t>
  </si>
  <si>
    <t>R0467</t>
  </si>
  <si>
    <t>Barrow discute la matrifocalidad de Raymond T. Smith como uno de los modelos dominantes del campo. Cita verificada en el ejemplar (8 menciones).</t>
  </si>
  <si>
    <t>R0468</t>
  </si>
  <si>
    <t>Barrow sitúa el pluralismo de M. G. Smith entre los marcos que organizaron el estudio de la familia caribeña. Cita verificada en el ejemplar (4 menciones).</t>
  </si>
  <si>
    <t>R0469</t>
  </si>
  <si>
    <t>Barrow retoma respetabilidad y reputación de Wilson para leer las normas del hogar. Vínculo verificado por lectura; falta precisar el pasaje.</t>
  </si>
  <si>
    <t>R0470</t>
  </si>
  <si>
    <t>Barrow incorpora el trabajo de Reddock sobre mujeres y economía trinitense a su revisión del campo. Cita verificada en el ejemplar.</t>
  </si>
  <si>
    <t>R0471</t>
  </si>
  <si>
    <t>King parte del balance de Barrow para pensar la sexualidad caribeña más allá del parentesco. Cita verificada en el ejemplar.</t>
  </si>
  <si>
    <t>R0472</t>
  </si>
  <si>
    <t>Ambas editaron desde la UWI los dos balances del pensamiento feminista caribeño de los noventa. Cita verificada en el ejemplar (5 menciones).</t>
  </si>
  <si>
    <t>R0473</t>
  </si>
  <si>
    <t>First-Time desarrolla en el terreno saramaka la hipótesis que Price acababa de formular con Mintz. Vínculo verificado por lectura; falta precisar el pasaje.</t>
  </si>
  <si>
    <t>R0474</t>
  </si>
  <si>
    <t>Trouillot discute la creolización rápida de Mintz y Price al historiar el campesinado dominiqués. Vínculo verificado por lectura; falta precisar el pasaje.</t>
  </si>
  <si>
    <t>R0475</t>
  </si>
  <si>
    <t>Price vuelve treinta años después sobre su propia tesis de la creación cultural acelerada. Cita verificada en el ejemplar (3 menciones).</t>
  </si>
  <si>
    <t>R0476</t>
  </si>
  <si>
    <t>Olwig lee la adaptación cultural en St. John con el marco de Mintz y Price. Vínculo verificado por lectura; falta precisar el pasaje.</t>
  </si>
  <si>
    <t>R0477</t>
  </si>
  <si>
    <t>Besson apoya en Mintz y Price la idea de que la cultura afrocaribeña se hizo aquí y no se trajo intacta. Cita verificada en el ejemplar (3 menciones).</t>
  </si>
  <si>
    <t>R0478</t>
  </si>
  <si>
    <t>Brown parte de la creación cultural bajo esclavitud que describieron Mintz y Price. Cita verificada en el ejemplar.</t>
  </si>
  <si>
    <t>R0479</t>
  </si>
  <si>
    <t>El volumen sobre Nueva Orleans criolla usa el marco de Mintz y Price para leer la americanización. Vínculo verificado por lectura; falta precisar el pasaje.</t>
  </si>
  <si>
    <t>R0480</t>
  </si>
  <si>
    <t>Robinson cita a Mintz y Price al describir la formación cultural de la tradición radical negra. Cita verificada en el ejemplar.</t>
  </si>
  <si>
    <t>R0481</t>
  </si>
  <si>
    <t>Mintz y Price escriben contra el supuesto de los Herskovits: no hay supervivencias africanas que rastrear sino instituciones nuevas creadas a toda prisa por gente que ni siquiera compartía lengua. Vínculo verificado por lectura; falta precisar el pasaje.</t>
  </si>
  <si>
    <t>R0482</t>
  </si>
  <si>
    <t>El libro de 2003 desarrolla el diagnóstico que Trouillot había ensayado once años antes sobre el Caribe como frontera abierta de la teoría. Cita verificada en el ejemplar.</t>
  </si>
  <si>
    <t>R0483</t>
  </si>
  <si>
    <t>Trouillot vuelve sobre su propio trabajo dominiqués para ilustrar los límites de la etnografía de área. Cita verificada en el ejemplar.</t>
  </si>
  <si>
    <t>R0484</t>
  </si>
  <si>
    <t>Trouillot discute el comparatismo de Mintz como el mejor intento de la disciplina por escapar del nicho salvaje. Cita verificada en el ejemplar.</t>
  </si>
  <si>
    <t>R0485</t>
  </si>
  <si>
    <t>Trouillot apoya en el Discurso sobre el colonialismo su lectura de la antropología como saber de la expansión europea. Cita verificada en el ejemplar.</t>
  </si>
  <si>
    <t>R0486</t>
  </si>
  <si>
    <t>Bonilla usa la crítica de Trouillot al Estado-nación como horizonte único para pensar la soberanía no soberana. Cita verificada en el ejemplar (7 menciones).</t>
  </si>
  <si>
    <t>R0487</t>
  </si>
  <si>
    <t>Deborah Thomas retoma la globalización tal como Trouillot la describe para leer la Jamaica contemporánea. Cita verificada en el ejemplar (3 menciones).</t>
  </si>
  <si>
    <t>R0488</t>
  </si>
  <si>
    <t>Palmié discute la crítica de Trouillot a las categorías antropológicas al pensar con ngangas. Cita verificada en el ejemplar.</t>
  </si>
  <si>
    <t>R0489</t>
  </si>
  <si>
    <t>Sheller retoma de Trouillot la idea de que la globalización no es nueva para el Caribe, sino su condición de origen. Cita verificada en el ejemplar.</t>
  </si>
  <si>
    <t>R0490</t>
  </si>
  <si>
    <t>El ingenio es la contraparte material del contrapunteo de Ortiz: donde Ortiz opone azúcar y tabaco como figuras culturales, Moreno Fraginals las cuenta en toneladas y en cuerpos. Cita verificada en el ejemplar.</t>
  </si>
  <si>
    <t>R0491</t>
  </si>
  <si>
    <t>Moreno Fraginals trabaja la misma tesis de Williams desde el archivo cubano: el azúcar como motor de acumulación y no como atraso colonial. Cita verificada en el ejemplar.</t>
  </si>
  <si>
    <t>R0492</t>
  </si>
  <si>
    <t>Ferrer reconstruye el auge azucarero cubano de la era revolucionaria sobre las series de Moreno Fraginals. Vínculo verificado por lectura; falta precisar el pasaje.</t>
  </si>
  <si>
    <t>R0493</t>
  </si>
  <si>
    <t>Johnson usa los datos de zafra de Moreno Fraginals para cruzarlos con los desastres climáticos. Vínculo verificado por lectura; falta precisar el pasaje.</t>
  </si>
  <si>
    <t>R0494</t>
  </si>
  <si>
    <t>Kutzinski lee la erótica del azúcar cubano sobre la historia económica de Moreno Fraginals. Vínculo verificado por lectura; falta precisar el pasaje.</t>
  </si>
  <si>
    <t>R0495</t>
  </si>
  <si>
    <t>Quintero Rivera apoya en El ingenio la historia material sobre la que monta su análisis de las músicas mulatas. Vínculo verificado por lectura; falta precisar el pasaje.</t>
  </si>
  <si>
    <t>R0496</t>
  </si>
  <si>
    <t>Schwartz cruza la historia de los huracanes con la economía azucarera que documentó Moreno Fraginals. Vínculo verificado por lectura; falta precisar el pasaje.</t>
  </si>
  <si>
    <t>R0497</t>
  </si>
  <si>
    <t>Knight toma de Moreno Fraginals la periodización del azúcar cubano. Vínculo verificado por lectura; falta precisar el pasaje.</t>
  </si>
  <si>
    <t>R0498</t>
  </si>
  <si>
    <t>Meeks discute la lectura trágica de la descolonización de David Scott desde la experiencia de quien vivió la revolución granadina. Cita verificada en el ejemplar (11 menciones).</t>
  </si>
  <si>
    <t>R0499</t>
  </si>
  <si>
    <t>Meeks vuelve sobre el ciclo del Poder Negro caribeño que Quinn compiló. Cita verificada en el ejemplar (8 menciones).</t>
  </si>
  <si>
    <t>R0500</t>
  </si>
  <si>
    <t>Meeks y Deborah Thomas piensan la misma pregunta: qué política queda después de que el proyecto nacional se agotó. Cita verificada en el ejemplar.</t>
  </si>
  <si>
    <t>R0501</t>
  </si>
  <si>
    <t>Meeks retoma la soberanía no soberana de Bonilla al preguntarse qué imaginación política sigue disponible. Cita verificada en el ejemplar (5 menciones).</t>
  </si>
  <si>
    <t>R0502</t>
  </si>
  <si>
    <t>Meeks lee la herencia de C. L. R. James como archivo todavía activo del radicalismo antillano. Cita verificada en el ejemplar (14 menciones).</t>
  </si>
  <si>
    <t>R0503</t>
  </si>
  <si>
    <t>Meeks estuvo en Granada y discute el balance colectivo que editó Wendy Grenade. Cita verificada en el ejemplar (19 menciones).</t>
  </si>
  <si>
    <t>R0504</t>
  </si>
  <si>
    <t>Meeks continúa el inventario de herencias radicales que Puri había compilado doce años antes. Cita verificada en el ejemplar.</t>
  </si>
  <si>
    <t>R0505</t>
  </si>
  <si>
    <t>El volumen de Puri organiza sus lecturas alrededor de la tragedia colonial que Scott formuló. Cita verificada en el ejemplar.</t>
  </si>
  <si>
    <t>R0506</t>
  </si>
  <si>
    <t>El volumen granadino discute la herencia de James en la formación política de Maurice Bishop. Cita verificada en el ejemplar (6 menciones).</t>
  </si>
  <si>
    <t>R0507</t>
  </si>
  <si>
    <t>Grenade y sus autores comparan el desenlace granadino con el análisis de Trouillot sobre el Estado contra la nación en Haití. Vínculo verificado por lectura; falta precisar el pasaje.</t>
  </si>
  <si>
    <t>R0508</t>
  </si>
  <si>
    <t>El volumen de Quinn sobre el Poder Negro caribeño desemboca en el caso granadino. Cita verificada en el ejemplar (8 menciones).</t>
  </si>
  <si>
    <t>R0509</t>
  </si>
  <si>
    <t>Comparten el fenómeno de fondo. Por corroborar el vínculo directo.</t>
  </si>
  <si>
    <t>R0510</t>
  </si>
  <si>
    <t>Van der Pijl y Guadeloupe parten de la historia de la no-descolonización que Oostindie y Klinkers documentaron. Cita verificada en el ejemplar.</t>
  </si>
  <si>
    <t>R0511</t>
  </si>
  <si>
    <t>El capítulo curazoleño del volumen de Quinn se apoya en Oostindie para explicar el estatus del reino. Cita verificada en el ejemplar (4 menciones).</t>
  </si>
  <si>
    <t>R0512</t>
  </si>
  <si>
    <t>Schwartz usa a Oostindie para el tramo neerlandés de su historia de la cuenca. Cita verificada en el ejemplar.</t>
  </si>
  <si>
    <t>R0513</t>
  </si>
  <si>
    <t>Hoefte discute con Oostindie la vía surinamesa a la independencia, la única del reino que sí se consumó. Cita verificada en el ejemplar.</t>
  </si>
  <si>
    <t>R0514</t>
  </si>
  <si>
    <t>Klooster y Oostindie comparan el Atlántico neerlandés con el sistema esclavista danés que estudió Neville Hall. Cita verificada en el ejemplar.</t>
  </si>
  <si>
    <t>R0515</t>
  </si>
  <si>
    <t>El estudio del segundo Atlántico neerlandés se apoya en Whitehead para la costa guayanesa y sus pueblos caribes. Cita verificada en el ejemplar (6 menciones).</t>
  </si>
  <si>
    <t>R0516</t>
  </si>
  <si>
    <t>Klooster y Oostindie citan a Price para el cimarronaje surinamés dentro del sistema neerlandés. Vínculo verificado por lectura; falta precisar el pasaje.</t>
  </si>
  <si>
    <t>R0517</t>
  </si>
  <si>
    <t>El volumen usa la creolización acelerada de Mintz y Price para leer las plantaciones neerlandesas. Cita verificada en el ejemplar.</t>
  </si>
  <si>
    <t>R0518</t>
  </si>
  <si>
    <t>Hoefte parte de la etnografía de los Herskovits entre los cimarrones surinameses. Vínculo verificado por lectura; falta precisar el pasaje.</t>
  </si>
  <si>
    <t>R0519</t>
  </si>
  <si>
    <t>Hoefte sigue hasta el litigio saramaka que narra Richard Price la larga disputa por la tierra en Surinam. Cita verificada en el ejemplar.</t>
  </si>
  <si>
    <t>R0520</t>
  </si>
  <si>
    <t>Hoefte lee la economía surinamesa de la bauxita con la teoría de la economía de plantación. Cita verificada en el ejemplar.</t>
  </si>
  <si>
    <t>R0521</t>
  </si>
  <si>
    <t>Hoefte usa el pluralismo de Smith para las fracturas étnicas surinamesas. Cita verificada en el ejemplar.</t>
  </si>
  <si>
    <t>R0522</t>
  </si>
  <si>
    <t>El volumen sobre las tres Guayanas retoma y amplía el trabajo previo de Hoefte sobre Surinam. Cita verificada en el ejemplar.</t>
  </si>
  <si>
    <t>R0523</t>
  </si>
  <si>
    <t>Los editores discuten el análisis de Hintzen sobre la movilización racial de las élites guyanesas. Cita verificada en el ejemplar.</t>
  </si>
  <si>
    <t>R0524</t>
  </si>
  <si>
    <t>El caso saramaka aparece como precedente jurídico de los conflictos territoriales guayaneses. Cita verificada en el ejemplar.</t>
  </si>
  <si>
    <t>R0525</t>
  </si>
  <si>
    <t>El volumen sitúa el Poder Negro guyanés en la periodización de Quinn. Cita verificada en el ejemplar.</t>
  </si>
  <si>
    <t>R0526</t>
  </si>
  <si>
    <t>El pluralismo de Smith sigue siendo el marco discutido para leer las Guayanas. Cita verificada en el ejemplar.</t>
  </si>
  <si>
    <t>R0527</t>
  </si>
  <si>
    <t>El New World Group parte de Williams: la economía de plantación como estructura persistente y no como etapa que la independencia superó. Cita verificada en el ejemplar (3 menciones).</t>
  </si>
  <si>
    <t>R0528</t>
  </si>
  <si>
    <t>Austin sitúa a Lloyd Best y al New World Group en la red intelectual antillana que se reunió en Montreal. Cita verificada en el ejemplar (3 menciones).</t>
  </si>
  <si>
    <t>R0529</t>
  </si>
  <si>
    <t>La síntesis de Dubois y Turits pone la revolución haitiana de James en el centro de la historia caribeña. Cita verificada en el ejemplar.</t>
  </si>
  <si>
    <t>R0530</t>
  </si>
  <si>
    <t>Dubois y Turits organizan su relato con la plantación de Mintz como matriz de la región. Cita verificada en el ejemplar (5 menciones).</t>
  </si>
  <si>
    <t>R0531</t>
  </si>
  <si>
    <t>Dubois y Turits siguen a Trouillot para el tramo duvalierista. Vínculo verificado por lectura; falta precisar el pasaje.</t>
  </si>
  <si>
    <t>R0532</t>
  </si>
  <si>
    <t>Dubois y Turits discuten la síntesis previa de Knight sobre el nacionalismo fragmentado. Vínculo verificado por lectura; falta precisar el pasaje.</t>
  </si>
  <si>
    <t>R0533</t>
  </si>
  <si>
    <t>Dubois y Turits usan el trabajo de Lightfoot sobre Antigua para el después de la emancipación. Cita verificada en el ejemplar.</t>
  </si>
  <si>
    <t>R0534</t>
  </si>
  <si>
    <t>Dubois y Turits recurren a Clarke para la vida familiar jamaiquina del siglo XX. Cita verificada en el ejemplar.</t>
  </si>
  <si>
    <t>R0535</t>
  </si>
  <si>
    <t>Dubois y Turits discuten la tesis de Williams sobre las causas económicas de la abolición. Cita verificada en el ejemplar (8 menciones).</t>
  </si>
  <si>
    <t>R0536</t>
  </si>
  <si>
    <t>Dubois y Turits siguen a Matthew J. Smith para el Haití que va de la ocupación a Duvalier. Cita verificada en el ejemplar.</t>
  </si>
  <si>
    <t>R0537</t>
  </si>
  <si>
    <t>C. L. R. James es una de las presencias centrales del Congreso de Escritores Negros que Austin reconstruye. Cita verificada en el ejemplar (8 menciones).</t>
  </si>
  <si>
    <t>R0538</t>
  </si>
  <si>
    <t>La prohibición de entrada a Walter Rodney en Jamaica y su paso por Montreal son episodios del mismo circuito que Austin narra. Cita verificada en el ejemplar.</t>
  </si>
  <si>
    <t>R0539</t>
  </si>
  <si>
    <t>Austin discute con Scott la manera de contar la derrota del radicalismo antillano. Cita verificada en el ejemplar.</t>
  </si>
  <si>
    <t>R0540</t>
  </si>
  <si>
    <t>Austin apoya en el Discurso antillano su lectura de la conciencia caribeña en la diáspora. Cita verificada en el ejemplar.</t>
  </si>
  <si>
    <t>R0541</t>
  </si>
  <si>
    <t>Winston James y Austin trazan el mismo mapa del radicalismo antillano en Norteamérica, uno en Nueva York y el otro en Montreal. Cita verificada en el ejemplar.</t>
  </si>
  <si>
    <t>R0542</t>
  </si>
  <si>
    <t>Matthew J. Smith lee el radicalismo haitiano del siglo XX contra el precedente de James. Cita verificada en el ejemplar.</t>
  </si>
  <si>
    <t>R0543</t>
  </si>
  <si>
    <t>Smith cruza el radicalismo haitiano con la red antillana en Estados Unidos que documentó Winston James. Cita verificada en el ejemplar.</t>
  </si>
  <si>
    <t>R0544</t>
  </si>
  <si>
    <t>Smith sitúa el caso haitiano en la periodización de Knight. Vínculo verificado por lectura; falta precisar el pasaje.</t>
  </si>
  <si>
    <t>R0545</t>
  </si>
  <si>
    <t>Dubuisson apoya en Smith la historia intelectual del Haití previo a Duvalier. Cita verificada en el ejemplar.</t>
  </si>
  <si>
    <t>R0546</t>
  </si>
  <si>
    <t>El volumen sobre el terremoto usa a Smith para el trasfondo político del siglo XX haitiano. Cita verificada en el ejemplar.</t>
  </si>
  <si>
    <t>R0547</t>
  </si>
  <si>
    <t>Schuller recurre a Smith para explicar de dónde viene la desconfianza haitiana hacia la ayuda internacional. Cita verificada en el ejemplar.</t>
  </si>
  <si>
    <t>R0548</t>
  </si>
  <si>
    <t>Beckles y Shepherd sitúan a James entre los historiadores caribeños que desmontaron el relato abolicionista británico. Cita verificada en el ejemplar.</t>
  </si>
  <si>
    <t>R0549</t>
  </si>
  <si>
    <t>El volumen retoma de Rodney la lectura del subdesarrollo africano como efecto de la trata. Cita verificada en el ejemplar.</t>
  </si>
  <si>
    <t>R0550</t>
  </si>
  <si>
    <t>El bicentenario se discute enteramente sobre la tesis de Williams acerca de por qué terminó la trata. Cita verificada en el ejemplar.</t>
  </si>
  <si>
    <t>R0551</t>
  </si>
  <si>
    <t>Zips cita el volumen de Beckles y Shepherd para la dimensión africana de la experiencia cimarrona. Vínculo verificado por lectura; falta precisar el pasaje.</t>
  </si>
  <si>
    <t>R0552</t>
  </si>
  <si>
    <t>R0553</t>
  </si>
  <si>
    <t>R0554</t>
  </si>
  <si>
    <t>Kale extiende a la indentura india la pregunta de Williams sobre qué hace el capital cuando el trabajo forzado se vuelve impresentable. Cita verificada en el ejemplar (14 menciones).</t>
  </si>
  <si>
    <t>R0555</t>
  </si>
  <si>
    <t>Kale trabaja el azúcar antillano con la economía política de la plantación de Mintz. Cita verificada en el ejemplar.</t>
  </si>
  <si>
    <t>R0556</t>
  </si>
  <si>
    <t>Kale discute la historiografía trinitense de Brereton sobre las relaciones raciales tras la emancipación. Cita verificada en el ejemplar.</t>
  </si>
  <si>
    <t>R0557</t>
  </si>
  <si>
    <t>King cita a Kale para el trasfondo de la migración india en el Caribe anglófono. Cita verificada en el ejemplar.</t>
  </si>
  <si>
    <t>R0558</t>
  </si>
  <si>
    <t>Shepherd y Reddock reconstruyen desde Trinidad y Jamaica la misma historia del trabajo femenino indoantillano. Cita verificada en el ejemplar.</t>
  </si>
  <si>
    <t>R0559</t>
  </si>
  <si>
    <t>Shepherd usa el marco de economía política de Trouillot para leer el sistema de indentura. Cita verificada en el ejemplar.</t>
  </si>
  <si>
    <t>R0560</t>
  </si>
  <si>
    <t>Comparten el fenómeno Cuerpo, género y erótica. Por corroborar el vínculo directo.</t>
  </si>
  <si>
    <t>R0561</t>
  </si>
  <si>
    <t>Putnam recurre al archivo documental de Look Lai para la presencia china en la circulación antillana. Vínculo verificado por lectura; falta precisar el pasaje.</t>
  </si>
  <si>
    <t>R0562</t>
  </si>
  <si>
    <t>R0563</t>
  </si>
  <si>
    <t>R0564</t>
  </si>
  <si>
    <t>Putnam apoya en Harpelle el tramo costarricense de la circulación antillana del Caribe occidental. Cita verificada en el ejemplar.</t>
  </si>
  <si>
    <t>R0565</t>
  </si>
  <si>
    <t>Putnam usa la etnografía bananera de Bourgois para la organización racial del trabajo en Limón y Bocas del Toro. Cita verificada en el ejemplar (3 menciones).</t>
  </si>
  <si>
    <t>R0566</t>
  </si>
  <si>
    <t>Putnam sigue con Chevannes la formación del rastafarismo dentro de esa circulación migratoria. Vínculo verificado por lectura; falta precisar el pasaje.</t>
  </si>
  <si>
    <t>R0567</t>
  </si>
  <si>
    <t>Putnam y Winston James reconstruyen la misma diáspora antillana en el norte, ella desde el Caribe occidental. Cita verificada en el ejemplar.</t>
  </si>
  <si>
    <t>R0568</t>
  </si>
  <si>
    <t>Corinealdi parte del espacio migratorio circuncaribeño que Putnam describió. Vínculo verificado por lectura; falta precisar el pasaje.</t>
  </si>
  <si>
    <t>R0569</t>
  </si>
  <si>
    <t>Flores-Villalobos sitúa el trabajo femenino antillano del canal en el marco regional de Putnam. Vínculo verificado por lectura; falta precisar el pasaje.</t>
  </si>
  <si>
    <t>R0570</t>
  </si>
  <si>
    <t>Crawford lee la pesca de tortuga dentro de la misma circulación caribeña occidental. Vínculo verificado por lectura; falta precisar el pasaje.</t>
  </si>
  <si>
    <t>R0571</t>
  </si>
  <si>
    <t>Harpelle discute la etnografía de Bourgois sobre la división étnica del trabajo bananero. Cita verificada en el ejemplar (8 menciones).</t>
  </si>
  <si>
    <t>R0572</t>
  </si>
  <si>
    <t>Harpelle sitúa la minoría antillana costarricense en la periodización regional de Knight. Vínculo verificado por lectura; falta precisar el pasaje.</t>
  </si>
  <si>
    <t>R0573</t>
  </si>
  <si>
    <t>Corinealdi compara el caso panameño con la integración forzada de los antillanos de Limón. Cita verificada en el ejemplar.</t>
  </si>
  <si>
    <t>R0574</t>
  </si>
  <si>
    <t>Flores-Villalobos usa a Harpelle para el destino de las familias antillanas después del canal. Cita verificada en el ejemplar.</t>
  </si>
  <si>
    <t>R0575</t>
  </si>
  <si>
    <t>Bourgois discute la etnografía de Price sobre los saramaka al pensar la organización racial del trabajo. Vínculo verificado por lectura; falta precisar el pasaje.</t>
  </si>
  <si>
    <t>R0576</t>
  </si>
  <si>
    <t>Bourgois y Trouillot leen la misma economía de enclave desde dos plantaciones distintas. Cita verificada en el ejemplar (4 menciones).</t>
  </si>
  <si>
    <t>R0577</t>
  </si>
  <si>
    <t>England parte de la división étnica del trabajo bananero que documentó Bourgois. Cita verificada en el ejemplar.</t>
  </si>
  <si>
    <t>R0578</t>
  </si>
  <si>
    <t>Anderson discute a Bourgois al pensar el activismo garífuna entre lo negro y lo indígena. Cita verificada en el ejemplar.</t>
  </si>
  <si>
    <t>R0579</t>
  </si>
  <si>
    <t>Helg apoya en LeGrand la historia de la tierra baldía y la frontera agraria del Caribe colombiano. Cita verificada en el ejemplar.</t>
  </si>
  <si>
    <t>R0580</t>
  </si>
  <si>
    <t>Rappaport cita a LeGrand para el contexto agrario en el que Fals Borda hizo investigación-acción participativa. Cita verificada en el ejemplar.</t>
  </si>
  <si>
    <t>R0581</t>
  </si>
  <si>
    <t>R0582</t>
  </si>
  <si>
    <t>Keegan y Hofman discuten la etnohistoria caribe de Whitehead para el borde continental del archipiélago. Cita verificada en el ejemplar.</t>
  </si>
  <si>
    <t>R0583</t>
  </si>
  <si>
    <t>Keegan y Hofman citan a González para la formación garífuna en San Vicente. Cita verificada en el ejemplar.</t>
  </si>
  <si>
    <t>R0584</t>
  </si>
  <si>
    <t>Keegan y Hofman discuten el área sociocultural de Mintz para preguntarse si el archipiélago era una unidad antes de la colonia. Cita verificada en el ejemplar.</t>
  </si>
  <si>
    <t>conservar</t>
  </si>
  <si>
    <t>Cita a Mintz verificada en el ejemplar; páginas por registrar en la ficha final.</t>
  </si>
  <si>
    <t>R0585</t>
  </si>
  <si>
    <t>Keegan y Hofman usan el volumen jamaiquino de Atkinson para el taíno insular. Cita verificada en el ejemplar (23 menciones).</t>
  </si>
  <si>
    <t>R0586</t>
  </si>
  <si>
    <t>Crawford apoya en Keegan y Hofman la larga historia de navegación y pesca precolombina. Cita verificada en el ejemplar.</t>
  </si>
  <si>
    <t>R0587</t>
  </si>
  <si>
    <t>R0588</t>
  </si>
  <si>
    <t>Atlas 2.0 · protocolo por lote</t>
  </si>
  <si>
    <t>Secuencia obligatoria. Saltar una puerta impide marcar el lote como cerrado.</t>
  </si>
  <si>
    <t>Paso</t>
  </si>
  <si>
    <t>Puerta</t>
  </si>
  <si>
    <t>Entrada</t>
  </si>
  <si>
    <t>Acción</t>
  </si>
  <si>
    <t>Congelar fuente</t>
  </si>
  <si>
    <t>Edición técnica</t>
  </si>
  <si>
    <t>SHA-256 y recuentos de v1.15.0</t>
  </si>
  <si>
    <t>Registrar huella, 233 entradas, 588 relaciones y 30 lugares.</t>
  </si>
  <si>
    <t>La fuente coincide exactamente con el manifiesto del lote.</t>
  </si>
  <si>
    <t>Generar manifiesto</t>
  </si>
  <si>
    <t>IDs del lote y relaciones asignadas</t>
  </si>
  <si>
    <t>Extraer solo el lote; no escribir en datos-atlas.js/json.</t>
  </si>
  <si>
    <t>Cobertura exacta, sin duplicados ni extremos huérfanos.</t>
  </si>
  <si>
    <t>Reunir textos</t>
  </si>
  <si>
    <t>Investigación</t>
  </si>
  <si>
    <t>Obras del lote</t>
  </si>
  <si>
    <t>Conseguir texto completo o declarar el límite de lectura.</t>
  </si>
  <si>
    <t>Cada decisión dice qué se consultó; no se clasifica por título.</t>
  </si>
  <si>
    <t>Completar entrada</t>
  </si>
  <si>
    <t>Revisión editorial</t>
  </si>
  <si>
    <t>Texto y metadatos</t>
  </si>
  <si>
    <t>Corriente, operaciones, temporalidades, orillas, marcas y fuentes.</t>
  </si>
  <si>
    <t>Los campos obligatorios están completos o el pendiente está declarado.</t>
  </si>
  <si>
    <t>Revisar relaciones</t>
  </si>
  <si>
    <t>Relaciones cuyo lote de revisión es el actual</t>
  </si>
  <si>
    <t>Declarar corroboración, fuente/páginas, fricción y cruce lingüístico.</t>
  </si>
  <si>
    <t>Ninguna corroborada sin fuente; ninguna fricción sin argumento.</t>
  </si>
  <si>
    <t>Revisión de pares</t>
  </si>
  <si>
    <t>Segundo lector</t>
  </si>
  <si>
    <t>Ficha y evidencia</t>
  </si>
  <si>
    <t>Confirmar, devolver o mantener pendiente.</t>
  </si>
  <si>
    <t>No hay confirmación por inferencia automática.</t>
  </si>
  <si>
    <t>Generar salida</t>
  </si>
  <si>
    <t>Decisiones aprobadas</t>
  </si>
  <si>
    <t>Ejecutar generador reproducible en carpeta aislada.</t>
  </si>
  <si>
    <t>Dos ejecuciones producen bytes idénticos.</t>
  </si>
  <si>
    <t>Validar</t>
  </si>
  <si>
    <t>Salida generada</t>
  </si>
  <si>
    <t>Ejecutar reglas de esquema e integridad.</t>
  </si>
  <si>
    <t>0 errores y 0 advertencias.</t>
  </si>
  <si>
    <t>Revisar diferencias</t>
  </si>
  <si>
    <t>Dirección académica</t>
  </si>
  <si>
    <t>Diff, recuentos y fichas</t>
  </si>
  <si>
    <t>Comprobar entradas, relaciones, redirecciones y campos heredados.</t>
  </si>
  <si>
    <t>Solo cambió lo autorizado en el lote.</t>
  </si>
  <si>
    <t>Aprobar lote</t>
  </si>
  <si>
    <t>Expediente del lote</t>
  </si>
  <si>
    <t>Registrar responsable, fecha, fundamento y decisión.</t>
  </si>
  <si>
    <t>Todas las filas tienen aprobación o pendiente explícito.</t>
  </si>
  <si>
    <t>Commit reversible</t>
  </si>
  <si>
    <t>Lote aprobado</t>
  </si>
  <si>
    <t>Crear un único commit; no hacer merge a main.</t>
  </si>
  <si>
    <t>Rama limpia y sincronizada; reversión probada o documentada.</t>
  </si>
  <si>
    <t>Cerrar bitácora</t>
  </si>
  <si>
    <t>Coordinación</t>
  </si>
  <si>
    <t>Resultado del commit</t>
  </si>
  <si>
    <t>Actualizar Control, Lotes y rastro de cifras.</t>
  </si>
  <si>
    <t>El siguiente lote conoce su dependencia exacta.</t>
  </si>
  <si>
    <t>Atlas 2.0 · reglas bloqueantes</t>
  </si>
  <si>
    <t>Las reglas proceden del esquema aprobado y de los seis hallazgos del piloto.</t>
  </si>
  <si>
    <t>N.</t>
  </si>
  <si>
    <t>Origen</t>
  </si>
  <si>
    <t>Regla</t>
  </si>
  <si>
    <t>Bloqueante</t>
  </si>
  <si>
    <t>esquema 2.0</t>
  </si>
  <si>
    <t>Procedencia ausente o fuera del vocabulario cerrado.</t>
  </si>
  <si>
    <t>Entrada con procedencia_verificada en falso que pase a estado confirmada.</t>
  </si>
  <si>
    <t>Entrada sin autoría identificable con procedencia_verificada en verdadero.</t>
  </si>
  <si>
    <t>Proceso ausente, vacío o con algún valor fuera del vocabulario cerrado.</t>
  </si>
  <si>
    <t>Combinación prohibida de procedencia y proceso, según _combinaciones_prohibidas.</t>
  </si>
  <si>
    <t>Entrada en estado candidatura_preliminar sin corriente_candidata.</t>
  </si>
  <si>
    <t>Entrada en estado confirmada sin fundamento escrito.</t>
  </si>
  <si>
    <t>Entrada de siembra con corriente_candidata: no pasó por la taxonomía anterior.</t>
  </si>
  <si>
    <t>Identificador duplicado o inexistente.</t>
  </si>
  <si>
    <t>Corriente principal ausente, inexistente o repetida.</t>
  </si>
  <si>
    <t>Más de dos corrientes secundarias.</t>
  </si>
  <si>
    <t>Corriente secundaria igual a la principal.</t>
  </si>
  <si>
    <t>Marca que exige tipo o mecanismo sin declararlo.</t>
  </si>
  <si>
    <t>Orilla con lugar inexistente o función fuera del vocabulario.</t>
  </si>
  <si>
    <t>Ruta sin origen, destino o fuente.</t>
  </si>
  <si>
    <t>Relación hacia un identificador inexistente.</t>
  </si>
  <si>
    <t>Relación corroborada sin fuente.</t>
  </si>
  <si>
    <t>Fricción declarada sin clase o sin argumento.</t>
  </si>
  <si>
    <t>Fecha mal formada o periodo estudiado invertido.</t>
  </si>
  <si>
    <t>Campo antiguo presente sin su equivalente migrado.</t>
  </si>
  <si>
    <t>Operación epistémica fuera del vocabulario.</t>
  </si>
  <si>
    <t>Traducción al inglés ausente en corriente, marca u operación.</t>
  </si>
  <si>
    <t>Entrada marcada manifestacion con autoría personal identificada.</t>
  </si>
  <si>
    <t>Título con separador ' / ' sin decisión registrada sobre su división.</t>
  </si>
  <si>
    <t>Recuento de entradas y relaciones distinto al de la versión anterior sin nota de versión que lo explique.</t>
  </si>
  <si>
    <t>piloto · estado explícito</t>
  </si>
  <si>
    <t>Toda relación declara corroborada o por_corroborar; nunca se infiere de una cadena libre.</t>
  </si>
  <si>
    <t>piloto · temporalidad</t>
  </si>
  <si>
    <t>Las fechas admiten era AEC/EC, precisión y componentes; un periodo no puede invertirse.</t>
  </si>
  <si>
    <t>piloto · operación</t>
  </si>
  <si>
    <t>'interpretar materialidades' pertenece al vocabulario y cuenta con traducción inglesa.</t>
  </si>
  <si>
    <t>piloto · orilla</t>
  </si>
  <si>
    <t>Una orilla puede ser punto, región o cuenca; no se inventa una coordenada central para regiones.</t>
  </si>
  <si>
    <t>piloto · capitalismo racial</t>
  </si>
  <si>
    <t>La segmentación étnico-racial del trabajo es un mecanismo válido y 'otro' exige declaración.</t>
  </si>
  <si>
    <t>piloto · entrada compuesta</t>
  </si>
  <si>
    <t>obras_componentes conserva el identificador público y registra corriente/temporalidad por componente.</t>
  </si>
  <si>
    <t>Atlas 2.0 · piloto aprobado</t>
  </si>
  <si>
    <t>El piloto prueba la arquitectura; una clasificación confirmada puede conservar pendientes documentales antes de estar lista para la migración final.</t>
  </si>
  <si>
    <t>Decisión</t>
  </si>
  <si>
    <t>Principal</t>
  </si>
  <si>
    <t>Secundarias</t>
  </si>
  <si>
    <t>Operaciones</t>
  </si>
  <si>
    <t>Orillas</t>
  </si>
  <si>
    <t>Fuentes</t>
  </si>
  <si>
    <t>Pendientes</t>
  </si>
  <si>
    <t>Lista final</t>
  </si>
  <si>
    <t>mantener_pendiente</t>
  </si>
  <si>
    <t>confirmar</t>
  </si>
  <si>
    <t>confirmar_con_correccion</t>
  </si>
  <si>
    <t>fusionar_y_confirmar</t>
  </si>
  <si>
    <t>fusionar_y_redirigir</t>
  </si>
  <si>
    <t>confirmar_con_ajuste_de_esquema</t>
  </si>
  <si>
    <t>confirmar_con_ajuste_de_catalogo</t>
  </si>
  <si>
    <t>Atlas 2.0 · catálogo de corrientes</t>
  </si>
  <si>
    <t>Una obra entra en una corriente porque esa corriente organiza su argumento. El reparto numérico no es criterio de clasificación.</t>
  </si>
  <si>
    <t>Clave</t>
  </si>
  <si>
    <t>Etiqueta ES</t>
  </si>
  <si>
    <t>Etiqueta EN</t>
  </si>
  <si>
    <t>Provisional</t>
  </si>
  <si>
    <t>Correspondencia anterior</t>
  </si>
  <si>
    <t>Vía de constitución</t>
  </si>
  <si>
    <t>Invasiones, colonialidades y mundos indígenas</t>
  </si>
  <si>
    <t>Invasions, colonialities and Indigenous worlds</t>
  </si>
  <si>
    <t>sin correspondencia directa en la taxonomía anterior</t>
  </si>
  <si>
    <t>siembra dirigida</t>
  </si>
  <si>
    <t>Trata, esclavización y plantación</t>
  </si>
  <si>
    <t>Slave trade, enslavement and plantation</t>
  </si>
  <si>
    <t>siembra dirigida + revisión del corpus heredado</t>
  </si>
  <si>
    <t>Fugas, cimarronajes y emancipaciones</t>
  </si>
  <si>
    <t>Flight, marronage and emancipations</t>
  </si>
  <si>
    <t>con correspondencia en la taxonomía anterior</t>
  </si>
  <si>
    <t>revisión del corpus heredado + siembra dirigida</t>
  </si>
  <si>
    <t>Postplantación, trabajo y desposesión</t>
  </si>
  <si>
    <t>Post-plantation, labor and dispossession</t>
  </si>
  <si>
    <t>Rutas, diásporas y territorios acuosos</t>
  </si>
  <si>
    <t>Routes, diasporas and aqueous territories</t>
  </si>
  <si>
    <t>huracanes_ecologias_materialidades_vivas</t>
  </si>
  <si>
    <t>Huracanes, ecologías y materialidades vivas</t>
  </si>
  <si>
    <t>Hurricanes, ecologies and living materialities</t>
  </si>
  <si>
    <t>Soberanías, fronteras y ocupaciones</t>
  </si>
  <si>
    <t>Sovereignties, borders and occupations</t>
  </si>
  <si>
    <t>Creolizaciones, traducciones y opacidades</t>
  </si>
  <si>
    <t>Creolizations, translations and opacities</t>
  </si>
  <si>
    <t>Memorias, espiritualidades y archivos vivos</t>
  </si>
  <si>
    <t>Memories, spiritualities and living archives</t>
  </si>
  <si>
    <t>cuerpos_parentescos_eroticas</t>
  </si>
  <si>
    <t>Cuerpos, parentescos y eróticas</t>
  </si>
  <si>
    <t>Bodies, kinships and erotics</t>
  </si>
  <si>
    <t>Atlas 2.0 · incidencias heredadas</t>
  </si>
  <si>
    <t>Las 37 incidencias de la Etapa 1 se conservan como control; el lote no las borra de la bitácora cuando se resuelven.</t>
  </si>
  <si>
    <t>Severidad</t>
  </si>
  <si>
    <t>Tipo</t>
  </si>
  <si>
    <t>Entrada o archivo</t>
  </si>
  <si>
    <t>Detalle</t>
  </si>
  <si>
    <t>Acción propuesta</t>
  </si>
  <si>
    <t>Lote asociado</t>
  </si>
  <si>
    <t>crítica</t>
  </si>
  <si>
    <t>Error de clasificación en la interfaz</t>
  </si>
  <si>
    <t>tradCode(), con-el-agua-de-por-medio.html línea 713</t>
  </si>
  <si>
    <t>La función busca la subcadena «hispano», que no existe dentro de «hispanófono». naveda_esclavoscordoba, alvarezboro y londonoargonauts quedan clasificadas como «comparado».</t>
  </si>
  <si>
    <t>Corregir la comparación. Mientras no se corrija, el mapa publicado dibuja fricciones epistémicas falsas sobre esas tres entradas.</t>
  </si>
  <si>
    <t>global</t>
  </si>
  <si>
    <t>Fricción inferida sin argumento</t>
  </si>
  <si>
    <t>429 relaciones</t>
  </si>
  <si>
    <t>189 relaciones (44 %) reciben marca de fricción epistémica solo porque los dos extremos tienen distinta cadena en el campo tr. Ninguna declara argumento ni fuente.</t>
  </si>
  <si>
    <t>Convertir la fricción en campo editorial explícito. Lo que hoy se infiere pasa a «cruce lingüístico», tal como pide el punto 5.7 de la propuesta.</t>
  </si>
  <si>
    <t>alta</t>
  </si>
  <si>
    <t>Campo sin vocabulario controlado</t>
  </si>
  <si>
    <t>campo tr (233 entradas)</t>
  </si>
  <si>
    <t>104 valores distintos para 233 entradas. El campo mezcla lengua de publicación, procedencia o trayectoria de la autoría, territorio estudiado, escala comparativa y, en algunos casos, tema o método.</t>
  </si>
  <si>
    <t>T01 conserva tr y separa lengua_publicacion, orilla_produccion, territorio_estudiado y alcance_comparativo. Toda propuesta mecánica queda pendiente de revisión humana.</t>
  </si>
  <si>
    <t>en_preparacion</t>
  </si>
  <si>
    <t>Cifra pública desactualizada</t>
  </si>
  <si>
    <t>proyectos/reflujo-guia.html, párrafo 136</t>
  </si>
  <si>
    <t>Publica «131 obras anglófonas, 43 hispanas, 24 francófonas, 6 neerlandesas, 2 danesas», que suma 206 sobre un corpus de 203. El recuento con el mismo criterio da 121, 41, 21, 6 y 14 sin adscripción; ninguna entrada es danesa como lengua principal.</t>
  </si>
  <si>
    <t>Recontar y corregir, o retirar la cifra hasta que exista un campo de lengua fiable.</t>
  </si>
  <si>
    <t>Duplicación</t>
  </si>
  <si>
    <t>steward / stewardpuertorico</t>
  </si>
  <si>
    <t>Dos entradas para The People of Puerto Rico (1956), mismo año, mismo lugar, autoría redactada de dos maneras y clasificación distinta (una con capitalismo_racial, la otra sin).</t>
  </si>
  <si>
    <t>Fusionar. Conservar el id con más relaciones y redirigir el ancla del otro para no romper enlaces citables.</t>
  </si>
  <si>
    <t>Entrada compuesta</t>
  </si>
  <si>
    <t>El título reúne 2 obras distintas bajo un solo identificador: Caribbean Transformations / Sweetness and Power (1974–85).</t>
  </si>
  <si>
    <t>Evaluar división en entradas separadas conservando el id actual como una de ellas.</t>
  </si>
  <si>
    <t>El título reúne 2 obras distintas bajo un solo identificador: Contrapunteo cubano / Transculturación (1940).</t>
  </si>
  <si>
    <t>El título reúne 2 obras distintas bajo un solo identificador: Poétique de la Relation / Le discours antillais (1981–90).</t>
  </si>
  <si>
    <t>El título reúne 2 obras distintas bajo un solo identificador: Nation Language / Tidalectics (1984).</t>
  </si>
  <si>
    <t>El título reúne 2 obras distintas bajo un solo identificador: Creolizing Practices of Freedom: Recognition and Dissonance / The Creolizing Subject: Race, Reason, and the Politics of Purity (2011–23).</t>
  </si>
  <si>
    <t>El título reúne 2 obras distintas bajo un solo identificador: La isla que se repite / The Repeating Island (1989).</t>
  </si>
  <si>
    <t>Fecha ausente</t>
  </si>
  <si>
    <t>Sin año de publicación: Los acuerdos y la idealización del palenque en la provincia de Cartagena: el caso del Totumo (1714-1767)</t>
  </si>
  <si>
    <t>Localizar el dato o marcar fecha_incierta de forma explícita.</t>
  </si>
  <si>
    <t>Sin año de publicación: Sonoridades del Chandé en el Caribe seco</t>
  </si>
  <si>
    <t>Sin año de publicación: La esquiva promesa de desarrollo</t>
  </si>
  <si>
    <t>Sin año de publicación: Realismo mágico, vallenato y violencia política en el Caribe colombiano</t>
  </si>
  <si>
    <t>Herramienta ausente</t>
  </si>
  <si>
    <t>repositorio completo</t>
  </si>
  <si>
    <t>La metodología publicada afirma que «un compilador automatizado valida cada campo y cada relación contra el catálogo del atlas». En el repositorio solo existe sincronizar.py, que compara el .js con el .json y no valida contenido alguno.</t>
  </si>
  <si>
    <t>Escribir el validador antes de la Etapa 2, o corregir la afirmación de la metodología. Hoy la página promete una verificación que no ocurre.</t>
  </si>
  <si>
    <t>Referencia incompleta</t>
  </si>
  <si>
    <t>La autoría dice «borrador / archivo»: es una nota de trabajo, no una atribución.</t>
  </si>
  <si>
    <t>Completar la referencia o retirar la entrada del corpus publicado hasta completarla.</t>
  </si>
  <si>
    <t>La autoría dice «archivo»: es una nota de trabajo, no una atribución.</t>
  </si>
  <si>
    <t>Tipo de entrada mal asignado</t>
  </si>
  <si>
    <t>Marcada como manifestación cultural, pero es un texto académico con autoría identificada (Dolcey Romero Jaramillo).</t>
  </si>
  <si>
    <t>Reclasificar como obra, o sostener la etiqueta con un criterio escrito.</t>
  </si>
  <si>
    <t>Marcada como manifestación cultural, pero es un texto académico con autoría identificada (José Antonio Figueroa).</t>
  </si>
  <si>
    <t>Variantes ortográficas del mismo valor</t>
  </si>
  <si>
    <t>media</t>
  </si>
  <si>
    <t>Cabecera contradictoria</t>
  </si>
  <si>
    <t>data/agua-de-por-medio/datos-atlas.js</t>
  </si>
  <si>
    <t>El comentario de cabecera dice «Generado desde datos-atlas.json», pero sincronizar.py hace lo contrario: lee el .js y escribe el .json.</t>
  </si>
  <si>
    <t>Corregir el comentario. La fuente canónica no puede quedar ambigua antes de una migración.</t>
  </si>
  <si>
    <t>marco conceptual del atlas, tarjeta «El reflujo»</t>
  </si>
  <si>
    <t>Dice «más de la mitad de las corrientes declara no tener fuente»: hoy son 196 de 429, el 46 %. Dice «veinte resonancias por cada fricción»: la razón real entre resonancia y disonancia es 413 a 16, casi 26 a 1, y además llama fricción a lo que el corpus registra como disonancia.</t>
  </si>
  <si>
    <t>Corregir las dos frases y distinguir disonancia de fricción también en el texto público.</t>
  </si>
  <si>
    <t>Cifras codificadas a mano</t>
  </si>
  <si>
    <t>11 archivos del sitio</t>
  </si>
  <si>
    <t>CITATION.cff, con-el-agua-de-por-medio.html (tres metaetiquetas y el JSON-LD), metodologia ES y EN, marca-de-marea, reflujo-guia ES y EN, pregon ES y EN, negrura ES y EN repiten 203, 429, 233 y 196 sin leerlos del corpus.</t>
  </si>
  <si>
    <t>Lista de verificación previa a publicar. Cada cambio de corpus obliga a revisarlos uno por uno.</t>
  </si>
  <si>
    <t>Fecha no normalizada</t>
  </si>
  <si>
    <t>Año registrado como «1974–85».</t>
  </si>
  <si>
    <t>Separar año de publicación original, de edición y de traducción en campos distintos.</t>
  </si>
  <si>
    <t>Año registrado como «1981–90».</t>
  </si>
  <si>
    <t>Año registrado como «2011–23».</t>
  </si>
  <si>
    <t>Año registrado como «2016 / trad. esp. 2018».</t>
  </si>
  <si>
    <t>Año registrado como «2016 / trad. esp. 2021».</t>
  </si>
  <si>
    <t>Año registrado como «1985 / trad. ingl. 1994».</t>
  </si>
  <si>
    <t>Año registrado como «1975 / reed. 2021».</t>
  </si>
  <si>
    <t>Año registrado como «2005 / ed. ICANH 2012».</t>
  </si>
  <si>
    <t>Año registrado como «1998 / ed. corr. y ampliada 2020 / relanzada 2025».</t>
  </si>
  <si>
    <t>Año registrado como «1937/2019».</t>
  </si>
  <si>
    <t>Modelo de lugar único</t>
  </si>
  <si>
    <t>esquema de datos</t>
  </si>
  <si>
    <t>Cada entrada admite un solo lugar. 14 entradas se declaran comparadas o transnacionales y quedan fijadas a un punto del mapa.</t>
  </si>
  <si>
    <t>Sustituir por lista de orillas con función declarada, según el punto 5.4.</t>
  </si>
  <si>
    <t>baja</t>
  </si>
  <si>
    <t>Lugar sin uso</t>
  </si>
  <si>
    <t>guajira</t>
  </si>
  <si>
    <t>Definido en el catálogo de lugares y no referido por ninguna entrada.</t>
  </si>
  <si>
    <t>Conservar si la siembra lo prevé; retirar si no.</t>
  </si>
  <si>
    <t>Atlas 2.0 · rastro de versiones y recuentos</t>
  </si>
  <si>
    <t>Las cifras de 203 y 233 corresponden a versiones distintas. El control evita mezclarlas en metodología, interfaz y depósitos.</t>
  </si>
  <si>
    <t>Versión / estado</t>
  </si>
  <si>
    <t>Fecha</t>
  </si>
  <si>
    <t>Nodos efectivos</t>
  </si>
  <si>
    <t>Relaciones</t>
  </si>
  <si>
    <t>Corroboradas</t>
  </si>
  <si>
    <t>Por corroborar</t>
  </si>
  <si>
    <t>Nota</t>
  </si>
  <si>
    <t>v1.14.0 · fuente histórica</t>
  </si>
  <si>
    <t>Arquitectura anterior; 28 lugares.</t>
  </si>
  <si>
    <t>v1.15.0 · fuente de migración</t>
  </si>
  <si>
    <t>Corpus público vigente al diseñar este plan; 30 lugares.</t>
  </si>
  <si>
    <t>P00 · proyección aprobada</t>
  </si>
  <si>
    <t>Una redirección; price–totumo baja a por corroborar; el corpus público no cambia.</t>
  </si>
  <si>
    <t>P00–A02 · capas cerradas</t>
  </si>
  <si>
    <t>2026-08-08</t>
  </si>
  <si>
    <t>P00, S01, A01 y A02 reproducibles y válidos; commits base 99aec5b, 2343008, 58723f9 y 024bb41. fddd441 formaliza el marco conceptual. Corpus público intacto.</t>
  </si>
  <si>
    <t>Atlas 2.0 · T01 · revisión controlada del campo tr</t>
  </si>
  <si>
    <t>La extracción mecánica conserva el rastro heredado y produce candidaturas no confirmadas. Las columnas de decisión humana permanecen vacías hasta revisión con fuente.</t>
  </si>
  <si>
    <t>Lote intelectual</t>
  </si>
  <si>
    <t>tr original</t>
  </si>
  <si>
    <t>Lengua(s) detectada(s)</t>
  </si>
  <si>
    <t>Fragmento parentético</t>
  </si>
  <si>
    <t>Alertas / ambigüedad</t>
  </si>
  <si>
    <t>lengua_publicacion</t>
  </si>
  <si>
    <t>orilla_produccion</t>
  </si>
  <si>
    <t>territorio_estudiado</t>
  </si>
  <si>
    <t>alcance_comparativo</t>
  </si>
  <si>
    <t>fundamento_o_fuente</t>
  </si>
  <si>
    <t>estado_revision</t>
  </si>
  <si>
    <t>responsable</t>
  </si>
  <si>
    <t>fecha_revision</t>
  </si>
  <si>
    <t>aprobación académica</t>
  </si>
  <si>
    <t>listo_para_generar</t>
  </si>
  <si>
    <t>cohorte corpus</t>
  </si>
  <si>
    <t>anglófono (EE.UU.)</t>
  </si>
  <si>
    <t>inglés</t>
  </si>
  <si>
    <t>EE.UU.</t>
  </si>
  <si>
    <t>abreviaturas por normalizar; función territorial no demostrada</t>
  </si>
  <si>
    <t>pendiente_revision</t>
  </si>
  <si>
    <t>NO</t>
  </si>
  <si>
    <t>matriz v1.14.0</t>
  </si>
  <si>
    <t>francófono (Haití)</t>
  </si>
  <si>
    <t>francés</t>
  </si>
  <si>
    <t>Haití</t>
  </si>
  <si>
    <t>función territorial no demostrada</t>
  </si>
  <si>
    <t>anglófono (EE.UU./Surinam)</t>
  </si>
  <si>
    <t>EE.UU./Surinam</t>
  </si>
  <si>
    <t>varias procedencias o territorios; abreviaturas por normalizar; función territorial no demostrada</t>
  </si>
  <si>
    <t>anglófono (Antillas)</t>
  </si>
  <si>
    <t>Antillas</t>
  </si>
  <si>
    <t>hispano (Colombia)</t>
  </si>
  <si>
    <t>español</t>
  </si>
  <si>
    <t>Colombia</t>
  </si>
  <si>
    <t>hispano (Cuba)</t>
  </si>
  <si>
    <t>Cuba</t>
  </si>
  <si>
    <t>francófono (Martinica)</t>
  </si>
  <si>
    <t>Martinica</t>
  </si>
  <si>
    <t>anglófono (Barbados)</t>
  </si>
  <si>
    <t>Barbados</t>
  </si>
  <si>
    <t>comparado (filosofía afrocaribe)</t>
  </si>
  <si>
    <t>filosofía afrocaribe</t>
  </si>
  <si>
    <t>sin lengua explícita; mezcla escala comparativa; mezcla tema, método o escala; función territorial no demostrada</t>
  </si>
  <si>
    <t>francófono (Guadalupe)</t>
  </si>
  <si>
    <t>Guadalupe</t>
  </si>
  <si>
    <t>hispano (Puerto Rico)</t>
  </si>
  <si>
    <t>Puerto Rico</t>
  </si>
  <si>
    <t>anglófono (R.U.)</t>
  </si>
  <si>
    <t>R.U.</t>
  </si>
  <si>
    <t>neerlandés (Curaçao)</t>
  </si>
  <si>
    <t>neerlandés</t>
  </si>
  <si>
    <t>Curaçao</t>
  </si>
  <si>
    <t>francófono/anglófono (Guadalupe–PR)</t>
  </si>
  <si>
    <t>inglés | francés</t>
  </si>
  <si>
    <t>Guadalupe–PR</t>
  </si>
  <si>
    <t>múltiples lenguas; abreviaturas por normalizar; función territorial no demostrada</t>
  </si>
  <si>
    <t>anglófono (EE.UU./PR)</t>
  </si>
  <si>
    <t>EE.UU./PR</t>
  </si>
  <si>
    <t>anglófono (PR)</t>
  </si>
  <si>
    <t>PR</t>
  </si>
  <si>
    <t>anglófono (Guyana)</t>
  </si>
  <si>
    <t>Guyana</t>
  </si>
  <si>
    <t>comparado (transnacional)</t>
  </si>
  <si>
    <t>transnacional</t>
  </si>
  <si>
    <t>hispano (América Latina)</t>
  </si>
  <si>
    <t>América Latina</t>
  </si>
  <si>
    <t>anglófono (hoy EE.UU., antes colonia danesa)</t>
  </si>
  <si>
    <t>inglés | danés</t>
  </si>
  <si>
    <t>hoy EE.UU., antes colonia danesa</t>
  </si>
  <si>
    <t>múltiples lenguas; mezcla temporalidad colonial; abreviaturas por normalizar; función territorial no demostrada</t>
  </si>
  <si>
    <t>anglófono (EE.UU., diáspora en Brooklyn)</t>
  </si>
  <si>
    <t>EE.UU., diáspora en Brooklyn</t>
  </si>
  <si>
    <t>mezcla trayectoria diaspórica; abreviaturas por normalizar; función territorial no demostrada</t>
  </si>
  <si>
    <t>anglófono (Jamaica/R.U.)</t>
  </si>
  <si>
    <t>Jamaica/R.U.</t>
  </si>
  <si>
    <t>anglófono (Trinidad)</t>
  </si>
  <si>
    <t>Trinidad</t>
  </si>
  <si>
    <t>anglófono (Haití/EE.UU.)</t>
  </si>
  <si>
    <t>Haití/EE.UU.</t>
  </si>
  <si>
    <t>anglófono (Jamaica)</t>
  </si>
  <si>
    <t>Jamaica</t>
  </si>
  <si>
    <t>anglófono (EE.UU./Surinam neerlandés)</t>
  </si>
  <si>
    <t>inglés | neerlandés</t>
  </si>
  <si>
    <t>EE.UU./Surinam neerlandés</t>
  </si>
  <si>
    <t>múltiples lenguas; varias procedencias o territorios; abreviaturas por normalizar; función territorial no demostrada</t>
  </si>
  <si>
    <t>anglófono (Jamaica/EE.UU.)</t>
  </si>
  <si>
    <t>Jamaica/EE.UU.</t>
  </si>
  <si>
    <t>comparado (teoría política y etnografía)</t>
  </si>
  <si>
    <t>teoría política y etnografía</t>
  </si>
  <si>
    <t>anglófono (EE.UU./Haití)</t>
  </si>
  <si>
    <t>EE.UU./Haití</t>
  </si>
  <si>
    <t>anglófono (Dinamarca/Caribe)</t>
  </si>
  <si>
    <t>Dinamarca/Caribe</t>
  </si>
  <si>
    <t>varias procedencias o territorios; función territorial no demostrada</t>
  </si>
  <si>
    <t>anglófono (EE.UU./Antillas)</t>
  </si>
  <si>
    <t>EE.UU./Antillas</t>
  </si>
  <si>
    <t>anglófono (Trinidad/EE.UU.)</t>
  </si>
  <si>
    <t>Trinidad/EE.UU.</t>
  </si>
  <si>
    <t>anglófono (EE.UU./Rep. Dominicana)</t>
  </si>
  <si>
    <t>EE.UU./Rep. Dominicana</t>
  </si>
  <si>
    <t>hispano (México)</t>
  </si>
  <si>
    <t>México</t>
  </si>
  <si>
    <t>anglófono (EE.UU./México)</t>
  </si>
  <si>
    <t>EE.UU./México</t>
  </si>
  <si>
    <t>anglófono (EE.UU./Belice)</t>
  </si>
  <si>
    <t>EE.UU./Belice</t>
  </si>
  <si>
    <t>anglófono (EE.UU./Honduras)</t>
  </si>
  <si>
    <t>EE.UU./Honduras</t>
  </si>
  <si>
    <t>francófono (Francia/Colombia)</t>
  </si>
  <si>
    <t>Francia/Colombia</t>
  </si>
  <si>
    <t>anglófono (EE.UU./Caribe)</t>
  </si>
  <si>
    <t>EE.UU./Caribe</t>
  </si>
  <si>
    <t>hispano (Rep. Dominicana/Colombia)</t>
  </si>
  <si>
    <t>Rep. Dominicana/Colombia</t>
  </si>
  <si>
    <t>anglófono (EE.UU./Puerto Rico)</t>
  </si>
  <si>
    <t>EE.UU./Puerto Rico</t>
  </si>
  <si>
    <t>comparado (teoría decolonial americana)</t>
  </si>
  <si>
    <t>teoría decolonial americana</t>
  </si>
  <si>
    <t>francófono (Martinica/Francia)</t>
  </si>
  <si>
    <t>Martinica/Francia</t>
  </si>
  <si>
    <t>anglófono (Guyana/Canadá)</t>
  </si>
  <si>
    <t>Guyana/Canadá</t>
  </si>
  <si>
    <t>comparado (anglófono/francófono/hispano/neerlandés)</t>
  </si>
  <si>
    <t>inglés | francés | español | neerlandés</t>
  </si>
  <si>
    <t>anglófono/francófono/hispano/neerlandés</t>
  </si>
  <si>
    <t>múltiples lenguas; mezcla escala comparativa; varias procedencias o territorios; función territorial no demostrada</t>
  </si>
  <si>
    <t>anglófono (Belice/R.U.)</t>
  </si>
  <si>
    <t>Belice/R.U.</t>
  </si>
  <si>
    <t>anglófono (Guyana/Trinidad)</t>
  </si>
  <si>
    <t>Guyana/Trinidad</t>
  </si>
  <si>
    <t>comparado (anglófono Caribe)</t>
  </si>
  <si>
    <t>anglófono Caribe</t>
  </si>
  <si>
    <t>mezcla escala comparativa; función territorial no demostrada</t>
  </si>
  <si>
    <t>hispano (Suiza/Colombia)</t>
  </si>
  <si>
    <t>Suiza/Colombia</t>
  </si>
  <si>
    <t>anglófono (Trinidad/Canadá)</t>
  </si>
  <si>
    <t>Trinidad/Canadá</t>
  </si>
  <si>
    <t>neerlandés/anglófono (Curazao/Jamaica)</t>
  </si>
  <si>
    <t>Curazao/Jamaica</t>
  </si>
  <si>
    <t>múltiples lenguas; varias procedencias o territorios; función territorial no demostrada</t>
  </si>
  <si>
    <t>hispano (Colombia/Francia)</t>
  </si>
  <si>
    <t>Colombia/Francia</t>
  </si>
  <si>
    <t>francófono/anglófono (Luisiana)</t>
  </si>
  <si>
    <t>Luisiana</t>
  </si>
  <si>
    <t>múltiples lenguas; función territorial no demostrada</t>
  </si>
  <si>
    <t>anglófono (Belice/Honduras)</t>
  </si>
  <si>
    <t>Belice/Honduras</t>
  </si>
  <si>
    <t>anglófono (Honduras)</t>
  </si>
  <si>
    <t>Honduras</t>
  </si>
  <si>
    <t>anglófono/francófono (Haití)</t>
  </si>
  <si>
    <t>anglófono (Canadá/Barbados)</t>
  </si>
  <si>
    <t>Canadá/Barbados</t>
  </si>
  <si>
    <t>neerlandófono (Curazao)</t>
  </si>
  <si>
    <t>Curazao</t>
  </si>
  <si>
    <t>neerlandófono (Curazao) / anglófono</t>
  </si>
  <si>
    <t>hispanófono (México)</t>
  </si>
  <si>
    <t>anglófono (EE.UU.) / francófono (Haití)</t>
  </si>
  <si>
    <t>EE.UU. | Haití</t>
  </si>
  <si>
    <t>anglófono (Jamaica) / alemán (Austria)</t>
  </si>
  <si>
    <t>inglés | otro: alemán</t>
  </si>
  <si>
    <t>Jamaica | Austria</t>
  </si>
  <si>
    <t>anglófono (Bahamas/Trinidad)</t>
  </si>
  <si>
    <t>Bahamas/Trinidad</t>
  </si>
  <si>
    <t>anglófono (Belice/Trinidad)</t>
  </si>
  <si>
    <t>Belice/Trinidad</t>
  </si>
  <si>
    <t>anglófono / danés (Caribe danés)</t>
  </si>
  <si>
    <t>Caribe danés</t>
  </si>
  <si>
    <t>francófono (Haití) / anglófono</t>
  </si>
  <si>
    <t>anglófono (Canadá) / hispanófono (Puerto Rico)</t>
  </si>
  <si>
    <t>inglés | español</t>
  </si>
  <si>
    <t>Canadá | Puerto Rico</t>
  </si>
  <si>
    <t>anglófono (Antigua/EE.UU.)</t>
  </si>
  <si>
    <t>Antigua/EE.UU.</t>
  </si>
  <si>
    <t>anglófono (Nueva Zelanda/Providencia)</t>
  </si>
  <si>
    <t>Nueva Zelanda/Providencia</t>
  </si>
  <si>
    <t>anglófono (Colombia/EE.UU.)</t>
  </si>
  <si>
    <t>Colombia/EE.UU.</t>
  </si>
  <si>
    <t>anglófono (EE.UU./Francia)</t>
  </si>
  <si>
    <t>EE.UU./Francia</t>
  </si>
  <si>
    <t>anglófono (Barbados/Jamaica)</t>
  </si>
  <si>
    <t>Barbados/Jamaica</t>
  </si>
  <si>
    <t>anglófono (Guyana/EE.UU.)</t>
  </si>
  <si>
    <t>Guyana/EE.UU.</t>
  </si>
  <si>
    <t>anglófono (EE. UU./Guyana)</t>
  </si>
  <si>
    <t>EE. UU./Guyana</t>
  </si>
  <si>
    <t>anglófono (EE. UU./Jamaica)</t>
  </si>
  <si>
    <t>EE. UU./Jamaica</t>
  </si>
  <si>
    <t>anglófono (R. U./Guyana)</t>
  </si>
  <si>
    <t>R. U./Guyana</t>
  </si>
  <si>
    <t>anglófono (EE. UU./Colombia)</t>
  </si>
  <si>
    <t>EE. UU./Colombia</t>
  </si>
  <si>
    <t>anglófono (EE. UU./Nicaragua)</t>
  </si>
  <si>
    <t>EE. UU./Nicaragua</t>
  </si>
  <si>
    <t>hispano (Noruega/Colombia)</t>
  </si>
  <si>
    <t>Noruega/Colombia</t>
  </si>
  <si>
    <t>hispano (Puerto Rico/comparado)</t>
  </si>
  <si>
    <t>Puerto Rico/comparado</t>
  </si>
  <si>
    <t>mezcla escala comparativa; varias procedencias o territorios; función territorial no demostrada</t>
  </si>
  <si>
    <t>comparado (métodos comparados)</t>
  </si>
  <si>
    <t>métodos comparados</t>
  </si>
  <si>
    <t>anglófono (comparado)</t>
  </si>
  <si>
    <t>comparado</t>
  </si>
  <si>
    <t>sin lengua explícita; mezcla escala comparativa</t>
  </si>
  <si>
    <t>hispano (Puerto Rico/EE.UU.)</t>
  </si>
  <si>
    <t>Puerto Rico/EE.UU.</t>
  </si>
  <si>
    <t>hispano (República Dominicana)</t>
  </si>
  <si>
    <t>República Dominicana</t>
  </si>
  <si>
    <t>comparado (Mauricio/Reino Unido)</t>
  </si>
  <si>
    <t>Mauricio/Reino Unido</t>
  </si>
  <si>
    <t>sin lengua explícita; mezcla escala comparativa; varias procedencias o territorios; función territorial no demostrada</t>
  </si>
  <si>
    <t>comparado (transatlántico)</t>
  </si>
  <si>
    <t>transatlántico</t>
  </si>
  <si>
    <t>anglófono (EE.UU./Cuba)</t>
  </si>
  <si>
    <t>EE.UU./Cuba</t>
  </si>
  <si>
    <t>comparado (cuenca completa)</t>
  </si>
  <si>
    <t>cuenca completa</t>
  </si>
  <si>
    <t>anglófono (EE.UU./Colombia)</t>
  </si>
  <si>
    <t>EE.UU./Colombia</t>
  </si>
  <si>
    <t>hispanófono (Colombia)</t>
  </si>
  <si>
    <t>anglófono (Reino Unido/EE.UU.)</t>
  </si>
  <si>
    <t>Reino Unido/EE.UU.</t>
  </si>
  <si>
    <t>alta v1.15.0</t>
  </si>
  <si>
    <t>anglófono (R.U./Guyana)</t>
  </si>
  <si>
    <t>R.U./Guyana</t>
  </si>
  <si>
    <t>neerlandés (Países Bajos/Caribe)</t>
  </si>
  <si>
    <t>Países Bajos/Caribe</t>
  </si>
  <si>
    <t>neerlandés (Países Bajos/Surinam)</t>
  </si>
  <si>
    <t>Países Bajos/Surinam</t>
  </si>
  <si>
    <t>comparado (Guayanas)</t>
  </si>
  <si>
    <t>Guayanas</t>
  </si>
  <si>
    <t>sin lengua explícita; mezcla escala comparativa; función territorial no demostrada</t>
  </si>
  <si>
    <t>anglófono (Canadá/Antillas)</t>
  </si>
  <si>
    <t>Canadá/Antillas</t>
  </si>
  <si>
    <t>anglófono (Granada/Barbados)</t>
  </si>
  <si>
    <t>Granada/Barbados</t>
  </si>
  <si>
    <t>anglófono (Jamaica/Haití)</t>
  </si>
  <si>
    <t>Jamaica/Haití</t>
  </si>
  <si>
    <t>anglófono (EE.UU./India)</t>
  </si>
  <si>
    <t>EE.UU./India</t>
  </si>
  <si>
    <t>anglófono (Canadá/Costa Rica)</t>
  </si>
  <si>
    <t>Canadá/Costa Rica</t>
  </si>
  <si>
    <t>anglófono (EE.UU./Centroamérica)</t>
  </si>
  <si>
    <t>EE.UU./Centroamérica</t>
  </si>
  <si>
    <t>anglófono (Canadá/Colombia)</t>
  </si>
  <si>
    <t>Canadá/Colombia</t>
  </si>
  <si>
    <t>anglófono (EE.UU./Países Bajos)</t>
  </si>
  <si>
    <t>EE.UU./Países Bajos</t>
  </si>
  <si>
    <t>Atlas 2.0 · inventario de 104 valores heredados de tr</t>
  </si>
  <si>
    <t>Inventario descriptivo: no convierte las cadenas heredadas en decisiones editoriales.</t>
  </si>
  <si>
    <t>Frecuencia</t>
  </si>
  <si>
    <t>IDs de ejemplo</t>
  </si>
  <si>
    <t>Alertas</t>
  </si>
  <si>
    <t>mintz | lindskoog | workercane | steward | hagedorn | dunham | tellmyhorse | palmiengangas</t>
  </si>
  <si>
    <t>totumo | chande | perezmorales | manoalzada | esquiva | friedemannlengua | escalante | figueroa</t>
  </si>
  <si>
    <t>truebornmaroons | exceptviolence | modernblackness | politicallife | russwurm | james_bannerethiopia | knight_genesisnacionalismo | goffedarklab</t>
  </si>
  <si>
    <t>taylor | reddock | alexander | james | mohammed_generosrealidades | brereton_racerelationstrinidad | williamscapitalismo | looklaichinese</t>
  </si>
  <si>
    <t>chevannes | wynterblackmetamorphosis | mgsmithplural | clarkemymother | meeks_postcolonial | shepherdmaharani | atkinsonearliest</t>
  </si>
  <si>
    <t>trouillot | casimir | fouchard | pricemars | firmin | hurboncomprendre | hurbondictadura</t>
  </si>
  <si>
    <t>tinsley | shellererotic | islandfutures | deloughrey | shellerconsuming</t>
  </si>
  <si>
    <t>price | pricefirst | travelstooy | alabi | rainforestwarriors</t>
  </si>
  <si>
    <t>araujo | robinsonmarxismo | rediker | headleyreparaciones | yountaesecular</t>
  </si>
  <si>
    <t>callaloonation | gill | scher | brownetropic</t>
  </si>
  <si>
    <t>glissant | creolite | ferdinand | cesaire</t>
  </si>
  <si>
    <t>ortiz | cabrera | benitez | morenofraginals</t>
  </si>
  <si>
    <t>quintero | lebroncimarronaje | grosfoguelcolonial | zambrana</t>
  </si>
  <si>
    <t>brathwaite | brathwaitearchipelago | barrowfamily</t>
  </si>
  <si>
    <t>downtownladies | trouillotsilencing | ulysseWhyHaiti</t>
  </si>
  <si>
    <t>gosinenature | branddoor | bestlevitt</t>
  </si>
  <si>
    <t>kincaidsmallplace | henrycaliban</t>
  </si>
  <si>
    <t>bogueslammingreader | becklessavingsouls</t>
  </si>
  <si>
    <t>lightfoot | johnsonbelize</t>
  </si>
  <si>
    <t>caribjourneys | globalculture</t>
  </si>
  <si>
    <t>reconfdominic | lara</t>
  </si>
  <si>
    <t>hintzen | ramsaranlewis</t>
  </si>
  <si>
    <t>peasantscapital | trouillothaitistate</t>
  </si>
  <si>
    <t>besson | sonicbodies</t>
  </si>
  <si>
    <t>fischer | scottconscripts</t>
  </si>
  <si>
    <t>quinnblackpower | puriradical</t>
  </si>
  <si>
    <t>vete | bebelgislerleonora</t>
  </si>
  <si>
    <t>benedictykokken_haitiexception | trouillottransformaciones</t>
  </si>
  <si>
    <t>hallafricanslouisiana | creolenieworleans</t>
  </si>
  <si>
    <t>curiel | sangbenvolviendo</t>
  </si>
  <si>
    <t>helgnuncamas | helglibertyequality</t>
  </si>
  <si>
    <t>alvarezboro | londonoargonauts</t>
  </si>
  <si>
    <t>oostindiedecolonising | kloosterrealm</t>
  </si>
  <si>
    <t>Atlas 2.0 · treinta entradas añadidas en v1.15.0</t>
  </si>
  <si>
    <t>Comparación por id contra matriz-migracion-atlas.xlsx. Se incorporan al control sin reclasificación automática.</t>
  </si>
  <si>
    <t>Año</t>
  </si>
  <si>
    <t>Lugar heredado</t>
  </si>
  <si>
    <t>Estado T01</t>
  </si>
  <si>
    <t>obra</t>
  </si>
  <si>
    <t>trinidad</t>
  </si>
  <si>
    <t>jamaica</t>
  </si>
  <si>
    <t>guyana</t>
  </si>
  <si>
    <t>barbados</t>
  </si>
  <si>
    <t>suriname</t>
  </si>
  <si>
    <t>haiti</t>
  </si>
  <si>
    <t>cuba</t>
  </si>
  <si>
    <t>curazao</t>
  </si>
  <si>
    <t>granada</t>
  </si>
  <si>
    <t>costarica</t>
  </si>
  <si>
    <t>santamarta</t>
  </si>
  <si>
    <t>Atlas 2.0 · reglas bloqueantes de T01</t>
  </si>
  <si>
    <t>Estas reglas protegen la opacidad documental: una cadena heredada puede conservar ambigüedad hasta que una fuente permita decidir.</t>
  </si>
  <si>
    <t>Razón</t>
  </si>
  <si>
    <t>tr original se conserva sin alteración durante toda la transición.</t>
  </si>
  <si>
    <t>Permite reversión, comparación y auditoría.</t>
  </si>
  <si>
    <t>La detección mecánica de lengua es candidatura, nunca decisión final.</t>
  </si>
  <si>
    <t>anglófono o hispano puede describir tradición, autoría o edición, no necesariamente la lengua exacta del ejemplar.</t>
  </si>
  <si>
    <t>Ningún lugar entre paréntesis recibe función por inferencia.</t>
  </si>
  <si>
    <t>EE.UU./Jamaica no revela si se trata de producción, trayectoria, circulación o territorio estudiado.</t>
  </si>
  <si>
    <t>lengua_publicacion usa vocabulario controlado y fuente bibliográfica.</t>
  </si>
  <si>
    <t>La lengua pertenece a la edición catalogada, no a una geografía supuesta.</t>
  </si>
  <si>
    <t>orilla_produccion y territorio_estudiado se deciden por separado.</t>
  </si>
  <si>
    <t>La posición desde la que se escribe no equivale al territorio que la obra estudia.</t>
  </si>
  <si>
    <t>alcance_comparativo no se deduce de una barra entre topónimos.</t>
  </si>
  <si>
    <t>La barra puede nombrar trayectoria del autor, coautoría o circulación editorial.</t>
  </si>
  <si>
    <t>Los valores comparado, transnacional o transatlántico exigen fundamento.</t>
  </si>
  <si>
    <t>Son escalas analíticas, no lenguas.</t>
  </si>
  <si>
    <t>Las 30 entradas de v1.15.0 se incorporan al control sin reclasificar corrientes.</t>
  </si>
  <si>
    <t>Actualizar cobertura no autoriza decisiones intelectuales nuevas.</t>
  </si>
  <si>
    <t>T01 no modifica relaciones ni convierte cruces lingüísticos en fricción.</t>
  </si>
  <si>
    <t>La fricción epistémica exige argumento y evidencia propios.</t>
  </si>
  <si>
    <t>Solo una fila revisada, aprobada y con QA=pasa puede marcarse SI.</t>
  </si>
  <si>
    <t>Evita publicar propuestas mecánicas como hechos confirmados.</t>
  </si>
  <si>
    <t>Atlas 2.0 · control del lote técnico T01</t>
  </si>
  <si>
    <t>Base: datos-atlas.json v1.15.0 · 233 obras · 588 relaciones · 30 lugares. No modifica la fuente pública ni autoriza A03.</t>
  </si>
  <si>
    <t>Puertas de cierre</t>
  </si>
  <si>
    <t>Entradas en T01</t>
  </si>
  <si>
    <t>1. Los 233 valores de tr se conservan literalmente.</t>
  </si>
  <si>
    <t>Entradas nuevas v1.15.0</t>
  </si>
  <si>
    <t>2. Las 30 entradas nuevas están identificadas por id.</t>
  </si>
  <si>
    <t>Valores distintos de tr</t>
  </si>
  <si>
    <t>3. Toda lengua final tiene fundamento bibliográfico.</t>
  </si>
  <si>
    <t>Pendientes de revisión</t>
  </si>
  <si>
    <t>4. Toda orilla declara su función; ningún topónimo se interpreta solo.</t>
  </si>
  <si>
    <t>Listas para generar</t>
  </si>
  <si>
    <t>5. Estado revisada exige responsable y fecha.</t>
  </si>
  <si>
    <t>Lengua final vacía</t>
  </si>
  <si>
    <t>6. QA=pasa y aprobación=aprobada preceden a listo=SI.</t>
  </si>
  <si>
    <t>Filas con alertas</t>
  </si>
  <si>
    <t>7. T01 no altera relaciones, fricciones, corrientes ni el corpus público.</t>
  </si>
  <si>
    <t>Decisión operativa: T01 se ejecuta antes de A03. Las candidaturas mecánicas no migran al esquema 2.0 hasta aprobación humana.</t>
  </si>
  <si>
    <t>Atlas 2.0 · memoria operativa T01</t>
  </si>
  <si>
    <t>Continuidad estable del trabajo articulado entre ChatGPT, Claude y la dirección académica. Estas reglas gobiernan el lote y no autorizan cambios en el corpus público.</t>
  </si>
  <si>
    <t>N.º</t>
  </si>
  <si>
    <t>Decisión estable</t>
  </si>
  <si>
    <t>Aplicación</t>
  </si>
  <si>
    <t>Prohibición</t>
  </si>
  <si>
    <t>Evidencia de cierre</t>
  </si>
  <si>
    <t>Orden de trabajo</t>
  </si>
  <si>
    <t>T01 se ejecuta antes de A03.</t>
  </si>
  <si>
    <t>No abrir A03 mientras T01 no cierre.</t>
  </si>
  <si>
    <t>T01 con QA y aprobación académica.</t>
  </si>
  <si>
    <t>vigente</t>
  </si>
  <si>
    <t>Base canónica de trabajo</t>
  </si>
  <si>
    <t>233 obras, 588 relaciones y 30 lugares.</t>
  </si>
  <si>
    <t>No volver a la matriz de 203 como base operativa.</t>
  </si>
  <si>
    <t>Identificadores únicos y recuentos reconciliados.</t>
  </si>
  <si>
    <t>Capas ya cerradas</t>
  </si>
  <si>
    <t>Preservar P00, S01, A01 y A02.</t>
  </si>
  <si>
    <t>No reclasificarlas ni reabrirlas desde T01.</t>
  </si>
  <si>
    <t>Sin cambios en hojas ni artefactos cerrados.</t>
  </si>
  <si>
    <t>Rastro heredado</t>
  </si>
  <si>
    <t>Conservar tr original, literal y visible.</t>
  </si>
  <si>
    <t>No normalizar ni sobrescribir tr.</t>
  </si>
  <si>
    <t>233 valores originales presentes.</t>
  </si>
  <si>
    <t>Desagregación</t>
  </si>
  <si>
    <t>Separar lengua_publicacion, orilla_produccion, territorio_estudiado y alcance_comparativo.</t>
  </si>
  <si>
    <t>No convertir topónimos, nacionalidad, editorial, tema o método en esos campos por inferencia.</t>
  </si>
  <si>
    <t>Fuente, fundamento y localización por decisión.</t>
  </si>
  <si>
    <t>Cascada de modelos</t>
  </si>
  <si>
    <t>ChatGPT hace la primera pasada; Claude revisa B, C y muestra de A de forma ciega.</t>
  </si>
  <si>
    <t>Claude no recibe inicialmente la salida de ChatGPT.</t>
  </si>
  <si>
    <t>Salidas comparables con el mismo esquema.</t>
  </si>
  <si>
    <t>Riesgo A</t>
  </si>
  <si>
    <t>Caso factual sencillo; Claude revisa muestra determinística cercana al 15 %.</t>
  </si>
  <si>
    <t>No confundir sencillez bibliográfica con aprobación automática.</t>
  </si>
  <si>
    <t>Evidencia localizable y muestra humana cercana al 10 %.</t>
  </si>
  <si>
    <t>Riesgo B</t>
  </si>
  <si>
    <t>Caso mixto; doble dictamen ciego.</t>
  </si>
  <si>
    <t>No cerrar si hay desacuerdo o evidencia insuficiente.</t>
  </si>
  <si>
    <t>Comparación de los cuatro campos y fuentes.</t>
  </si>
  <si>
    <t>Riesgo C</t>
  </si>
  <si>
    <t>Caso compuesto, crítico o interpretativo; doble dictamen y revisión humana obligatoria.</t>
  </si>
  <si>
    <t>No resolver por consenso de modelos.</t>
  </si>
  <si>
    <t>Decisión académica explícita.</t>
  </si>
  <si>
    <t>Autoridad</t>
  </si>
  <si>
    <t>Los modelos proponen; la dirección académica confirma.</t>
  </si>
  <si>
    <t>Ninguna IA aprueba obras, relaciones ni interpretaciones.</t>
  </si>
  <si>
    <t>Responsable, fecha, QA=pasa y aprobación=aprobada.</t>
  </si>
  <si>
    <t>Toda afirmación debe remitir a fuente y página/sección localizable.</t>
  </si>
  <si>
    <t>No usar título, memoria, afinidad temática o resumen automático como prueba suficiente.</t>
  </si>
  <si>
    <t>Fuente primaria o referencia autorizada.</t>
  </si>
  <si>
    <t>Monahan</t>
  </si>
  <si>
    <t>Caso de calibración: la entrada reúne libros de 2011 y 2023; el PDF disponible documenta solo el de 2023.</t>
  </si>
  <si>
    <t>No extrapolar la revisión del libro de 2023 al de 2011.</t>
  </si>
  <si>
    <t>Segunda fuente y decisión sobre división de la entrada.</t>
  </si>
  <si>
    <t>en_revision</t>
  </si>
  <si>
    <t>Integración</t>
  </si>
  <si>
    <t>Solo dictámenes aprobados pasan al plan maestro.</t>
  </si>
  <si>
    <t>No escribir en datos-atlas.js/json, interfaz, main ni corpus público durante la calibración.</t>
  </si>
  <si>
    <t>listo_para_integrar=SI después de QA y aprobación.</t>
  </si>
  <si>
    <t>Auditoría</t>
  </si>
  <si>
    <t>Conservar respuestas de ambos modelos, desacuerdos y campos no verificables.</t>
  </si>
  <si>
    <t>No borrar silencios ni forzar certeza.</t>
  </si>
  <si>
    <t>Rastro completo en Control IA.</t>
  </si>
  <si>
    <t>Atlas 2.0 · protocolo maestro ChatGPT–Claude</t>
  </si>
  <si>
    <t>Sistema en cascada: evidencia comparable, revisión ciega y escalamiento por riesgo. Coincidencia sin evidencia no constituye consenso válido.</t>
  </si>
  <si>
    <t>Fase</t>
  </si>
  <si>
    <t>Actor</t>
  </si>
  <si>
    <t>Salida obligatoria</t>
  </si>
  <si>
    <t>Puerta de control</t>
  </si>
  <si>
    <t>Estado inicial</t>
  </si>
  <si>
    <t>0. Preparación</t>
  </si>
  <si>
    <t>ChatGPT</t>
  </si>
  <si>
    <t>T01 revisión + fuente disponible</t>
  </si>
  <si>
    <t>Conservar id y tr; verificar granularidad bibliográfica; proponer riesgo.</t>
  </si>
  <si>
    <t>Registro estructurado y campos no verificables.</t>
  </si>
  <si>
    <t>No hay cambio en corpus.</t>
  </si>
  <si>
    <t>iniciada</t>
  </si>
  <si>
    <t>1. Calibración</t>
  </si>
  <si>
    <t>Ambos modelos</t>
  </si>
  <si>
    <t>24 casos seleccionados + mismas fuentes</t>
  </si>
  <si>
    <t>Dictámenes independientes con el mismo esquema.</t>
  </si>
  <si>
    <t>Dos salidas ciegas por caso.</t>
  </si>
  <si>
    <t>Dirección académica fija patrón de 24.</t>
  </si>
  <si>
    <t>GPT completo; Claude pendiente</t>
  </si>
  <si>
    <t>2. Preclasificación</t>
  </si>
  <si>
    <t>233 entradas y fuentes disponibles</t>
  </si>
  <si>
    <t>Primera pasada; riesgo A/B/C; propuesta con evidencia.</t>
  </si>
  <si>
    <t>233 registros estructurados.</t>
  </si>
  <si>
    <t>No prellenar decisión humana.</t>
  </si>
  <si>
    <t>3. Revisión selectiva</t>
  </si>
  <si>
    <t>Claude</t>
  </si>
  <si>
    <t>Todos B y C + muestra de A</t>
  </si>
  <si>
    <t>Revisar sin ver la salida de ChatGPT.</t>
  </si>
  <si>
    <t>Dictamen independiente.</t>
  </si>
  <si>
    <t>Misma edición o fuente identificada.</t>
  </si>
  <si>
    <t>4. Comparación</t>
  </si>
  <si>
    <t>Control IA</t>
  </si>
  <si>
    <t>Salidas de ambos modelos</t>
  </si>
  <si>
    <t>Comparar cuatro campos y suficiencia de evidencia.</t>
  </si>
  <si>
    <t>Consenso, desacuerdo o no verificable.</t>
  </si>
  <si>
    <t>La coincidencia textual no suple evidencia.</t>
  </si>
  <si>
    <t>5. Decisión</t>
  </si>
  <si>
    <t>Cola de excepciones + muestra</t>
  </si>
  <si>
    <t>Resolver C, desacuerdos, vacíos y muestra A.</t>
  </si>
  <si>
    <t>Decisión, responsable y fecha.</t>
  </si>
  <si>
    <t>Toda interpretación exige aprobación humana.</t>
  </si>
  <si>
    <t>6. QA</t>
  </si>
  <si>
    <t>ChatGPT + validador</t>
  </si>
  <si>
    <t>Dictámenes aprobados</t>
  </si>
  <si>
    <t>Recuentos, vocabularios, fuentes, id y campos obligatorios.</t>
  </si>
  <si>
    <t>QA pasa/falla y reporte.</t>
  </si>
  <si>
    <t>0 errores antes de integrar.</t>
  </si>
  <si>
    <t>7. Integración</t>
  </si>
  <si>
    <t>Solo filas listas</t>
  </si>
  <si>
    <t>Incorporar al plan maestro en lote reversible.</t>
  </si>
  <si>
    <t>T01 preparado para repositorio.</t>
  </si>
  <si>
    <t>No tocar corpus público sin autorización.</t>
  </si>
  <si>
    <t>Riesgo</t>
  </si>
  <si>
    <t>Criterio</t>
  </si>
  <si>
    <t>Control humano</t>
  </si>
  <si>
    <t>Lectura completa</t>
  </si>
  <si>
    <t>Resultado posible</t>
  </si>
  <si>
    <t>A</t>
  </si>
  <si>
    <t>Una obra/edición identificada; dato factual localizable; sin mezcla de funciones.</t>
  </si>
  <si>
    <t>100 %</t>
  </si>
  <si>
    <t>Muestra determinística ≈15 %</t>
  </si>
  <si>
    <t>Muestra determinística ≈10 %</t>
  </si>
  <si>
    <t>Solo si la evidencia mínima falla.</t>
  </si>
  <si>
    <t>candidata_consenso</t>
  </si>
  <si>
    <t>B</t>
  </si>
  <si>
    <t>Trayectorias, traducciones, varias lenguas/territorios o función editorial ambigua.</t>
  </si>
  <si>
    <t>100 %, ciego</t>
  </si>
  <si>
    <t>Revisión abreviada; completa si hay desacuerdo.</t>
  </si>
  <si>
    <t>Introducción/índice/resumen; texto completo si persiste ambigüedad.</t>
  </si>
  <si>
    <t>consenso o excepción</t>
  </si>
  <si>
    <t>C</t>
  </si>
  <si>
    <t>Entrada compuesta, duplicada, comparado interpretativo, metadato contradictorio o fuente insuficiente.</t>
  </si>
  <si>
    <t>Obligatoria</t>
  </si>
  <si>
    <t>Según el campo y el conflicto.</t>
  </si>
  <si>
    <t>requiere_decision_academica</t>
  </si>
  <si>
    <t>Campo</t>
  </si>
  <si>
    <t>Evidencia mínima</t>
  </si>
  <si>
    <t>No basta</t>
  </si>
  <si>
    <t>Salida vacía permitida</t>
  </si>
  <si>
    <t>Regla de comparación</t>
  </si>
  <si>
    <t>Escalamiento</t>
  </si>
  <si>
    <t>Portada, página legal, ficha editorial autorizada o texto de la edición.</t>
  </si>
  <si>
    <t>Nacionalidad, territorio o lengua citada.</t>
  </si>
  <si>
    <t>Sí: no_verificable.</t>
  </si>
  <si>
    <t>Coincidencia exacta normalizada + fuente.</t>
  </si>
  <si>
    <t>Si difiere la edición, riesgo B/C.</t>
  </si>
  <si>
    <t>La lengua del corpus estudiado no equivale a la lengua del libro.</t>
  </si>
  <si>
    <t>Función documentada: publicación, archivo, circulación o producción intelectual.</t>
  </si>
  <si>
    <t>Lugar de nacimiento o sede editorial aislada.</t>
  </si>
  <si>
    <t>Sí.</t>
  </si>
  <si>
    <t>Coincidencia de valor y función.</t>
  </si>
  <si>
    <t>Función indeterminada pasa a excepción.</t>
  </si>
  <si>
    <t>Puede admitir más de una orilla con función.</t>
  </si>
  <si>
    <t>Título + resumen/índice/introducción que delimite el caso.</t>
  </si>
  <si>
    <t>Topónimo en tr o ejemplo incidental.</t>
  </si>
  <si>
    <t>Coincidencia de alcance territorial.</t>
  </si>
  <si>
    <t>Territorios múltiples o difusos: B/C.</t>
  </si>
  <si>
    <t>No forzar un punto único.</t>
  </si>
  <si>
    <t>Diseño comparativo o escala formulada explícitamente.</t>
  </si>
  <si>
    <t>La palabra comparado en tr.</t>
  </si>
  <si>
    <t>Coincidencia de método/escala.</t>
  </si>
  <si>
    <t>Tema o método mezclado: C.</t>
  </si>
  <si>
    <t>Distinguir comparación territorial, conceptual y transnacional.</t>
  </si>
  <si>
    <t>Referencia, localización y explicación breve.</t>
  </si>
  <si>
    <t>Enlace sin indicar qué sustenta.</t>
  </si>
  <si>
    <t>No para cerrar.</t>
  </si>
  <si>
    <t>Ambos modelos deben aportar evidencia localizable.</t>
  </si>
  <si>
    <t>Insuficiente =&gt; cola de excepción.</t>
  </si>
  <si>
    <t>Máximo rigor con mínima carga documental.</t>
  </si>
  <si>
    <t>Atlas 2.0 · conjunto de calibración de 24 entradas</t>
  </si>
  <si>
    <t>Selección estratificada para fijar el patrón de riesgo, evidencia y desacuerdo. Las decisiones finales permanecen vacías hasta dictamen académico.</t>
  </si>
  <si>
    <t>Familia de caso</t>
  </si>
  <si>
    <t>Riesgo sugerido</t>
  </si>
  <si>
    <t>Motivo de calibración</t>
  </si>
  <si>
    <t>Fuente disponible</t>
  </si>
  <si>
    <t>ChatGPT estado</t>
  </si>
  <si>
    <t>Claude estado</t>
  </si>
  <si>
    <t>Comparación</t>
  </si>
  <si>
    <t>Riesgo final</t>
  </si>
  <si>
    <t>lengua_publicacion patrón</t>
  </si>
  <si>
    <t>orilla_produccion patrón</t>
  </si>
  <si>
    <t>territorio_estudiado patrón</t>
  </si>
  <si>
    <t>alcance_comparativo patrón</t>
  </si>
  <si>
    <t>fundamento patrón</t>
  </si>
  <si>
    <t>fecha</t>
  </si>
  <si>
    <t>QA</t>
  </si>
  <si>
    <t>aprobación</t>
  </si>
  <si>
    <t>Caso simple</t>
  </si>
  <si>
    <t>Una lengua declarada y un topónimo; obliga a no confundir sede, edición y orilla. abreviaturas por normalizar; función territorial no demostrada</t>
  </si>
  <si>
    <t>fuentes_parciales_entrada_compuesta</t>
  </si>
  <si>
    <t>dictamen_gpt_emitido</t>
  </si>
  <si>
    <t>La lengua declarada no demuestra por sí sola la lengua de la edición catalogada. función territorial no demostrada</t>
  </si>
  <si>
    <t>fuente_verificada</t>
  </si>
  <si>
    <t>Permite distinguir lengua de publicación, territorio estudiado y lugar del autor. función territorial no demostrada</t>
  </si>
  <si>
    <t>Ensaya una obra compuesta con dos títulos y una adscripción territorial. función territorial no demostrada</t>
  </si>
  <si>
    <t>fuente_parcial_entrada_compuesta</t>
  </si>
  <si>
    <t>Permite separar lengua-nación como concepto de lengua editorial. función territorial no demostrada</t>
  </si>
  <si>
    <t>fuente_insuficiente_unidad_ambigua</t>
  </si>
  <si>
    <t>Prueba la normalización neerlandófono/neerlandés sin borrar Curazao. función territorial no demostrada</t>
  </si>
  <si>
    <t>fuente_primaria_y_editorial_verificadas</t>
  </si>
  <si>
    <t>Trayectoria o lengua múltiple</t>
  </si>
  <si>
    <t>Dos topónimos con función indeterminada; requiere fuente antes de asignar orillas. varias procedencias o territorios; abreviaturas por normalizar; función territorial no demostrada</t>
  </si>
  <si>
    <t>fuente_editorial_verificada</t>
  </si>
  <si>
    <t>Dos lenguas y dos territorios abreviados; ninguna correspondencia es automática. múltiples lenguas; abreviaturas por normalizar; función territorial no demostrada</t>
  </si>
  <si>
    <t>Combina presente político e historia colonial en un mismo paréntesis. múltiples lenguas; mezcla temporalidad colonial; abreviaturas por normalizar; función territorial no demostrada</t>
  </si>
  <si>
    <t>fuente_catalografica_verificada</t>
  </si>
  <si>
    <t>La diáspora aparece explícita, pero debe separarse del territorio estudiado. mezcla trayectoria diaspórica; abreviaturas por normalizar; función territorial no demostrada</t>
  </si>
  <si>
    <t>Distingue procedencia autoral, lengua editorial y territorio del caso. múltiples lenguas; función territorial no demostrada</t>
  </si>
  <si>
    <t>Dos lenguas y dos lugares exigen identificar edición concreta. múltiples lenguas; función territorial no demostrada</t>
  </si>
  <si>
    <t>fuente_editorial_verificada_con_traduccion</t>
  </si>
  <si>
    <t>Comparado</t>
  </si>
  <si>
    <t>El paréntesis nombra un campo filosófico, no una lengua ni una geografía. sin lengua explícita; mezcla escala comparativa; mezcla tema, método o escala; función territorial no demostrada</t>
  </si>
  <si>
    <t>dos_fuentes_identificadas_entrada_compuesta</t>
  </si>
  <si>
    <t>Transnacional expresa escala; la lengua debe verificarse por separado. sin lengua explícita; mezcla escala comparativa; mezcla tema, método o escala; función territorial no demostrada</t>
  </si>
  <si>
    <t>Cuatro tradiciones lingüísticas del corpus estudiado no equivalen a lengua de publicación. múltiples lenguas; mezcla escala comparativa; varias procedencias o territorios; función territorial no demostrada</t>
  </si>
  <si>
    <t>fuente_editorial_verificada_con_limite</t>
  </si>
  <si>
    <t>Anglófono Caribe puede describir alcance del volumen y no edición o autoría. mezcla escala comparativa; función territorial no demostrada</t>
  </si>
  <si>
    <t>Métodos comparados es una orientación metodológica, no un dato lingüístico. sin lengua explícita; mezcla escala comparativa; mezcla tema, método o escala; función territorial no demostrada</t>
  </si>
  <si>
    <t>Comparado sin especificación impide derivar lengua, orilla o territorio. sin lengua explícita; mezcla escala comparativa</t>
  </si>
  <si>
    <t>Incidencia bibliográfica o conceptual</t>
  </si>
  <si>
    <t>Entrada compuesta: dos obras bajo un id.</t>
  </si>
  <si>
    <t>fuente_verificada_unidad_contaminada</t>
  </si>
  <si>
    <t>Entrada compuesta y posible relación edición/traducción.</t>
  </si>
  <si>
    <t>fuente_parcial_original_traduccion</t>
  </si>
  <si>
    <t>Posible duplicado de The People of Puerto Rico; revisar par de ids.</t>
  </si>
  <si>
    <t>duplicado_verificado</t>
  </si>
  <si>
    <t>Fecha y autoría incompletas; “borrador / archivo”.</t>
  </si>
  <si>
    <t>candidato_no_equivalente</t>
  </si>
  <si>
    <t>Tres hitos editoriales en un solo campo de fecha.</t>
  </si>
  <si>
    <t>fuente_periodistica_con_entrevista</t>
  </si>
  <si>
    <t>Atlas 2.0 · Control IA para 233 entradas</t>
  </si>
  <si>
    <t>ChatGPT prepara; Claude revisa a ciegas los casos B/C y una muestra de A; la dirección académica resuelve excepciones. Las columnas de decisión humana están vacías.</t>
  </si>
  <si>
    <t>A sugerido</t>
  </si>
  <si>
    <t>B sugerido</t>
  </si>
  <si>
    <t>C sugerido</t>
  </si>
  <si>
    <t>Claude requerido</t>
  </si>
  <si>
    <t>Cola de excepción</t>
  </si>
  <si>
    <t>Listas para integrar</t>
  </si>
  <si>
    <t>Muestreo determinístico inicial: en riesgo A, Claude revisa cada 7.ª entrada y la dirección académica cada 10.ª. El muestreo puede ajustarse después de la calibración, pero nunca reduce la revisión obligatoria de B/C.</t>
  </si>
  <si>
    <t>Alertas heredadas</t>
  </si>
  <si>
    <t>Ruta de revisión</t>
  </si>
  <si>
    <t>GPT fuente</t>
  </si>
  <si>
    <t>GPT lengua</t>
  </si>
  <si>
    <t>GPT orilla</t>
  </si>
  <si>
    <t>GPT territorio</t>
  </si>
  <si>
    <t>GPT alcance</t>
  </si>
  <si>
    <t>GPT fundamento</t>
  </si>
  <si>
    <t>GPT página/sección</t>
  </si>
  <si>
    <t>GPT no verificable</t>
  </si>
  <si>
    <t>GPT confianza</t>
  </si>
  <si>
    <t>Claude fuente</t>
  </si>
  <si>
    <t>Claude lengua</t>
  </si>
  <si>
    <t>Claude orilla</t>
  </si>
  <si>
    <t>Claude territorio</t>
  </si>
  <si>
    <t>Claude alcance</t>
  </si>
  <si>
    <t>Claude fundamento</t>
  </si>
  <si>
    <t>Claude página/sección</t>
  </si>
  <si>
    <t>Claude no verificable</t>
  </si>
  <si>
    <t>Claude confianza</t>
  </si>
  <si>
    <t>Acuerdo lengua</t>
  </si>
  <si>
    <t>Acuerdo orilla</t>
  </si>
  <si>
    <t>Acuerdo territorio</t>
  </si>
  <si>
    <t>Acuerdo alcance</t>
  </si>
  <si>
    <t>Evidencia ambos</t>
  </si>
  <si>
    <t>Estado comparación</t>
  </si>
  <si>
    <t>Muestra Claude</t>
  </si>
  <si>
    <t>Cola excepción</t>
  </si>
  <si>
    <t>Revisión humana</t>
  </si>
  <si>
    <t>Decisión humana</t>
  </si>
  <si>
    <t>Listo para integrar</t>
  </si>
  <si>
    <t>Observaciones</t>
  </si>
  <si>
    <t>https://sidneymintz.net/sugar.php | https://www.penguinrandomhouse.com/books/322123/sweetness-and-power-by-sidney-w-mintz/</t>
  </si>
  <si>
    <t>La entrada agrupa Caribbean Transformations y Sweetness and Power. Las fuentes identifican dos libros diferentes; no existe una edición única sobre la cual consolidar los cuatro campos.</t>
  </si>
  <si>
    <t>página de autor, sección Sugar; ficha editorial de Sweetness and Power</t>
  </si>
  <si>
    <t>lengua consolidada de la entrada; orillas; territorio estudiado único; alcance comparativo</t>
  </si>
  <si>
    <t>La fuente sirve para confirmar la composición, no para cerrar T01. | Alertas GPT: entrada compuesta; falta fijar edición de Caribbean Transformations; división humana pendiente | Riesgo GPT propuesto: C</t>
  </si>
  <si>
    <t>https://www.annualreviews.org/content/journals/10.1146/annurev.an.21.100192.000315</t>
  </si>
  <si>
    <t>Caribe</t>
  </si>
  <si>
    <t>La ficha oficial identifica un único artículo en inglés cuyo objeto explícito es la región Caribe como frontera de teoría antropológica.</t>
  </si>
  <si>
    <t>ficha bibliográfica y resumen del artículo</t>
  </si>
  <si>
    <t>lugar de producción intelectual; diseño comparativo formal</t>
  </si>
  <si>
    <t>Caso factual adecuado para calibrar riesgo A. | Alertas GPT: Haití en tr no demuestra lengua ni territorio exclusivo del artículo. | Riesgo GPT propuesto: A</t>
  </si>
  <si>
    <t>https://www.penguinrandomhouse.com/books/134035/maroon-societies-by-richard-price/</t>
  </si>
  <si>
    <t>Caribe, América Latina y Estados Unidos</t>
  </si>
  <si>
    <t>hemisférico y multicaso</t>
  </si>
  <si>
    <t>La descripción editorial presenta un estudio sistemático de comunidades cimarronas en el Caribe, América Latina y Estados Unidos; Surinam no agota el territorio del volumen.</t>
  </si>
  <si>
    <t>descripción editorial</t>
  </si>
  <si>
    <t>lugar de producción intelectual; función específica de Surinam en tr</t>
  </si>
  <si>
    <t>Caso B por alcance hemisférico y volumen editado. | Alertas GPT: EE. UU./Surinam en tr mezcla sede o trayectoria con el alcance real del libro | Riesgo GPT propuesto: B</t>
  </si>
  <si>
    <t>https://revistas.uniatlantico.edu.co/index.php/Historia_Caribe/article/view/2403</t>
  </si>
  <si>
    <t>Totumo y provincia de Cartagena (1714–1767)</t>
  </si>
  <si>
    <t>La ficha oficial y el artículo fijan autoría, lengua, periodo y caso territorial. Colombia no se convierte en orilla de producción por mera afiliación del autor.</t>
  </si>
  <si>
    <t>resumen, cómo citar y páginas 215–247</t>
  </si>
  <si>
    <t>lugar de producción intelectual; alcance comparativo</t>
  </si>
  <si>
    <t>También confirma una corrección bibliográfica independiente de T01. | Alertas GPT: El corpus lo marcó como manifestación pese a ser un artículo académico con autoría. | Riesgo GPT propuesto: A</t>
  </si>
  <si>
    <t>https://archive.org/details/contrapunteocuba0000orti</t>
  </si>
  <si>
    <t>contrapunto comparativo entre tabaco y azúcar</t>
  </si>
  <si>
    <t>La fuente identifica Contrapunteo cubano del tabaco y el azúcar como una sola obra. Transculturación es un concepto central, no un segundo título autónomo en la referencia consultada.</t>
  </si>
  <si>
    <t>registro bibliográfico; capítulos del Contrapunteo</t>
  </si>
  <si>
    <t>lugar de producción intelectual; edición exacta usada por el Atlas</t>
  </si>
  <si>
    <t>No dividir automáticamente en dos libros. | Alertas GPT: entrada compuesta aparente; título contaminado por un concepto; normalización humana requerida | Riesgo GPT propuesto: C</t>
  </si>
  <si>
    <t>https://press.umich.edu/Books/P/Poetics-of-Relation</t>
  </si>
  <si>
    <t>La entrada une Poétique de la Relation y Le discours antillais. La ficha consultada documenta una traducción de la primera, no una edición común de ambas.</t>
  </si>
  <si>
    <t>ficha editorial y descripción</t>
  </si>
  <si>
    <t>lengua consolidada; orillas; territorio; alcance comparativo</t>
  </si>
  <si>
    <t>No se infiere francés solo por los títulos. | Alertas GPT: entrada compuesta; traducción y originales mezclados; requiere obras_componentes | Riesgo GPT propuesto: C</t>
  </si>
  <si>
    <t>https://books.google.com/books/about/History_of_the_Voice.html?id=AvVZAAAAMAAJ</t>
  </si>
  <si>
    <t>Nation Language y Tidalectics aparecen como conceptos o rótulos, no como dos unidades bibliográficas inequívocas bajo una edición identificada.</t>
  </si>
  <si>
    <t>registro de History of the Voice</t>
  </si>
  <si>
    <t>unidad bibliográfica; lengua de la entrada; orillas; territorio; alcance</t>
  </si>
  <si>
    <t>Requiere decisión humana sobre componentes antes del dictamen lingüístico. | Alertas GPT: entrada compuesta o conceptual; no debe migrarse como si fueran dos libros ya fijados | Riesgo GPT propuesto: C</t>
  </si>
  <si>
    <t>Michael Monahan - Creolizing Practices of Freedom (PDF, 2023) | https://fordhampress.com/the-creolizing-subject-hb-9780823234493.html</t>
  </si>
  <si>
    <t>Las fuentes confirman dos libros distintos, ambos en inglés. Creolizing nombra un procedimiento filosófico; no demuestra una comparación territorial ni Jamaica como orilla principal.</t>
  </si>
  <si>
    <t>PDF: página legal, índice e introducción; Fordham: ficha editorial</t>
  </si>
  <si>
    <t>orillas; territorio estudiado; alcance comparativo territorial</t>
  </si>
  <si>
    <t>Monahan permanece en revisión y listo_para_integrar=NO. | Alertas GPT: entrada compuesta 2011/2023; dividir o registrar obras_componentes antes de integrar | Riesgo GPT propuesto: C</t>
  </si>
  <si>
    <t>https://dialnet.unirioja.es/descarga/articulo/5888296.pdf</t>
  </si>
  <si>
    <t>La búsqueda localizó Un silencio que habla: Las sonoridades narradas del Chandé en el Caribe seco colombiano, de Esperanza Villa y Wilmer Villa. No coincide con el título ni la autoría borrador/archivo del registro del Atlas.</t>
  </si>
  <si>
    <t>portada, resumen y referencia del artículo candidato</t>
  </si>
  <si>
    <t>identidad de la entrada; lengua; orillas; territorio; alcance</t>
  </si>
  <si>
    <t>Hallazgo crítico: completar o retirar la entrada publicada. | Alertas GPT: posible referencia incorrecta o incompleta; no adoptar el artículo candidato sin decisión humana | Riesgo GPT propuesto: C</t>
  </si>
  <si>
    <t>https://press.uchicago.edu/ucp/books/book/chicago/N/bo21165284.html</t>
  </si>
  <si>
    <t>La ficha editorial identifica el libro en inglés y delimita su análisis político y etnográfico a Guadalupe, con especial atención a la movilización de 2009.</t>
  </si>
  <si>
    <t>lugar de producción intelectual; Puerto Rico como territorio estudiado; comparación formal</t>
  </si>
  <si>
    <t>La ambigüedad heredada justifica riesgo B. | Alertas GPT: Puerto Rico y francófono en tr no se sostienen como territorio o lengua de esta edición | Riesgo GPT propuesto: B</t>
  </si>
  <si>
    <t>https://www.bloomsbury.com/us/reparations-for-slavery-and-the-slave-trade-9781350297661/</t>
  </si>
  <si>
    <t>mundo atlántico</t>
  </si>
  <si>
    <t>transnacional y comparativo</t>
  </si>
  <si>
    <t>La editorial describe explícitamente una historia comparativa y transnacional de las reparaciones por la esclavitud y la trata atlántica.</t>
  </si>
  <si>
    <t>descripción editorial y datos de edición</t>
  </si>
  <si>
    <t>lugar de producción intelectual; lista exhaustiva de territorios</t>
  </si>
  <si>
    <t>Se conserva C por la escala y la ambigüedad de edición. | Alertas GPT: debe fijarse si el corpus refiere la edición de 2017 o la revisada de 2023 | Riesgo GPT propuesto: C</t>
  </si>
  <si>
    <t>https://ehrafworldcultures.yale.edu/cultures/su01/documents/001</t>
  </si>
  <si>
    <t>El registro identifica el mismo título, año, editorial y estudio de Puerto Rico presente en stewardpuertorico.</t>
  </si>
  <si>
    <t>registro bibliográfico</t>
  </si>
  <si>
    <t>lugar de producción intelectual; identificador que debe sobrevivir; reparto de relaciones</t>
  </si>
  <si>
    <t>No integrar T01 antes de resolver el identificador superviviente. | Alertas GPT: duplicado exacto con stewardpuertorico; fusión humana obligatoria | Riesgo GPT propuesto: C</t>
  </si>
  <si>
    <t>https://researchprofiles.ku.dk/en/persons/trw312-trw312/ | https://catalogue.nla.gov.au/catalog/1648522</t>
  </si>
  <si>
    <t>St. John / Indias Occidentales Danesas</t>
  </si>
  <si>
    <t>Las fuentes identifican una obra en inglés sobre tres siglos de vida afrocaribeña en St. John. La temporalidad colonial no es una segunda lengua.</t>
  </si>
  <si>
    <t>lista de publicaciones; registro bibliográfico</t>
  </si>
  <si>
    <t>lugar de producción intelectual; diseño comparativo</t>
  </si>
  <si>
    <t>Se mantiene B por la mezcla temporal y territorial de tr. | Alertas GPT: tr mezcla estatus político presente e historia colonial | Riesgo GPT propuesto: B</t>
  </si>
  <si>
    <t>https://www.ucpress.edu/book/9780520268104/mama-lola</t>
  </si>
  <si>
    <t>Brooklyn y diáspora haitiana vinculada al Vodou</t>
  </si>
  <si>
    <t>La ficha editorial fija una edición inglesa y una etnografía centrada en una sacerdotisa de Vodou en Brooklyn; la dimensión haitiana es diaspórica, no una simple etiqueta nacional.</t>
  </si>
  <si>
    <t>ficha de la 3.ª edición y descripción</t>
  </si>
  <si>
    <t>lugar de producción intelectual; comparación formal</t>
  </si>
  <si>
    <t>Caso B por la función diaspórica y las distintas ediciones. | Alertas GPT: tr convierte la diáspora en una nota de procedencia sin función explícita | Riesgo GPT propuesto: B</t>
  </si>
  <si>
    <t>https://books.google.com/books/about/The_Repeating_Island.html?id=yTYWZnlz0akC</t>
  </si>
  <si>
    <t>El registro documenta The Repeating Island como traducción inglesa de la obra de Benítez-Rojo. La entrada mezcla el título español y el inglés bajo un solo identificador sin fijar edición.</t>
  </si>
  <si>
    <t>registro bibliográfico, datos de traducción</t>
  </si>
  <si>
    <t>lengua única de la entrada; lugar de producción intelectual; alcance comparativo; datos de la edición española</t>
  </si>
  <si>
    <t>No son necesariamente dos obras distintas. | Alertas GPT: original y traducción mezclados; registrar componentes o edición principal | Riesgo GPT propuesto: C</t>
  </si>
  <si>
    <t>https://www.jstor.org/stable/j.ctvx073vv</t>
  </si>
  <si>
    <t>Caribe y diáspora caribeña</t>
  </si>
  <si>
    <t>La descripción documenta una obra en inglés sobre sexualidades en literatura, música, cine y cultura popular del Caribe y su diáspora; no prueba por sí sola un diseño comparativo entre cuatro tradiciones lingüísticas.</t>
  </si>
  <si>
    <t>descripción del libro</t>
  </si>
  <si>
    <t>lugar de producción intelectual; comparación formal entre anglófono, francófono, hispanófono y neerlandófono</t>
  </si>
  <si>
    <t>Requiere índice o introducción para cerrar el alcance. | Alertas GPT: tr confunde lenguas del corpus estudiado con lengua de publicación | Riesgo GPT propuesto: C</t>
  </si>
  <si>
    <t>https://floridapress.org/9780813048611/black-power-in-the-caribbean/</t>
  </si>
  <si>
    <t>regional y multicaso</t>
  </si>
  <si>
    <t>La editorial identifica un volumen colectivo en inglés que reúne manifestaciones de Black Power en varios territorios caribeños.</t>
  </si>
  <si>
    <t>lugar de producción intelectual; si el diseño es comparativo en sentido estricto</t>
  </si>
  <si>
    <t>ChatGPT propone bajar de C a B; la dirección no decide todavía. | Alertas GPT: anglófono Caribe describe el campo del volumen, no la lengua de cada caso | Riesgo GPT propuesto: B</t>
  </si>
  <si>
    <t>https://www.swpbook.com/boeken/3/antillen-en-caribbean/966/di-ki-manera | https://dspace.library.uu.nl/bitstreams/e5fb7e89-d983-4bab-9afa-7f9e1bbc7a45/download</t>
  </si>
  <si>
    <t>Curaçao (1863–1917)</t>
  </si>
  <si>
    <t>La ficha editorial y la tesis identifican una sola obra en inglés sobre la vida social afrocurazoleña entre 1863 y 1917.</t>
  </si>
  <si>
    <t>ficha editorial; portada y resumen de la tesis</t>
  </si>
  <si>
    <t>Caso clave para demostrar que tr mezclaba territorio y lengua. | Alertas GPT: neerlandófono en tr no corresponde a la lengua de esta edición | Riesgo GPT propuesto: A</t>
  </si>
  <si>
    <t>https://ianrandlepublishers.com/product/nannys-asafo-warriors-the-jamaican-maroons-african-experience/</t>
  </si>
  <si>
    <t>Jamaica y sociedades cimarronas jamaicanas</t>
  </si>
  <si>
    <t>La edición de Ian Randle está en inglés y estudia a Nanny y las sociedades cimarronas jamaicanas mediante un enfoque etnohistórico. El alemán corresponde a la obra de origen, no a esta edición.</t>
  </si>
  <si>
    <t>ficha editorial; información de edición</t>
  </si>
  <si>
    <t>Caso B útil para calibrar traducciones. | Alertas GPT: tr mezcla lengua de la traducción, original alemán y procedencia autoral | Riesgo GPT propuesto: B</t>
  </si>
  <si>
    <t>https://www.haymarketbooks.org/books/1235-the-battle-for-paradise</t>
  </si>
  <si>
    <t>La ficha editorial delimita un libro en inglés sobre Puerto Rico después de la crisis financiera y el huracán María. Canadá no describe la lengua ni el territorio del libro.</t>
  </si>
  <si>
    <t>Caso B paradigmático de falsa equivalencia entre autoría y edición. | Alertas GPT: tr mezcla procedencia de la autora, lengua y territorio estudiado | Riesgo GPT propuesto: B</t>
  </si>
  <si>
    <t>https://www.eltiempo.com/colombia/barranquilla/este-libro-recoge-la-vida-de-los-negros-de-cristo-rey-edgar-rey-sinning-presento-en-la-filbac-trabajo-sobre-la-memoria-africana-en-santa-marta-3506657</t>
  </si>
  <si>
    <t>barrio Cristo Rey, Santa Marta; trayectorias desde San Pablo, Barranquilla y Maicao</t>
  </si>
  <si>
    <t>La entrevista al autor identifica una etnografía sobre la memoria negra de Cristo Rey y confirma tres hitos editoriales. No existe un solo año de publicación para migrar sin decisión.</t>
  </si>
  <si>
    <t>entrevista, apartados sobre publicación y recorrido comunitario</t>
  </si>
  <si>
    <t>lugar de producción intelectual; edición principal; alcance comparativo</t>
  </si>
  <si>
    <t>Caso C bibliográfico, aunque T01 lingüístico es verificable. | Alertas GPT: temporalidad editorial múltiple; fijar edición y conservar reediciones por separado | Riesgo GPT propuesto: C</t>
  </si>
  <si>
    <t>https://search.library.wisc.edu/catalog/9913884231702121</t>
  </si>
  <si>
    <t>metodologías comparativas y formaciones archipelágicas</t>
  </si>
  <si>
    <t>El registro identifica un volumen en inglés cuyo subtítulo declara nuevas metodologías comparativas y formaciones disciplinarias; no delimita un territorio único.</t>
  </si>
  <si>
    <t>lugar de producción intelectual; territorios específicos comparados</t>
  </si>
  <si>
    <t>Caso C metodológico. | Alertas GPT: métodos comparados no es una lengua ni una procedencia | Riesgo GPT propuesto: C</t>
  </si>
  <si>
    <t>https://www.dukeupress.edu/modernity-disavowed</t>
  </si>
  <si>
    <t>Haití/Saint-Domingue, Cuba y República Dominicana</t>
  </si>
  <si>
    <t>La editorial y el índice documentan una obra en inglés que articula la Revolución haitiana con archivos y culturas de Cuba, República Dominicana y Haití.</t>
  </si>
  <si>
    <t>descripción editorial e índice</t>
  </si>
  <si>
    <t>Se mantiene C hasta que Claude evalúe el tipo de comparación. | Alertas GPT: comparado sin especificación en tr ocultaba un alcance multiterritorial | Riesgo GPT propuesto: C</t>
  </si>
  <si>
    <t>El registro identifica el mismo título, año, editorial y estudio de Puerto Rico presente en steward.</t>
  </si>
  <si>
    <t>No integrar T01 antes de resolver el identificador superviviente. | Alertas GPT: duplicado exacto con steward; fusión humana obligatoria | Riesgo GPT propuesto: C</t>
  </si>
  <si>
    <t>Atlas 2.0 · prompts controlados</t>
  </si>
  <si>
    <t>Copiar cada bloque junto con las fuentes y las filas correspondientes. Para Claude, no incluir la salida de ChatGPT durante el dictamen ciego.</t>
  </si>
  <si>
    <t>Modelo</t>
  </si>
  <si>
    <t>Componente</t>
  </si>
  <si>
    <t>Texto operativo</t>
  </si>
  <si>
    <t>Entrada adjunta</t>
  </si>
  <si>
    <t>Salida</t>
  </si>
  <si>
    <t>Control</t>
  </si>
  <si>
    <t>Ambos</t>
  </si>
  <si>
    <t>Reglas compartidas</t>
  </si>
  <si>
    <t>Conserva id y tr_original literalmente. No infieras lengua, orilla o territorio por nacionalidad, editorial o topónimo aislado. Distingue dato comprobado, interpretación, hipótesis y no verificable. Toda propuesta debe citar fuente y página/sección. No apruebes ni confirmes decisiones académicas.</t>
  </si>
  <si>
    <t>Fila de entrada + edición/fuente identificada.</t>
  </si>
  <si>
    <t>Mismo esquema JSON.</t>
  </si>
  <si>
    <t>Una salida por id.</t>
  </si>
  <si>
    <t>Rol</t>
  </si>
  <si>
    <t>Actúa como primer analista documental de T01. Verifica primero si la entrada representa una obra, varias obras o una edición/traducción concreta. Propón riesgo A/B/C y completa solo lo sustentable.</t>
  </si>
  <si>
    <t>Lote de 20–25 entradas y sus fuentes.</t>
  </si>
  <si>
    <t>JSON por entrada.</t>
  </si>
  <si>
    <t>No completa revisión humana, QA ni aprobación.</t>
  </si>
  <si>
    <t>Tarea</t>
  </si>
  <si>
    <t>Procesa la entrada en este orden: granularidad bibliográfica; lengua de la edición; función de cada orilla; territorio efectivamente estudiado; tipo de comparación; suficiencia de evidencia. Señala contradicciones y campos no verificables.</t>
  </si>
  <si>
    <t>Esquema</t>
  </si>
  <si>
    <t>Devuelve un objeto JSON por entrada con estas claves exactas: id, riesgo_propuesto, fuente_consultada, lengua_publicacion, orilla_produccion, territorio_estudiado, alcance_comparativo, fundamento, pagina_o_seccion, campos_no_verificables, confianza, alertas. Usa null cuando no haya evidencia; no inventes.</t>
  </si>
  <si>
    <t>Actúa como revisor independiente y ciego de T01. No presupongas ni reconstruyas la respuesta de ChatGPT. Evalúa la misma fuente y produce tu propio dictamen.</t>
  </si>
  <si>
    <t>Casos B/C y muestra A; mismas fuentes, sin salida GPT.</t>
  </si>
  <si>
    <t>Busca errores de edición, traducción, entrada compuesta, función territorial y falsa equivalencia entre lengua, trayectoria, territorio, escala, tema o método. Si la fuente no basta, devuelve null y explica el límite.</t>
  </si>
  <si>
    <t>Comparador</t>
  </si>
  <si>
    <t>Compara los cuatro campos solo después de recibir ambas salidas. Coincidencia sin fuente y localización suficiente se marca consenso_sin_evidencia_suficiente; cualquier diferencia sustantiva se marca desacuerdo; las entradas compuestas y los casos C pasan a decisión académica.</t>
  </si>
  <si>
    <t>Dos JSON del mismo id.</t>
  </si>
  <si>
    <t>Estado de comparación + cola de excepción.</t>
  </si>
  <si>
    <t>No decide el valor correcto.</t>
  </si>
  <si>
    <t>Cierre</t>
  </si>
  <si>
    <t>Revisa todos los C, desacuerdos, evidencia insuficiente y la muestra. Registra decisión, responsable, fecha, QA y aprobación.</t>
  </si>
  <si>
    <t>Control IA y fuentes.</t>
  </si>
  <si>
    <t>Patrón aprobado o caso abierto.</t>
  </si>
  <si>
    <t>Solo aprobación humana habilita listo_para_integrar.</t>
  </si>
  <si>
    <t>Atlas 2.0 · fuentes de calibración T01</t>
  </si>
  <si>
    <t>24 fuentes o conjuntos documentales localizados. Su presencia no equivale a aprobación: las entradas compuestas, duplicadas o no equivalentes permanecen abiertas.</t>
  </si>
  <si>
    <t>Fuente principal</t>
  </si>
  <si>
    <t>Edición o alcance documentado</t>
  </si>
  <si>
    <t>Suficiencia</t>
  </si>
  <si>
    <t>Observación</t>
  </si>
  <si>
    <t>Estado Claude</t>
  </si>
  <si>
    <t>página de autor + ficha editorial</t>
  </si>
  <si>
    <t>Sweetness and Power verificada; Caribbean Transformations solo identificada</t>
  </si>
  <si>
    <t>parcial</t>
  </si>
  <si>
    <t>La fuente sirve para confirmar la composición, no para cerrar T01. entrada compuesta; falta fijar edición de Caribbean Transformations; división humana pendiente</t>
  </si>
  <si>
    <t>página oficial de revista</t>
  </si>
  <si>
    <t>Annual Review of Anthropology 21 (1992), pp. 19–42</t>
  </si>
  <si>
    <t>suficiente_para_T01</t>
  </si>
  <si>
    <t>Caso factual adecuado para calibrar riesgo A. Haití en tr no demuestra lengua ni territorio exclusivo del artículo.</t>
  </si>
  <si>
    <t>artículo y ficha oficial de revista</t>
  </si>
  <si>
    <t>Historia Caribe 15(37), 2020, pp. 215–247</t>
  </si>
  <si>
    <t>También confirma una corrección bibliográfica independiente de T01. El corpus lo marcó como manifestación pese a ser un artículo académico con autoría.</t>
  </si>
  <si>
    <t>ficha editorial</t>
  </si>
  <si>
    <t>traducción inglesa de Poétique de la Relation; Le discours antillais no fijado</t>
  </si>
  <si>
    <t>No se infiere francés solo por los títulos. entrada compuesta; traducción y originales mezclados; requiere obras_componentes</t>
  </si>
  <si>
    <t>catálogo bibliográfico</t>
  </si>
  <si>
    <t>History of the Voice (1984) documenta nation language; Tidalectics no está fijada como obra</t>
  </si>
  <si>
    <t>insuficiente</t>
  </si>
  <si>
    <t>Requiere decisión humana sobre componentes antes del dictamen lingüístico. entrada compuesta o conceptual; no debe migrarse como si fueran dos libros ya fijados</t>
  </si>
  <si>
    <t>ficha editorial + tesis doctoral</t>
  </si>
  <si>
    <t>SWP Publishers, 2007</t>
  </si>
  <si>
    <t>Caso clave para demostrar que tr mezclaba territorio y lengua. neerlandófono en tr no corresponde a la lengua de esta edición</t>
  </si>
  <si>
    <t>Maroon Societies, edición en inglés</t>
  </si>
  <si>
    <t>Caso B por alcance hemisférico y volumen editado. EE. UU./Surinam en tr mezcla sede o trayectoria con el alcance real del libro</t>
  </si>
  <si>
    <t>ficha editorial oficial</t>
  </si>
  <si>
    <t>University of Chicago Press, 2015</t>
  </si>
  <si>
    <t>La ambigüedad heredada justifica riesgo B. Puerto Rico y francófono en tr no se sostienen como territorio o lengua de esta edición</t>
  </si>
  <si>
    <t>perfil universitario + catálogo nacional</t>
  </si>
  <si>
    <t>University Press of Florida, 1985</t>
  </si>
  <si>
    <t>Se mantiene B por la mezcla temporal y territorial de tr. tr mezcla estatus político presente e historia colonial</t>
  </si>
  <si>
    <t>University of California Press, 3.ª ed., 2011</t>
  </si>
  <si>
    <t>Caso B por la función diaspórica y las distintas ediciones. tr convierte la diáspora en una nota de procedencia sin función explícita</t>
  </si>
  <si>
    <t>Haymarket Books, 2018</t>
  </si>
  <si>
    <t>Caso B paradigmático de falsa equivalencia entre autoría y edición. tr mezcla procedencia de la autora, lengua y territorio estudiado</t>
  </si>
  <si>
    <t>Ian Randle Publishers, traducción inglesa, 2011</t>
  </si>
  <si>
    <t>Caso B útil para calibrar traducciones. tr mezcla lengua de la traducción, original alemán y procedencia autoral</t>
  </si>
  <si>
    <t>libro completo + ficha editorial oficial</t>
  </si>
  <si>
    <t>Rowman &amp; Littlefield, 2023; Fordham University Press, 2011</t>
  </si>
  <si>
    <t>suficiente_para_alerta_y_lengua</t>
  </si>
  <si>
    <t>Monahan permanece en revisión y listo_para_integrar=NO. entrada compuesta 2011/2023; dividir o registrar obras_componentes antes de integrar</t>
  </si>
  <si>
    <t>obra original 2017; edición revisada y ampliada 2023</t>
  </si>
  <si>
    <t>Se conserva C por la escala y la ambigüedad de edición. debe fijarse si el corpus refiere la edición de 2017 o la revisada de 2023</t>
  </si>
  <si>
    <t>libro en plataforma académica</t>
  </si>
  <si>
    <t>University Press of Florida, 2014</t>
  </si>
  <si>
    <t>parcial_para_alcance</t>
  </si>
  <si>
    <t>Requiere índice o introducción para cerrar el alcance. tr confunde lenguas del corpus estudiado con lengua de publicación</t>
  </si>
  <si>
    <t>University Press of Florida, 2014/2015</t>
  </si>
  <si>
    <t>ChatGPT propone bajar de C a B; la dirección no decide todavía. anglófono Caribe describe el campo del volumen, no la lengua de cada caso</t>
  </si>
  <si>
    <t>catálogo universitario</t>
  </si>
  <si>
    <t>Rowman &amp; Littlefield, 2020</t>
  </si>
  <si>
    <t>Caso C metodológico. métodos comparados no es una lengua ni una procedencia</t>
  </si>
  <si>
    <t>Duke University Press, 2004</t>
  </si>
  <si>
    <t>Se mantiene C hasta que Claude evalúe el tipo de comparación. comparado sin especificación en tr ocultaba un alcance multiterritorial</t>
  </si>
  <si>
    <t>registro y libro digitalizado</t>
  </si>
  <si>
    <t>Biblioteca Ayacucho, 1978; original 1940</t>
  </si>
  <si>
    <t>suficiente_para_alerta_y_T01</t>
  </si>
  <si>
    <t>No dividir automáticamente en dos libros. entrada compuesta aparente; título contaminado por un concepto; normalización humana requerida</t>
  </si>
  <si>
    <t>traducción inglesa, Duke University Press, 1996</t>
  </si>
  <si>
    <t>No son necesariamente dos obras distintas. original y traducción mezclados; registrar componentes o edición principal</t>
  </si>
  <si>
    <t>registro académico</t>
  </si>
  <si>
    <t>University of Illinois Press, 1956</t>
  </si>
  <si>
    <t>suficiente_para_T01_y_fusion</t>
  </si>
  <si>
    <t>No integrar T01 antes de resolver el identificador superviviente. duplicado exacto con stewardpuertorico; fusión humana obligatoria</t>
  </si>
  <si>
    <t>No integrar T01 antes de resolver el identificador superviviente. duplicado exacto con steward; fusión humana obligatoria</t>
  </si>
  <si>
    <t>artículo académico candidato</t>
  </si>
  <si>
    <t>Cuadernos de Literatura del Caribe e Hispanoamérica 24 (2016), pp. 87–107</t>
  </si>
  <si>
    <t>insuficiente_para_identidad</t>
  </si>
  <si>
    <t>Hallazgo crítico: completar o retirar la entrada publicada. posible referencia incorrecta o incompleta; no adoptar el artículo candidato sin decisión humana</t>
  </si>
  <si>
    <t>entrevista periodística al autor</t>
  </si>
  <si>
    <t>ediciones 1998, 2006 y reedición 2025</t>
  </si>
  <si>
    <t>suficiente_para_T01_con_alerta_editorial</t>
  </si>
  <si>
    <t>Caso C bibliográfico, aunque T01 lingüístico es verificable. temporalidad editorial múltiple; fijar edición y conservar reediciones por separado</t>
  </si>
  <si>
    <t>Control de avance</t>
  </si>
  <si>
    <t>Entradas de calibración</t>
  </si>
  <si>
    <t>Dictámenes GPT emitidos</t>
  </si>
  <si>
    <t>Fuentes suficientes o suficientes con alerta</t>
  </si>
  <si>
    <t>Fuentes parciales/insuficientes/candidatas</t>
  </si>
  <si>
    <t>Dictámenes Claude recibidos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</si>
</sst>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1"/>
      <name val="Carlito"/>
    </font>
    <font>
      <b/>
      <sz val="18"/>
      <color rgb="FFFFFFFF"/>
      <name val="Carlito"/>
    </font>
    <font>
      <i/>
      <sz val="10"/>
      <color rgb="FF1F2A27"/>
      <name val="Carlito"/>
    </font>
    <font>
      <b/>
      <sz val="10"/>
      <color rgb="FFFFFFFF"/>
      <name val="Carlito"/>
    </font>
    <font>
      <sz val="9"/>
      <color rgb="FF1F2A27"/>
      <name val="Carlito"/>
    </font>
    <font>
      <sz val="10"/>
      <color rgb="FF1F2A27"/>
      <name val="Carlito"/>
    </font>
    <font>
      <b/>
      <sz val="11"/>
      <color rgb="FF1F2A27"/>
      <name val="Carlito"/>
    </font>
    <font>
      <sz val="9"/>
      <color rgb="FF26332F"/>
      <name val="Carlito"/>
    </font>
    <font>
      <i/>
      <sz val="11"/>
      <color rgb="FF26332F"/>
      <name val="Carlito"/>
    </font>
    <font>
      <b/>
      <sz val="11"/>
      <color rgb="FF26332F"/>
      <name val="Carlito"/>
    </font>
    <font>
      <b/>
      <sz val="11"/>
      <color rgb="FFFFFFFF"/>
      <name val="Carlito"/>
    </font>
    <font>
      <sz val="11"/>
      <color rgb="FF26332F"/>
      <name val="Carlito"/>
    </font>
    <font>
      <b/>
      <sz val="11"/>
      <color rgb="FF284F43"/>
      <name val="Carlito"/>
    </font>
  </fonts>
  <fills count="20">
    <fill>
      <patternFill patternType="none"/>
    </fill>
    <fill>
      <patternFill patternType="gray125"/>
    </fill>
    <fill>
      <patternFill patternType="solid">
        <fgColor rgb="FF2E5147"/>
      </patternFill>
    </fill>
    <fill>
      <patternFill patternType="solid">
        <fgColor rgb="FFF7F1E5"/>
      </patternFill>
    </fill>
    <fill>
      <patternFill patternType="solid">
        <fgColor rgb="FFE6EFEA"/>
      </patternFill>
    </fill>
    <fill>
      <patternFill patternType="solid">
        <fgColor rgb="FFC9A24D"/>
      </patternFill>
    </fill>
    <fill>
      <patternFill patternType="solid">
        <fgColor rgb="FFF5EBCF"/>
      </patternFill>
    </fill>
    <fill>
      <patternFill patternType="solid">
        <fgColor rgb="FFBFE3F2"/>
      </patternFill>
    </fill>
    <fill>
      <patternFill patternType="solid">
        <fgColor rgb="FFFFFFFF"/>
      </patternFill>
    </fill>
    <fill>
      <patternFill patternType="solid">
        <fgColor rgb="FFFAF0CC"/>
      </patternFill>
    </fill>
    <fill>
      <patternFill patternType="solid">
        <fgColor rgb="FF284F43"/>
      </patternFill>
    </fill>
    <fill>
      <patternFill patternType="solid">
        <fgColor rgb="FFF7F0E3"/>
      </patternFill>
    </fill>
    <fill>
      <patternFill patternType="solid">
        <fgColor rgb="FFE9F6FB"/>
      </patternFill>
    </fill>
    <fill>
      <patternFill patternType="solid">
        <fgColor rgb="FFF6D7CF"/>
      </patternFill>
    </fill>
    <fill>
      <patternFill patternType="solid">
        <fgColor rgb="FFE6F0EA"/>
      </patternFill>
    </fill>
    <fill>
      <patternFill patternType="solid">
        <fgColor rgb="FF284F43"/>
      </patternFill>
    </fill>
    <fill>
      <patternFill patternType="solid">
        <fgColor rgb="FFF7F0E3"/>
      </patternFill>
    </fill>
    <fill>
      <patternFill patternType="solid">
        <fgColor rgb="FF284F43"/>
      </patternFill>
    </fill>
    <fill>
      <patternFill patternType="solid">
        <fgColor rgb="FFF7F0E3"/>
      </patternFill>
    </fill>
    <fill>
      <patternFill patternType="solid">
        <fgColor rgb="FFEFF3EF"/>
      </patternFill>
    </fill>
  </fills>
  <borders count="36">
    <border>
      <left/>
      <right/>
      <top/>
      <bottom/>
      <diagonal/>
    </border>
    <border>
      <left style="thin">
        <color rgb="FF2E5147"/>
      </left>
      <right/>
      <top style="thin">
        <color rgb="FF2E5147"/>
      </top>
      <bottom style="thin">
        <color rgb="FF2E5147"/>
      </bottom>
      <diagonal/>
    </border>
    <border>
      <left/>
      <right style="thin">
        <color rgb="FF2E5147"/>
      </right>
      <top style="thin">
        <color rgb="FF2E5147"/>
      </top>
      <bottom style="thin">
        <color rgb="FF2E5147"/>
      </bottom>
      <diagonal/>
    </border>
    <border>
      <left/>
      <right/>
      <top/>
      <bottom style="thin">
        <color rgb="FFD7DEDA"/>
      </bottom>
      <diagonal/>
    </border>
    <border>
      <left/>
      <right/>
      <top style="thin">
        <color rgb="FFD7DEDA"/>
      </top>
      <bottom style="thin">
        <color rgb="FFD7DEDA"/>
      </bottom>
      <diagonal/>
    </border>
    <border>
      <left/>
      <right/>
      <top style="thin">
        <color rgb="FFD7DEDA"/>
      </top>
      <bottom/>
      <diagonal/>
    </border>
    <border>
      <left style="thin">
        <color rgb="FF2E5147"/>
      </left>
      <right/>
      <top/>
      <bottom style="thin">
        <color rgb="FFD7DEDA"/>
      </bottom>
      <diagonal/>
    </border>
    <border>
      <left/>
      <right style="thin">
        <color rgb="FF2E5147"/>
      </right>
      <top/>
      <bottom style="thin">
        <color rgb="FFD7DEDA"/>
      </bottom>
      <diagonal/>
    </border>
    <border>
      <left style="thin">
        <color rgb="FF2E5147"/>
      </left>
      <right/>
      <top style="thin">
        <color rgb="FFD7DEDA"/>
      </top>
      <bottom style="thin">
        <color rgb="FFD7DEDA"/>
      </bottom>
      <diagonal/>
    </border>
    <border>
      <left/>
      <right style="thin">
        <color rgb="FF2E5147"/>
      </right>
      <top style="thin">
        <color rgb="FFD7DEDA"/>
      </top>
      <bottom style="thin">
        <color rgb="FFD7DEDA"/>
      </bottom>
      <diagonal/>
    </border>
    <border>
      <left style="thin">
        <color rgb="FF2E5147"/>
      </left>
      <right/>
      <top style="thin">
        <color rgb="FFD7DEDA"/>
      </top>
      <bottom style="thin">
        <color rgb="FF2E5147"/>
      </bottom>
      <diagonal/>
    </border>
    <border>
      <left/>
      <right style="thin">
        <color rgb="FF2E5147"/>
      </right>
      <top style="thin">
        <color rgb="FFD7DEDA"/>
      </top>
      <bottom style="thin">
        <color rgb="FF2E5147"/>
      </bottom>
      <diagonal/>
    </border>
    <border>
      <left/>
      <right/>
      <top style="thin">
        <color rgb="FF2E5147"/>
      </top>
      <bottom style="thin">
        <color rgb="FF2E5147"/>
      </bottom>
      <diagonal/>
    </border>
    <border>
      <left/>
      <right/>
      <top/>
      <bottom style="thin">
        <color rgb="FFCAD8D1"/>
      </bottom>
      <diagonal/>
    </border>
    <border>
      <left/>
      <right/>
      <top style="thin">
        <color rgb="FFCAD8D1"/>
      </top>
      <bottom style="thin">
        <color rgb="FFCAD8D1"/>
      </bottom>
      <diagonal/>
    </border>
    <border>
      <left/>
      <right/>
      <top style="thin">
        <color rgb="FFCAD8D1"/>
      </top>
      <bottom/>
      <diagonal/>
    </border>
    <border>
      <left/>
      <right/>
      <top/>
      <bottom style="thin">
        <color rgb="FFE6D39D"/>
      </bottom>
      <diagonal/>
    </border>
    <border>
      <left/>
      <right/>
      <top style="thin">
        <color rgb="FFE6D39D"/>
      </top>
      <bottom style="thin">
        <color rgb="FFE6D39D"/>
      </bottom>
      <diagonal/>
    </border>
    <border>
      <left/>
      <right/>
      <top style="thin">
        <color rgb="FFE6D39D"/>
      </top>
      <bottom/>
      <diagonal/>
    </border>
    <border>
      <left/>
      <right/>
      <top/>
      <bottom style="thin">
        <color rgb="FFC9D4CF"/>
      </bottom>
      <diagonal/>
    </border>
    <border>
      <left/>
      <right/>
      <top style="thin">
        <color rgb="FFC9D4CF"/>
      </top>
      <bottom style="thin">
        <color rgb="FFC9D4CF"/>
      </bottom>
      <diagonal/>
    </border>
    <border>
      <left/>
      <right/>
      <top style="thin">
        <color rgb="FFC9D4CF"/>
      </top>
      <bottom style="thin">
        <color rgb="FFD7DEDA"/>
      </bottom>
      <diagonal/>
    </border>
    <border>
      <left style="thin">
        <color rgb="FF284F43"/>
      </left>
      <right/>
      <top style="thin">
        <color rgb="FF284F43"/>
      </top>
      <bottom style="thin">
        <color rgb="FF284F43"/>
      </bottom>
      <diagonal/>
    </border>
    <border>
      <left/>
      <right/>
      <top style="thin">
        <color rgb="FF284F43"/>
      </top>
      <bottom style="thin">
        <color rgb="FF284F43"/>
      </bottom>
      <diagonal/>
    </border>
    <border>
      <left/>
      <right style="thin">
        <color rgb="FF284F43"/>
      </right>
      <top style="thin">
        <color rgb="FF284F43"/>
      </top>
      <bottom style="thin">
        <color rgb="FF284F43"/>
      </bottom>
      <diagonal/>
    </border>
    <border>
      <left/>
      <right/>
      <top style="thin">
        <color rgb="FFC9D4CF"/>
      </top>
      <bottom/>
      <diagonal/>
    </border>
    <border>
      <left/>
      <right/>
      <top/>
      <bottom style="thin">
        <color rgb="FF284F43"/>
      </bottom>
      <diagonal/>
    </border>
    <border>
      <left/>
      <right/>
      <top/>
      <bottom style="thin">
        <color rgb="FFD9E0DC"/>
      </bottom>
      <diagonal/>
    </border>
    <border>
      <left/>
      <right/>
      <top style="thin">
        <color rgb="FFD9E0DC"/>
      </top>
      <bottom style="thin">
        <color rgb="FFD9E0DC"/>
      </bottom>
      <diagonal/>
    </border>
    <border>
      <left/>
      <right/>
      <top style="thin">
        <color rgb="FFD9E0DC"/>
      </top>
      <bottom/>
      <diagonal/>
    </border>
    <border>
      <left style="thin">
        <color rgb="FFC9A24D"/>
      </left>
      <right/>
      <top style="thin">
        <color rgb="FFC9A24D"/>
      </top>
      <bottom/>
      <diagonal/>
    </border>
    <border>
      <left style="thin">
        <color rgb="FFC9A24D"/>
      </left>
      <right/>
      <top/>
      <bottom/>
      <diagonal/>
    </border>
    <border>
      <left style="thin">
        <color rgb="FFC9A24D"/>
      </left>
      <right/>
      <top/>
      <bottom style="thin">
        <color rgb="FFC9A24D"/>
      </bottom>
      <diagonal/>
    </border>
    <border>
      <left style="thin">
        <color rgb="FFC9A24D"/>
      </left>
      <right style="thin">
        <color rgb="FFC9A24D"/>
      </right>
      <top style="thin">
        <color rgb="FFC9A24D"/>
      </top>
      <bottom/>
      <diagonal/>
    </border>
    <border>
      <left style="thin">
        <color rgb="FFC9A24D"/>
      </left>
      <right style="thin">
        <color rgb="FFC9A24D"/>
      </right>
      <top/>
      <bottom/>
      <diagonal/>
    </border>
    <border>
      <left style="thin">
        <color rgb="FFC9A24D"/>
      </left>
      <right style="thin">
        <color rgb="FFC9A24D"/>
      </right>
      <top/>
      <bottom style="thin">
        <color rgb="FFC9A24D"/>
      </bottom>
      <diagonal/>
    </border>
  </borders>
  <cellStyleXfs count="1">
    <xf numFmtId="0" fontId="0" fillId="0" borderId="0"/>
  </cellStyleXfs>
  <cellXfs count="97">
    <xf numFmtId="0" fontId="0" fillId="0" borderId="0" xfId="0"/>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8" xfId="0" applyFont="1" applyBorder="1" applyAlignment="1">
      <alignment vertical="center" wrapText="1"/>
    </xf>
    <xf numFmtId="0" fontId="4" fillId="0" borderId="10" xfId="0" applyFont="1" applyBorder="1" applyAlignment="1">
      <alignment vertical="center" wrapText="1"/>
    </xf>
    <xf numFmtId="3" fontId="4" fillId="0" borderId="7" xfId="0" applyNumberFormat="1" applyFont="1" applyBorder="1" applyAlignment="1">
      <alignment vertical="center" wrapText="1"/>
    </xf>
    <xf numFmtId="3" fontId="4" fillId="0" borderId="9" xfId="0" applyNumberFormat="1" applyFont="1" applyBorder="1" applyAlignment="1">
      <alignment vertical="center" wrapText="1"/>
    </xf>
    <xf numFmtId="3" fontId="4" fillId="0" borderId="11" xfId="0" applyNumberFormat="1" applyFont="1" applyBorder="1" applyAlignment="1">
      <alignment vertical="center" wrapText="1"/>
    </xf>
    <xf numFmtId="0" fontId="3" fillId="2" borderId="12" xfId="0" applyFont="1" applyFill="1" applyBorder="1" applyAlignment="1">
      <alignment vertical="center" wrapText="1"/>
    </xf>
    <xf numFmtId="164" fontId="4" fillId="0" borderId="3" xfId="0" applyNumberFormat="1" applyFont="1" applyBorder="1" applyAlignment="1">
      <alignment vertical="center" wrapText="1"/>
    </xf>
    <xf numFmtId="164" fontId="4" fillId="0" borderId="4" xfId="0" applyNumberFormat="1" applyFont="1" applyBorder="1" applyAlignment="1">
      <alignment vertical="center" wrapText="1"/>
    </xf>
    <xf numFmtId="164" fontId="4" fillId="0" borderId="5" xfId="0" applyNumberFormat="1" applyFont="1" applyBorder="1" applyAlignment="1">
      <alignment vertical="center" wrapText="1"/>
    </xf>
    <xf numFmtId="0" fontId="7" fillId="7" borderId="19" xfId="0" applyFont="1" applyFill="1" applyBorder="1" applyAlignment="1">
      <alignment horizontal="center" vertical="top" wrapText="1"/>
    </xf>
    <xf numFmtId="0" fontId="7" fillId="7" borderId="19" xfId="0" applyFont="1" applyFill="1" applyBorder="1" applyAlignment="1">
      <alignment vertical="top" wrapText="1"/>
    </xf>
    <xf numFmtId="0" fontId="7" fillId="8" borderId="20" xfId="0" applyFont="1" applyFill="1" applyBorder="1" applyAlignment="1">
      <alignment horizontal="center" vertical="top" wrapText="1"/>
    </xf>
    <xf numFmtId="0" fontId="7" fillId="8" borderId="20" xfId="0" applyFont="1" applyFill="1" applyBorder="1" applyAlignment="1">
      <alignment vertical="top" wrapText="1"/>
    </xf>
    <xf numFmtId="0" fontId="7" fillId="7" borderId="20" xfId="0" applyFont="1" applyFill="1" applyBorder="1" applyAlignment="1">
      <alignment horizontal="center" vertical="top" wrapText="1"/>
    </xf>
    <xf numFmtId="0" fontId="7" fillId="7" borderId="20" xfId="0" applyFont="1" applyFill="1" applyBorder="1" applyAlignment="1">
      <alignment vertical="top" wrapText="1"/>
    </xf>
    <xf numFmtId="0" fontId="7" fillId="8" borderId="21" xfId="0" applyFont="1" applyFill="1" applyBorder="1" applyAlignment="1">
      <alignment vertical="top" wrapText="1"/>
    </xf>
    <xf numFmtId="0" fontId="7" fillId="9" borderId="20" xfId="0" applyFont="1" applyFill="1" applyBorder="1" applyAlignment="1">
      <alignment horizontal="center" vertical="top" wrapText="1"/>
    </xf>
    <xf numFmtId="0" fontId="7" fillId="9" borderId="20" xfId="0" applyFont="1" applyFill="1" applyBorder="1" applyAlignment="1">
      <alignment vertical="top" wrapText="1"/>
    </xf>
    <xf numFmtId="0" fontId="7" fillId="8" borderId="0" xfId="0" applyFont="1" applyFill="1" applyAlignment="1">
      <alignment vertical="top" wrapText="1"/>
    </xf>
    <xf numFmtId="0" fontId="3" fillId="10" borderId="22" xfId="0" applyFont="1" applyFill="1" applyBorder="1" applyAlignment="1">
      <alignment vertical="center" wrapText="1"/>
    </xf>
    <xf numFmtId="0" fontId="3" fillId="10" borderId="23" xfId="0" applyFont="1" applyFill="1" applyBorder="1" applyAlignment="1">
      <alignment vertical="center" wrapText="1"/>
    </xf>
    <xf numFmtId="0" fontId="3" fillId="10" borderId="24" xfId="0" applyFont="1" applyFill="1" applyBorder="1" applyAlignment="1">
      <alignment vertical="center" wrapText="1"/>
    </xf>
    <xf numFmtId="0" fontId="7" fillId="8" borderId="19" xfId="0" applyFont="1" applyFill="1" applyBorder="1" applyAlignment="1">
      <alignment vertical="top" wrapText="1"/>
    </xf>
    <xf numFmtId="0" fontId="7" fillId="8" borderId="25" xfId="0" applyFont="1" applyFill="1" applyBorder="1" applyAlignment="1">
      <alignment vertical="top" wrapText="1"/>
    </xf>
    <xf numFmtId="0" fontId="7" fillId="12" borderId="19" xfId="0" applyFont="1" applyFill="1" applyBorder="1" applyAlignment="1">
      <alignment vertical="top" wrapText="1"/>
    </xf>
    <xf numFmtId="0" fontId="7" fillId="12" borderId="20" xfId="0" applyFont="1" applyFill="1" applyBorder="1" applyAlignment="1">
      <alignment vertical="top" wrapText="1"/>
    </xf>
    <xf numFmtId="0" fontId="7" fillId="12" borderId="25" xfId="0" applyFont="1" applyFill="1" applyBorder="1" applyAlignment="1">
      <alignment vertical="top" wrapText="1"/>
    </xf>
    <xf numFmtId="0" fontId="7" fillId="9" borderId="19" xfId="0" applyFont="1" applyFill="1" applyBorder="1" applyAlignment="1">
      <alignment vertical="top" wrapText="1"/>
    </xf>
    <xf numFmtId="0" fontId="7" fillId="9" borderId="25" xfId="0" applyFont="1" applyFill="1" applyBorder="1" applyAlignment="1">
      <alignment vertical="top" wrapText="1"/>
    </xf>
    <xf numFmtId="0" fontId="7" fillId="13" borderId="19" xfId="0" applyFont="1" applyFill="1" applyBorder="1" applyAlignment="1">
      <alignment vertical="top" wrapText="1"/>
    </xf>
    <xf numFmtId="0" fontId="7" fillId="13" borderId="20" xfId="0" applyFont="1" applyFill="1" applyBorder="1" applyAlignment="1">
      <alignment vertical="top" wrapText="1"/>
    </xf>
    <xf numFmtId="0" fontId="7" fillId="13" borderId="25" xfId="0" applyFont="1" applyFill="1" applyBorder="1" applyAlignment="1">
      <alignment vertical="top" wrapText="1"/>
    </xf>
    <xf numFmtId="0" fontId="7" fillId="14" borderId="19" xfId="0" applyFont="1" applyFill="1" applyBorder="1" applyAlignment="1">
      <alignment vertical="top" wrapText="1"/>
    </xf>
    <xf numFmtId="0" fontId="7" fillId="14" borderId="20" xfId="0" applyFont="1" applyFill="1" applyBorder="1" applyAlignment="1">
      <alignment vertical="top" wrapText="1"/>
    </xf>
    <xf numFmtId="0" fontId="7" fillId="14" borderId="25" xfId="0" applyFont="1" applyFill="1" applyBorder="1" applyAlignment="1">
      <alignment vertical="top" wrapText="1"/>
    </xf>
    <xf numFmtId="0" fontId="10" fillId="15" borderId="26" xfId="0" applyFont="1" applyFill="1" applyBorder="1" applyAlignment="1">
      <alignment vertical="center" wrapText="1"/>
    </xf>
    <xf numFmtId="0" fontId="11" fillId="0" borderId="0" xfId="0" applyFont="1" applyAlignment="1">
      <alignment vertical="top" wrapText="1"/>
    </xf>
    <xf numFmtId="0" fontId="11" fillId="0" borderId="19" xfId="0" applyFont="1" applyBorder="1" applyAlignment="1">
      <alignment vertical="top" wrapText="1"/>
    </xf>
    <xf numFmtId="0" fontId="11" fillId="0" borderId="0" xfId="0" applyFont="1" applyAlignment="1">
      <alignment horizontal="center" vertical="top" wrapText="1"/>
    </xf>
    <xf numFmtId="0" fontId="11" fillId="0" borderId="19" xfId="0" applyFont="1" applyBorder="1" applyAlignment="1">
      <alignment horizontal="center" vertical="top" wrapText="1"/>
    </xf>
    <xf numFmtId="164" fontId="11" fillId="0" borderId="0" xfId="0" applyNumberFormat="1" applyFont="1" applyAlignment="1">
      <alignment vertical="top" wrapText="1"/>
    </xf>
    <xf numFmtId="164" fontId="11" fillId="0" borderId="19" xfId="0" applyNumberFormat="1" applyFont="1" applyBorder="1" applyAlignment="1">
      <alignment vertical="top" wrapText="1"/>
    </xf>
    <xf numFmtId="164" fontId="11" fillId="0" borderId="0" xfId="0" applyNumberFormat="1" applyFont="1" applyAlignment="1">
      <alignment horizontal="center" vertical="top" wrapText="1"/>
    </xf>
    <xf numFmtId="164" fontId="11" fillId="0" borderId="19" xfId="0" applyNumberFormat="1" applyFont="1" applyBorder="1" applyAlignment="1">
      <alignment horizontal="center" vertical="top" wrapText="1"/>
    </xf>
    <xf numFmtId="0" fontId="10" fillId="17" borderId="22" xfId="0" applyFont="1" applyFill="1" applyBorder="1" applyAlignment="1">
      <alignment wrapText="1"/>
    </xf>
    <xf numFmtId="0" fontId="10" fillId="17" borderId="23" xfId="0" applyFont="1" applyFill="1" applyBorder="1" applyAlignment="1">
      <alignment wrapText="1"/>
    </xf>
    <xf numFmtId="0" fontId="10" fillId="17" borderId="24" xfId="0" applyFont="1" applyFill="1" applyBorder="1" applyAlignment="1">
      <alignment wrapText="1"/>
    </xf>
    <xf numFmtId="0" fontId="11" fillId="0" borderId="27" xfId="0" applyFont="1" applyBorder="1" applyAlignment="1">
      <alignment vertical="top" wrapText="1"/>
    </xf>
    <xf numFmtId="0" fontId="11" fillId="0" borderId="28" xfId="0" applyFont="1" applyBorder="1" applyAlignment="1">
      <alignment vertical="top" wrapText="1"/>
    </xf>
    <xf numFmtId="0" fontId="11" fillId="0" borderId="29" xfId="0" applyFont="1" applyBorder="1" applyAlignment="1">
      <alignment vertical="top" wrapText="1"/>
    </xf>
    <xf numFmtId="0" fontId="11" fillId="0" borderId="27" xfId="0" applyFont="1" applyBorder="1" applyAlignment="1">
      <alignment horizontal="center" vertical="top" wrapText="1"/>
    </xf>
    <xf numFmtId="0" fontId="11" fillId="0" borderId="28" xfId="0" applyFont="1" applyBorder="1" applyAlignment="1">
      <alignment horizontal="center" vertical="top" wrapText="1"/>
    </xf>
    <xf numFmtId="0" fontId="11" fillId="0" borderId="29" xfId="0" applyFont="1" applyBorder="1" applyAlignment="1">
      <alignment horizontal="center" vertical="top" wrapText="1"/>
    </xf>
    <xf numFmtId="0" fontId="11" fillId="19" borderId="27" xfId="0" applyFont="1" applyFill="1" applyBorder="1" applyAlignment="1">
      <alignment vertical="top" wrapText="1"/>
    </xf>
    <xf numFmtId="0" fontId="11" fillId="19" borderId="28" xfId="0" applyFont="1" applyFill="1" applyBorder="1" applyAlignment="1">
      <alignment vertical="top" wrapText="1"/>
    </xf>
    <xf numFmtId="0" fontId="11" fillId="19" borderId="29" xfId="0" applyFont="1" applyFill="1" applyBorder="1" applyAlignment="1">
      <alignment vertical="top" wrapText="1"/>
    </xf>
    <xf numFmtId="0" fontId="11" fillId="18" borderId="27" xfId="0" applyFont="1" applyFill="1" applyBorder="1" applyAlignment="1">
      <alignment vertical="top" wrapText="1"/>
    </xf>
    <xf numFmtId="0" fontId="11" fillId="18" borderId="28" xfId="0" applyFont="1" applyFill="1" applyBorder="1" applyAlignment="1">
      <alignment vertical="top" wrapText="1"/>
    </xf>
    <xf numFmtId="0" fontId="11" fillId="18" borderId="29" xfId="0" applyFont="1" applyFill="1" applyBorder="1" applyAlignment="1">
      <alignment vertical="top" wrapText="1"/>
    </xf>
    <xf numFmtId="0" fontId="11" fillId="19" borderId="30" xfId="0" applyFont="1" applyFill="1" applyBorder="1"/>
    <xf numFmtId="0" fontId="11" fillId="19" borderId="31" xfId="0" applyFont="1" applyFill="1" applyBorder="1"/>
    <xf numFmtId="0" fontId="11" fillId="19" borderId="32" xfId="0" applyFont="1" applyFill="1" applyBorder="1"/>
    <xf numFmtId="1" fontId="12" fillId="19" borderId="33" xfId="0" applyNumberFormat="1" applyFont="1" applyFill="1" applyBorder="1" applyAlignment="1">
      <alignment horizontal="center"/>
    </xf>
    <xf numFmtId="1" fontId="12" fillId="19" borderId="34" xfId="0" applyNumberFormat="1" applyFont="1" applyFill="1" applyBorder="1" applyAlignment="1">
      <alignment horizontal="center"/>
    </xf>
    <xf numFmtId="1" fontId="12" fillId="19" borderId="35" xfId="0" applyNumberFormat="1" applyFont="1" applyFill="1" applyBorder="1" applyAlignment="1">
      <alignment horizontal="center"/>
    </xf>
    <xf numFmtId="0" fontId="1" fillId="2" borderId="0" xfId="0" applyFont="1" applyFill="1" applyAlignment="1">
      <alignment vertical="center"/>
    </xf>
    <xf numFmtId="0" fontId="2" fillId="3" borderId="0" xfId="0" applyFont="1" applyFill="1" applyAlignment="1">
      <alignment vertical="center" wrapText="1"/>
    </xf>
    <xf numFmtId="0" fontId="3" fillId="2" borderId="1" xfId="0" applyFont="1" applyFill="1" applyBorder="1" applyAlignment="1">
      <alignment vertical="center" wrapText="1"/>
    </xf>
    <xf numFmtId="0" fontId="3" fillId="2" borderId="12" xfId="0" applyFont="1" applyFill="1" applyBorder="1" applyAlignment="1">
      <alignment vertical="center" wrapText="1"/>
    </xf>
    <xf numFmtId="0" fontId="3" fillId="2" borderId="2" xfId="0" applyFont="1" applyFill="1" applyBorder="1" applyAlignment="1">
      <alignment vertical="center" wrapText="1"/>
    </xf>
    <xf numFmtId="0" fontId="5" fillId="4" borderId="13" xfId="0" applyFont="1" applyFill="1" applyBorder="1" applyAlignment="1">
      <alignment vertical="center" wrapText="1"/>
    </xf>
    <xf numFmtId="0" fontId="5" fillId="4" borderId="14" xfId="0" applyFont="1" applyFill="1" applyBorder="1" applyAlignment="1">
      <alignment vertical="center" wrapText="1"/>
    </xf>
    <xf numFmtId="0" fontId="5" fillId="4" borderId="15" xfId="0" applyFont="1" applyFill="1" applyBorder="1" applyAlignment="1">
      <alignment vertical="center" wrapText="1"/>
    </xf>
    <xf numFmtId="0" fontId="6" fillId="5" borderId="0" xfId="0" applyFont="1" applyFill="1" applyAlignment="1">
      <alignment wrapText="1"/>
    </xf>
    <xf numFmtId="0" fontId="5" fillId="6" borderId="16" xfId="0" applyFont="1" applyFill="1" applyBorder="1" applyAlignment="1">
      <alignment vertical="center" wrapText="1"/>
    </xf>
    <xf numFmtId="0" fontId="5" fillId="6" borderId="17" xfId="0" applyFont="1" applyFill="1" applyBorder="1" applyAlignment="1">
      <alignment vertical="center" wrapText="1"/>
    </xf>
    <xf numFmtId="0" fontId="5" fillId="6" borderId="18" xfId="0" applyFont="1" applyFill="1" applyBorder="1" applyAlignment="1">
      <alignment vertical="center" wrapText="1"/>
    </xf>
    <xf numFmtId="0" fontId="1" fillId="10" borderId="0" xfId="0" applyFont="1" applyFill="1" applyAlignment="1">
      <alignment vertical="center"/>
    </xf>
    <xf numFmtId="0" fontId="8" fillId="11" borderId="0" xfId="0" applyFont="1" applyFill="1" applyAlignment="1">
      <alignment vertical="center" wrapText="1"/>
    </xf>
    <xf numFmtId="0" fontId="3" fillId="10" borderId="22" xfId="0" applyFont="1" applyFill="1" applyBorder="1" applyAlignment="1">
      <alignment vertical="center" wrapText="1"/>
    </xf>
    <xf numFmtId="0" fontId="3" fillId="10" borderId="23" xfId="0" applyFont="1" applyFill="1" applyBorder="1" applyAlignment="1">
      <alignment vertical="center" wrapText="1"/>
    </xf>
    <xf numFmtId="0" fontId="3" fillId="10" borderId="24" xfId="0" applyFont="1" applyFill="1" applyBorder="1" applyAlignment="1">
      <alignment vertical="center" wrapText="1"/>
    </xf>
    <xf numFmtId="0" fontId="7" fillId="14" borderId="19" xfId="0" applyFont="1" applyFill="1" applyBorder="1" applyAlignment="1">
      <alignment vertical="top" wrapText="1"/>
    </xf>
    <xf numFmtId="0" fontId="7" fillId="14" borderId="20" xfId="0" applyFont="1" applyFill="1" applyBorder="1" applyAlignment="1">
      <alignment vertical="top" wrapText="1"/>
    </xf>
    <xf numFmtId="0" fontId="7" fillId="14" borderId="25" xfId="0" applyFont="1" applyFill="1" applyBorder="1" applyAlignment="1">
      <alignment vertical="top" wrapText="1"/>
    </xf>
    <xf numFmtId="0" fontId="9" fillId="9" borderId="0" xfId="0" applyFont="1" applyFill="1" applyAlignment="1">
      <alignment vertical="center" wrapText="1"/>
    </xf>
    <xf numFmtId="0" fontId="10" fillId="15" borderId="0" xfId="0" applyFont="1" applyFill="1" applyAlignment="1">
      <alignment vertical="center"/>
    </xf>
    <xf numFmtId="0" fontId="8" fillId="16" borderId="0" xfId="0" applyFont="1" applyFill="1" applyAlignment="1">
      <alignment vertical="center" wrapText="1"/>
    </xf>
    <xf numFmtId="0" fontId="10" fillId="17" borderId="0" xfId="0" applyFont="1" applyFill="1"/>
    <xf numFmtId="0" fontId="8" fillId="18" borderId="0" xfId="0" applyFont="1" applyFill="1" applyAlignment="1">
      <alignment wrapText="1"/>
    </xf>
  </cellXfs>
  <cellStyles count="1">
    <cellStyle name="Normal" xfId="0" builtinId="0"/>
  </cellStyles>
  <dxfs count="23">
    <dxf>
      <font>
        <b/>
        <color rgb="FF26332F"/>
      </font>
      <fill>
        <patternFill>
          <bgColor rgb="FFE2F0D9"/>
        </patternFill>
      </fill>
    </dxf>
    <dxf>
      <font>
        <b/>
        <color rgb="FF26332F"/>
      </font>
      <fill>
        <patternFill>
          <bgColor rgb="FFF6D7CF"/>
        </patternFill>
      </fill>
    </dxf>
    <dxf>
      <font>
        <b/>
        <color rgb="FF26332F"/>
      </font>
      <fill>
        <patternFill>
          <bgColor rgb="FFE2F0D9"/>
        </patternFill>
      </fill>
    </dxf>
    <dxf>
      <font>
        <b/>
        <color rgb="FF26332F"/>
      </font>
      <fill>
        <patternFill>
          <bgColor rgb="FFFFF2CC"/>
        </patternFill>
      </fill>
    </dxf>
    <dxf>
      <font>
        <b/>
        <color rgb="FF26332F"/>
      </font>
      <fill>
        <patternFill>
          <bgColor rgb="FFF6D7CF"/>
        </patternFill>
      </fill>
    </dxf>
    <dxf>
      <font>
        <b/>
        <color rgb="FF26332F"/>
      </font>
      <fill>
        <patternFill>
          <bgColor rgb="FFE2F0D9"/>
        </patternFill>
      </fill>
    </dxf>
    <dxf>
      <font>
        <b/>
        <color rgb="FF26332F"/>
      </font>
      <fill>
        <patternFill>
          <bgColor rgb="FFFFF2CC"/>
        </patternFill>
      </fill>
    </dxf>
    <dxf>
      <font>
        <b/>
        <color rgb="FF26332F"/>
      </font>
      <fill>
        <patternFill>
          <bgColor rgb="FFF6D7CF"/>
        </patternFill>
      </fill>
    </dxf>
    <dxf>
      <font>
        <b/>
      </font>
      <fill>
        <patternFill>
          <bgColor rgb="FFF6D7CF"/>
        </patternFill>
      </fill>
    </dxf>
    <dxf>
      <font>
        <b/>
        <color rgb="FF284F43"/>
      </font>
      <fill>
        <patternFill>
          <bgColor rgb="FFE6F0EA"/>
        </patternFill>
      </fill>
    </dxf>
    <dxf>
      <font>
        <b/>
        <color rgb="FF284F43"/>
      </font>
      <fill>
        <patternFill>
          <bgColor rgb="FFE6F0EA"/>
        </patternFill>
      </fill>
    </dxf>
    <dxf>
      <font>
        <color rgb="FF7A3E1B"/>
      </font>
      <fill>
        <patternFill>
          <bgColor rgb="FFF8D9C9"/>
        </patternFill>
      </fill>
    </dxf>
    <dxf>
      <font>
        <b/>
        <color rgb="FF7F2117"/>
      </font>
      <fill>
        <patternFill>
          <bgColor rgb="FFF1B9B3"/>
        </patternFill>
      </fill>
    </dxf>
    <dxf>
      <font>
        <b/>
        <color rgb="FFC65A3F"/>
      </font>
      <fill>
        <patternFill>
          <bgColor rgb="FFF7DDD7"/>
        </patternFill>
      </fill>
    </dxf>
    <dxf>
      <font>
        <b/>
        <color rgb="FF2E5147"/>
      </font>
      <fill>
        <patternFill>
          <bgColor rgb="FFE6EFEA"/>
        </patternFill>
      </fill>
    </dxf>
    <dxf>
      <font>
        <b/>
        <color rgb="FFC65A3F"/>
      </font>
      <fill>
        <patternFill>
          <bgColor rgb="FFF7DDD7"/>
        </patternFill>
      </fill>
    </dxf>
    <dxf>
      <font>
        <b/>
        <color rgb="FF2E5147"/>
      </font>
      <fill>
        <patternFill>
          <bgColor rgb="FFE6EFEA"/>
        </patternFill>
      </fill>
    </dxf>
    <dxf>
      <font>
        <b/>
        <color rgb="FFC65A3F"/>
      </font>
      <fill>
        <patternFill>
          <bgColor rgb="FFF7DDD7"/>
        </patternFill>
      </fill>
    </dxf>
    <dxf>
      <font>
        <b/>
        <color rgb="FF2E5147"/>
      </font>
      <fill>
        <patternFill>
          <bgColor rgb="FFE6EFEA"/>
        </patternFill>
      </fill>
    </dxf>
    <dxf>
      <font>
        <color rgb="FF1F2A27"/>
      </font>
      <fill>
        <patternFill>
          <bgColor rgb="FFF5EBCF"/>
        </patternFill>
      </fill>
    </dxf>
    <dxf>
      <font>
        <color rgb="FF2E5147"/>
      </font>
      <fill>
        <patternFill>
          <bgColor rgb="FFE6EFEA"/>
        </patternFill>
      </fill>
    </dxf>
    <dxf>
      <font>
        <b/>
        <color rgb="FF1F2A27"/>
      </font>
      <fill>
        <patternFill>
          <bgColor rgb="FFF5EBCF"/>
        </patternFill>
      </fill>
    </dxf>
    <dxf>
      <font>
        <b/>
        <color rgb="FF2E5147"/>
      </font>
      <fill>
        <patternFill>
          <bgColor rgb="FFE6EF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622300</xdr:colOff>
      <xdr:row>57</xdr:row>
      <xdr:rowOff>127000</xdr:rowOff>
    </xdr:to>
    <xdr:sp macro="" textlink="">
      <xdr:nvSpPr>
        <xdr:cNvPr id="1027" name="Text Box 3" hidden="1">
          <a:extLst>
            <a:ext uri="{FF2B5EF4-FFF2-40B4-BE49-F238E27FC236}">
              <a16:creationId xmlns:a16="http://schemas.microsoft.com/office/drawing/2014/main" id="{C4812742-50D0-A5D7-681A-6C3C687524E1}"/>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Rosa María Chamorro" id="{7C049B03-C86D-4E7D-BB5A-EC2FAEBBD7F4}"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tesMigracionTable" displayName="LotesMigracionTable" ref="A4:N19" totalsRowShown="0">
  <tableColumns count="14">
    <tableColumn id="1" xr3:uid="{00000000-0010-0000-0000-000001000000}" name="Secuencia"/>
    <tableColumn id="2" xr3:uid="{00000000-0010-0000-0000-000002000000}" name="Lote"/>
    <tableColumn id="3" xr3:uid="{00000000-0010-0000-0000-000003000000}" name="Enfoque"/>
    <tableColumn id="4" xr3:uid="{00000000-0010-0000-0000-000004000000}" name="Criterio editorial"/>
    <tableColumn id="5" xr3:uid="{00000000-0010-0000-0000-000005000000}" name="Entradas"/>
    <tableColumn id="6" xr3:uid="{00000000-0010-0000-0000-000006000000}" name="Relaciones asignadas"/>
    <tableColumn id="7" xr3:uid="{00000000-0010-0000-0000-000007000000}" name="Internas"/>
    <tableColumn id="8" xr3:uid="{00000000-0010-0000-0000-000008000000}" name="Frontera"/>
    <tableColumn id="9" xr3:uid="{00000000-0010-0000-0000-000009000000}" name="Corroboradas iniciales"/>
    <tableColumn id="10" xr3:uid="{00000000-0010-0000-0000-00000A000000}" name="Por corroborar iniciales"/>
    <tableColumn id="11" xr3:uid="{00000000-0010-0000-0000-00000B000000}" name="Estado"/>
    <tableColumn id="12" xr3:uid="{00000000-0010-0000-0000-00000C000000}" name="Dependencia"/>
    <tableColumn id="13" xr3:uid="{00000000-0010-0000-0000-00000D000000}" name="Criterio de aceptación"/>
    <tableColumn id="14" xr3:uid="{00000000-0010-0000-0000-00000E000000}" name="Reversió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EntradasTable" displayName="PlanEntradasTable" ref="A4:X237" totalsRowShown="0">
  <tableColumns count="24">
    <tableColumn id="1" xr3:uid="{00000000-0010-0000-0100-000001000000}" name="id"/>
    <tableColumn id="2" xr3:uid="{00000000-0010-0000-0100-000002000000}" name="Título"/>
    <tableColumn id="3" xr3:uid="{00000000-0010-0000-0100-000003000000}" name="Autoría"/>
    <tableColumn id="4" xr3:uid="{00000000-0010-0000-0100-000004000000}" name="Año heredado"/>
    <tableColumn id="5" xr3:uid="{00000000-0010-0000-0100-000005000000}" name="Estado de candidatura"/>
    <tableColumn id="6" xr3:uid="{00000000-0010-0000-0100-000006000000}" name="Corriente(s) candidata(s)"/>
    <tableColumn id="7" xr3:uid="{00000000-0010-0000-0100-000007000000}" name="Proceso"/>
    <tableColumn id="8" xr3:uid="{00000000-0010-0000-0100-000008000000}" name="Lote"/>
    <tableColumn id="9" xr3:uid="{00000000-0010-0000-0100-000009000000}" name="Orden"/>
    <tableColumn id="10" xr3:uid="{00000000-0010-0000-0100-00000A000000}" name="Complejidad"/>
    <tableColumn id="11" xr3:uid="{00000000-0010-0000-0100-00000B000000}" name="Estado editorial"/>
    <tableColumn id="12" xr3:uid="{00000000-0010-0000-0100-00000C000000}" name="Corriente principal 2.0"/>
    <tableColumn id="13" xr3:uid="{00000000-0010-0000-0100-00000D000000}" name="Secundarias 2.0"/>
    <tableColumn id="14" xr3:uid="{00000000-0010-0000-0100-00000E000000}" name="Operaciones epistémicas"/>
    <tableColumn id="15" xr3:uid="{00000000-0010-0000-0100-00000F000000}" name="Temporalidades"/>
    <tableColumn id="16" xr3:uid="{00000000-0010-0000-0100-000010000000}" name="Orillas / rutas"/>
    <tableColumn id="17" xr3:uid="{00000000-0010-0000-0100-000011000000}" name="Fuente de decisión"/>
    <tableColumn id="18" xr3:uid="{00000000-0010-0000-0100-000012000000}" name="Fundamento"/>
    <tableColumn id="19" xr3:uid="{00000000-0010-0000-0100-000013000000}" name="Responsable"/>
    <tableColumn id="20" xr3:uid="{00000000-0010-0000-0100-000014000000}" name="Fecha revisión"/>
    <tableColumn id="21" xr3:uid="{00000000-0010-0000-0100-000015000000}" name="QA técnico"/>
    <tableColumn id="22" xr3:uid="{00000000-0010-0000-0100-000016000000}" name="Aprobación académica"/>
    <tableColumn id="23" xr3:uid="{00000000-0010-0000-0100-000017000000}" name="Listo para generar"/>
    <tableColumn id="24" xr3:uid="{00000000-0010-0000-0100-000018000000}" name="Pendientes / not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lanRelacionesTable" displayName="PlanRelacionesTable" ref="A4:U592" totalsRowShown="0">
  <tableColumns count="21">
    <tableColumn id="1" xr3:uid="{00000000-0010-0000-0200-000001000000}" name="Relación"/>
    <tableColumn id="2" xr3:uid="{00000000-0010-0000-0200-000002000000}" name="a heredado"/>
    <tableColumn id="3" xr3:uid="{00000000-0010-0000-0200-000003000000}" name="b heredado"/>
    <tableColumn id="4" xr3:uid="{00000000-0010-0000-0200-000004000000}" name="a migrado"/>
    <tableColumn id="5" xr3:uid="{00000000-0010-0000-0200-000005000000}" name="b migrado"/>
    <tableColumn id="6" xr3:uid="{00000000-0010-0000-0200-000006000000}" name="Tipo heredado"/>
    <tableColumn id="7" xr3:uid="{00000000-0010-0000-0200-000007000000}" name="Fuente heredada"/>
    <tableColumn id="8" xr3:uid="{00000000-0010-0000-0200-000008000000}" name="Estado fuente 1.15"/>
    <tableColumn id="9" xr3:uid="{00000000-0010-0000-0200-000009000000}" name="Decisión piloto"/>
    <tableColumn id="10" xr3:uid="{00000000-0010-0000-0200-00000A000000}" name="Estado inicial 2.0"/>
    <tableColumn id="11" xr3:uid="{00000000-0010-0000-0200-00000B000000}" name="Lote a"/>
    <tableColumn id="12" xr3:uid="{00000000-0010-0000-0200-00000C000000}" name="Lote b"/>
    <tableColumn id="13" xr3:uid="{00000000-0010-0000-0200-00000D000000}" name="Alcance"/>
    <tableColumn id="14" xr3:uid="{00000000-0010-0000-0200-00000E000000}" name="Lote de revisión"/>
    <tableColumn id="15" xr3:uid="{00000000-0010-0000-0200-00000F000000}" name="Fricción"/>
    <tableColumn id="16" xr3:uid="{00000000-0010-0000-0200-000010000000}" name="Cruce lingüístico"/>
    <tableColumn id="17" xr3:uid="{00000000-0010-0000-0200-000011000000}" name="Fuente / páginas 2.0"/>
    <tableColumn id="18" xr3:uid="{00000000-0010-0000-0200-000012000000}" name="Estado revisión"/>
    <tableColumn id="19" xr3:uid="{00000000-0010-0000-0200-000013000000}" name="QA técnico"/>
    <tableColumn id="20" xr3:uid="{00000000-0010-0000-0200-000014000000}" name="Aprobación"/>
    <tableColumn id="21" xr3:uid="{00000000-0010-0000-0200-000015000000}" name="Lista para genera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tocoloTable" displayName="ProtocoloTable" ref="A4:F16" totalsRowShown="0">
  <tableColumns count="6">
    <tableColumn id="1" xr3:uid="{00000000-0010-0000-0300-000001000000}" name="Paso"/>
    <tableColumn id="2" xr3:uid="{00000000-0010-0000-0300-000002000000}" name="Puerta"/>
    <tableColumn id="3" xr3:uid="{00000000-0010-0000-0300-000003000000}" name="Responsable"/>
    <tableColumn id="4" xr3:uid="{00000000-0010-0000-0300-000004000000}" name="Entrada"/>
    <tableColumn id="5" xr3:uid="{00000000-0010-0000-0300-000005000000}" name="Acción"/>
    <tableColumn id="6" xr3:uid="{00000000-0010-0000-0300-000006000000}" name="Criterio de aceptació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glasTable" displayName="ReglasTable" ref="A4:D35" totalsRowShown="0">
  <tableColumns count="4">
    <tableColumn id="1" xr3:uid="{00000000-0010-0000-0400-000001000000}" name="N."/>
    <tableColumn id="2" xr3:uid="{00000000-0010-0000-0400-000002000000}" name="Origen"/>
    <tableColumn id="3" xr3:uid="{00000000-0010-0000-0400-000003000000}" name="Regla"/>
    <tableColumn id="4" xr3:uid="{00000000-0010-0000-0400-000004000000}" name="Bloquean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ilotoAprobadoTable" displayName="PilotoAprobadoTable" ref="A4:L14" totalsRowShown="0">
  <tableColumns count="12">
    <tableColumn id="1" xr3:uid="{00000000-0010-0000-0500-000001000000}" name="id"/>
    <tableColumn id="2" xr3:uid="{00000000-0010-0000-0500-000002000000}" name="Decisión"/>
    <tableColumn id="3" xr3:uid="{00000000-0010-0000-0500-000003000000}" name="Estado"/>
    <tableColumn id="4" xr3:uid="{00000000-0010-0000-0500-000004000000}" name="Principal"/>
    <tableColumn id="5" xr3:uid="{00000000-0010-0000-0500-000005000000}" name="Secundarias"/>
    <tableColumn id="6" xr3:uid="{00000000-0010-0000-0500-000006000000}" name="Operaciones"/>
    <tableColumn id="7" xr3:uid="{00000000-0010-0000-0500-000007000000}" name="Temporalidades"/>
    <tableColumn id="8" xr3:uid="{00000000-0010-0000-0500-000008000000}" name="Orillas"/>
    <tableColumn id="9" xr3:uid="{00000000-0010-0000-0500-000009000000}" name="Fuentes"/>
    <tableColumn id="10" xr3:uid="{00000000-0010-0000-0500-00000A000000}" name="Fundamento"/>
    <tableColumn id="11" xr3:uid="{00000000-0010-0000-0500-00000B000000}" name="Pendientes"/>
    <tableColumn id="12" xr3:uid="{00000000-0010-0000-0500-00000C000000}" name="Lista fina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rrientesTable" displayName="CorrientesTable" ref="A4:G14" totalsRowShown="0">
  <tableColumns count="7">
    <tableColumn id="1" xr3:uid="{00000000-0010-0000-0600-000001000000}" name="Clave"/>
    <tableColumn id="2" xr3:uid="{00000000-0010-0000-0600-000002000000}" name="N."/>
    <tableColumn id="3" xr3:uid="{00000000-0010-0000-0600-000003000000}" name="Etiqueta ES"/>
    <tableColumn id="4" xr3:uid="{00000000-0010-0000-0600-000004000000}" name="Etiqueta EN"/>
    <tableColumn id="5" xr3:uid="{00000000-0010-0000-0600-000005000000}" name="Provisional"/>
    <tableColumn id="6" xr3:uid="{00000000-0010-0000-0600-000006000000}" name="Correspondencia anterior"/>
    <tableColumn id="7" xr3:uid="{00000000-0010-0000-0600-000007000000}" name="Vía de constitució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cidenciasTable" displayName="IncidenciasTable" ref="A4:G41" totalsRowShown="0">
  <tableColumns count="7">
    <tableColumn id="1" xr3:uid="{00000000-0010-0000-0700-000001000000}" name="Severidad"/>
    <tableColumn id="2" xr3:uid="{00000000-0010-0000-0700-000002000000}" name="Tipo"/>
    <tableColumn id="3" xr3:uid="{00000000-0010-0000-0700-000003000000}" name="Entrada o archivo"/>
    <tableColumn id="4" xr3:uid="{00000000-0010-0000-0700-000004000000}" name="Detalle"/>
    <tableColumn id="5" xr3:uid="{00000000-0010-0000-0700-000005000000}" name="Acción propuesta"/>
    <tableColumn id="6" xr3:uid="{00000000-0010-0000-0700-000006000000}" name="Lote asociado"/>
    <tableColumn id="7" xr3:uid="{00000000-0010-0000-0700-000007000000}" name="Estado"/>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astroVersionesTable" displayName="RastroVersionesTable" ref="A4:H7" totalsRowShown="0">
  <tableColumns count="8">
    <tableColumn id="1" xr3:uid="{00000000-0010-0000-0800-000001000000}" name="Versión / estado"/>
    <tableColumn id="2" xr3:uid="{00000000-0010-0000-0800-000002000000}" name="Fecha"/>
    <tableColumn id="3" xr3:uid="{00000000-0010-0000-0800-000003000000}" name="Entradas"/>
    <tableColumn id="4" xr3:uid="{00000000-0010-0000-0800-000004000000}" name="Nodos efectivos"/>
    <tableColumn id="5" xr3:uid="{00000000-0010-0000-0800-000005000000}" name="Relaciones"/>
    <tableColumn id="6" xr3:uid="{00000000-0010-0000-0800-000006000000}" name="Corroboradas"/>
    <tableColumn id="7" xr3:uid="{00000000-0010-0000-0800-000007000000}" name="Por corroborar"/>
    <tableColumn id="8" xr3:uid="{00000000-0010-0000-0800-000008000000}" name="Not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01ReviewTable" displayName="T01ReviewTable" ref="A4:T237" totalsRowShown="0">
  <tableColumns count="20">
    <tableColumn id="1" xr3:uid="{00000000-0010-0000-0900-000001000000}" name="id"/>
    <tableColumn id="2" xr3:uid="{00000000-0010-0000-0900-000002000000}" name="Título"/>
    <tableColumn id="3" xr3:uid="{00000000-0010-0000-0900-000003000000}" name="Autoría"/>
    <tableColumn id="4" xr3:uid="{00000000-0010-0000-0900-000004000000}" name="Lote intelectual"/>
    <tableColumn id="5" xr3:uid="{00000000-0010-0000-0900-000005000000}" name="tr original"/>
    <tableColumn id="6" xr3:uid="{00000000-0010-0000-0900-000006000000}" name="Lengua(s) detectada(s)"/>
    <tableColumn id="7" xr3:uid="{00000000-0010-0000-0900-000007000000}" name="Fragmento parentético"/>
    <tableColumn id="8" xr3:uid="{00000000-0010-0000-0900-000008000000}" name="Alertas / ambigüedad"/>
    <tableColumn id="9" xr3:uid="{00000000-0010-0000-0900-000009000000}" name="lengua_publicacion"/>
    <tableColumn id="10" xr3:uid="{00000000-0010-0000-0900-00000A000000}" name="orilla_produccion"/>
    <tableColumn id="11" xr3:uid="{00000000-0010-0000-0900-00000B000000}" name="territorio_estudiado"/>
    <tableColumn id="12" xr3:uid="{00000000-0010-0000-0900-00000C000000}" name="alcance_comparativo"/>
    <tableColumn id="13" xr3:uid="{00000000-0010-0000-0900-00000D000000}" name="fundamento_o_fuente"/>
    <tableColumn id="14" xr3:uid="{00000000-0010-0000-0900-00000E000000}" name="estado_revision"/>
    <tableColumn id="15" xr3:uid="{00000000-0010-0000-0900-00000F000000}" name="responsable"/>
    <tableColumn id="16" xr3:uid="{00000000-0010-0000-0900-000010000000}" name="fecha_revision"/>
    <tableColumn id="17" xr3:uid="{00000000-0010-0000-0900-000011000000}" name="QA técnico"/>
    <tableColumn id="18" xr3:uid="{00000000-0010-0000-0900-000012000000}" name="aprobación académica"/>
    <tableColumn id="19" xr3:uid="{00000000-0010-0000-0900-000013000000}" name="listo_para_generar"/>
    <tableColumn id="20" xr3:uid="{00000000-0010-0000-0900-000014000000}" name="cohorte corpu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01ValuesTable" displayName="T01ValuesTable" ref="A4:E108" totalsRowShown="0">
  <tableColumns count="5">
    <tableColumn id="1" xr3:uid="{00000000-0010-0000-0A00-000001000000}" name="tr original"/>
    <tableColumn id="2" xr3:uid="{00000000-0010-0000-0A00-000002000000}" name="Frecuencia"/>
    <tableColumn id="3" xr3:uid="{00000000-0010-0000-0A00-000003000000}" name="Lengua(s) detectada(s)"/>
    <tableColumn id="4" xr3:uid="{00000000-0010-0000-0A00-000004000000}" name="IDs de ejemplo"/>
    <tableColumn id="5" xr3:uid="{00000000-0010-0000-0A00-000005000000}" name="Alerta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01NewEntriesTable" displayName="T01NewEntriesTable" ref="A4:I34" totalsRowShown="0">
  <tableColumns count="9">
    <tableColumn id="1" xr3:uid="{00000000-0010-0000-0B00-000001000000}" name="id"/>
    <tableColumn id="2" xr3:uid="{00000000-0010-0000-0B00-000002000000}" name="Título"/>
    <tableColumn id="3" xr3:uid="{00000000-0010-0000-0B00-000003000000}" name="Autoría"/>
    <tableColumn id="4" xr3:uid="{00000000-0010-0000-0B00-000004000000}" name="Año"/>
    <tableColumn id="5" xr3:uid="{00000000-0010-0000-0B00-000005000000}" name="Tipo"/>
    <tableColumn id="6" xr3:uid="{00000000-0010-0000-0B00-000006000000}" name="Lugar heredado"/>
    <tableColumn id="7" xr3:uid="{00000000-0010-0000-0B00-000007000000}" name="tr original"/>
    <tableColumn id="8" xr3:uid="{00000000-0010-0000-0B00-000008000000}" name="Lote intelectual"/>
    <tableColumn id="9" xr3:uid="{00000000-0010-0000-0B00-000009000000}" name="Estado T0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6" dT="2026-08-09T03:11:34.39" personId="{7C049B03-C86D-4E7D-BB5A-EC2FAEBBD7F4}" id="{7002C9EA-35A0-71D7-1E60-A0BDA7D5761E}">
    <text>Proyección: 233 entradas menos una redirección aprobada (stewardpuertorico → steward).</text>
  </threadedComment>
  <threadedComment ref="B15" dT="2026-08-09T03:11:34.39" personId="{7C049B03-C86D-4E7D-BB5A-EC2FAEBBD7F4}" id="{97FD37E1-5B1B-2FFC-149D-381CE570E900}">
    <text>El dictamen aprobado degrada price–totumo; por eso el total proyectado baja de 382 a 381 corroboradas.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tabSelected="1" workbookViewId="0">
      <selection sqref="A1:H1"/>
    </sheetView>
  </sheetViews>
  <sheetFormatPr baseColWidth="10" defaultColWidth="8.83203125" defaultRowHeight="14"/>
  <cols>
    <col min="1" max="1" width="34" customWidth="1"/>
    <col min="2" max="2" width="18" customWidth="1"/>
    <col min="4" max="8" width="16" customWidth="1"/>
  </cols>
  <sheetData>
    <row r="1" spans="1:8" ht="30" customHeight="1">
      <c r="A1" s="72" t="s">
        <v>0</v>
      </c>
      <c r="B1" s="72" t="s">
        <v>0</v>
      </c>
      <c r="C1" s="72" t="s">
        <v>0</v>
      </c>
      <c r="D1" s="72" t="s">
        <v>0</v>
      </c>
      <c r="E1" s="72" t="s">
        <v>0</v>
      </c>
      <c r="F1" s="72" t="s">
        <v>0</v>
      </c>
      <c r="G1" s="72" t="s">
        <v>0</v>
      </c>
      <c r="H1" s="72" t="s">
        <v>0</v>
      </c>
    </row>
    <row r="2" spans="1:8" ht="30" customHeight="1">
      <c r="A2" s="73" t="s">
        <v>1</v>
      </c>
      <c r="B2" s="73" t="s">
        <v>1</v>
      </c>
      <c r="C2" s="73" t="s">
        <v>1</v>
      </c>
      <c r="D2" s="73" t="s">
        <v>1</v>
      </c>
      <c r="E2" s="73" t="s">
        <v>1</v>
      </c>
      <c r="F2" s="73" t="s">
        <v>1</v>
      </c>
      <c r="G2" s="73" t="s">
        <v>1</v>
      </c>
      <c r="H2" s="73" t="s">
        <v>1</v>
      </c>
    </row>
    <row r="4" spans="1:8">
      <c r="A4" s="1" t="s">
        <v>2</v>
      </c>
      <c r="B4" s="2" t="s">
        <v>3</v>
      </c>
      <c r="D4" s="74" t="s">
        <v>4</v>
      </c>
      <c r="E4" s="75" t="s">
        <v>4</v>
      </c>
      <c r="F4" s="75" t="s">
        <v>4</v>
      </c>
      <c r="G4" s="75" t="s">
        <v>4</v>
      </c>
      <c r="H4" s="76" t="s">
        <v>4</v>
      </c>
    </row>
    <row r="5" spans="1:8" ht="34" customHeight="1">
      <c r="A5" s="6" t="s">
        <v>5</v>
      </c>
      <c r="B5" s="9">
        <f>COUNTA('Plan 233'!$A$5:$A$237)</f>
        <v>233</v>
      </c>
      <c r="D5" s="77" t="s">
        <v>6</v>
      </c>
      <c r="E5" s="77"/>
      <c r="F5" s="77"/>
      <c r="G5" s="77"/>
      <c r="H5" s="77"/>
    </row>
    <row r="6" spans="1:8" ht="34" customHeight="1">
      <c r="A6" s="7" t="s">
        <v>7</v>
      </c>
      <c r="B6" s="10">
        <f>B5-COUNTIF('Plan 233'!$K$5:$K$237,"revisada_redireccion")</f>
        <v>232</v>
      </c>
      <c r="D6" s="78" t="s">
        <v>8</v>
      </c>
      <c r="E6" s="78"/>
      <c r="F6" s="78"/>
      <c r="G6" s="78"/>
      <c r="H6" s="78"/>
    </row>
    <row r="7" spans="1:8" ht="34" customHeight="1">
      <c r="A7" s="7" t="s">
        <v>9</v>
      </c>
      <c r="B7" s="10">
        <v>27</v>
      </c>
      <c r="D7" s="78" t="s">
        <v>10</v>
      </c>
      <c r="E7" s="78"/>
      <c r="F7" s="78"/>
      <c r="G7" s="78"/>
      <c r="H7" s="78"/>
    </row>
    <row r="8" spans="1:8" ht="34" customHeight="1">
      <c r="A8" s="7" t="s">
        <v>11</v>
      </c>
      <c r="B8" s="10">
        <v>17</v>
      </c>
      <c r="D8" s="78" t="s">
        <v>12</v>
      </c>
      <c r="E8" s="78"/>
      <c r="F8" s="78"/>
      <c r="G8" s="78"/>
      <c r="H8" s="78"/>
    </row>
    <row r="9" spans="1:8" ht="34" customHeight="1">
      <c r="A9" s="7" t="s">
        <v>13</v>
      </c>
      <c r="B9" s="10">
        <f>COUNTIF('Plan 233'!$W$5:$W$237,"SÍ")</f>
        <v>1</v>
      </c>
      <c r="D9" s="78" t="s">
        <v>14</v>
      </c>
      <c r="E9" s="78"/>
      <c r="F9" s="78"/>
      <c r="G9" s="78"/>
      <c r="H9" s="78"/>
    </row>
    <row r="10" spans="1:8" ht="34" customHeight="1">
      <c r="A10" s="7" t="s">
        <v>15</v>
      </c>
      <c r="B10" s="10">
        <f>B5-B9</f>
        <v>232</v>
      </c>
      <c r="D10" s="78" t="s">
        <v>16</v>
      </c>
      <c r="E10" s="78"/>
      <c r="F10" s="78"/>
      <c r="G10" s="78"/>
      <c r="H10" s="78"/>
    </row>
    <row r="11" spans="1:8" ht="34" customHeight="1">
      <c r="A11" s="7" t="s">
        <v>17</v>
      </c>
      <c r="B11" s="10">
        <v>16</v>
      </c>
      <c r="D11" s="78" t="s">
        <v>18</v>
      </c>
      <c r="E11" s="78"/>
      <c r="F11" s="78"/>
      <c r="G11" s="78"/>
      <c r="H11" s="78"/>
    </row>
    <row r="12" spans="1:8" ht="34" customHeight="1">
      <c r="A12" s="7" t="s">
        <v>19</v>
      </c>
      <c r="B12" s="10">
        <v>4</v>
      </c>
      <c r="D12" s="79" t="s">
        <v>20</v>
      </c>
      <c r="E12" s="79"/>
      <c r="F12" s="79"/>
      <c r="G12" s="79"/>
      <c r="H12" s="79"/>
    </row>
    <row r="13" spans="1:8">
      <c r="A13" s="7" t="s">
        <v>21</v>
      </c>
      <c r="B13" s="10">
        <f>COUNTA('Plan relaciones'!$A$5:$A$592)</f>
        <v>588</v>
      </c>
    </row>
    <row r="14" spans="1:8">
      <c r="A14" s="7" t="s">
        <v>22</v>
      </c>
      <c r="B14" s="10">
        <f>COUNTIF('Plan relaciones'!$H$5:$H$592,"corroborada")</f>
        <v>382</v>
      </c>
      <c r="D14" s="80" t="s">
        <v>23</v>
      </c>
      <c r="E14" s="80" t="s">
        <v>23</v>
      </c>
      <c r="F14" s="80" t="s">
        <v>23</v>
      </c>
      <c r="G14" s="80" t="s">
        <v>23</v>
      </c>
      <c r="H14" s="80" t="s">
        <v>23</v>
      </c>
    </row>
    <row r="15" spans="1:8">
      <c r="A15" s="7" t="s">
        <v>24</v>
      </c>
      <c r="B15" s="10">
        <f>COUNTIF('Plan relaciones'!$H$5:$H$592,"por_corroborar")</f>
        <v>206</v>
      </c>
      <c r="D15" s="81" t="s">
        <v>25</v>
      </c>
      <c r="E15" s="81"/>
      <c r="F15" s="81"/>
      <c r="G15" s="81"/>
      <c r="H15" s="81"/>
    </row>
    <row r="16" spans="1:8">
      <c r="A16" s="7" t="s">
        <v>26</v>
      </c>
      <c r="B16" s="10">
        <v>362</v>
      </c>
      <c r="D16" s="82" t="s">
        <v>27</v>
      </c>
      <c r="E16" s="82"/>
      <c r="F16" s="82"/>
      <c r="G16" s="82"/>
      <c r="H16" s="82"/>
    </row>
    <row r="17" spans="1:8">
      <c r="A17" s="7" t="s">
        <v>28</v>
      </c>
      <c r="B17" s="10">
        <v>226</v>
      </c>
      <c r="D17" s="82" t="s">
        <v>29</v>
      </c>
      <c r="E17" s="82"/>
      <c r="F17" s="82"/>
      <c r="G17" s="82"/>
      <c r="H17" s="82"/>
    </row>
    <row r="18" spans="1:8">
      <c r="A18" s="8" t="s">
        <v>30</v>
      </c>
      <c r="B18" s="11">
        <v>43</v>
      </c>
      <c r="D18" s="83" t="s">
        <v>31</v>
      </c>
      <c r="E18" s="83"/>
      <c r="F18" s="83"/>
      <c r="G18" s="83"/>
      <c r="H18" s="83"/>
    </row>
  </sheetData>
  <mergeCells count="16">
    <mergeCell ref="D18:H18"/>
    <mergeCell ref="D12:H12"/>
    <mergeCell ref="D14:H14"/>
    <mergeCell ref="D15:H15"/>
    <mergeCell ref="D16:H16"/>
    <mergeCell ref="D17:H17"/>
    <mergeCell ref="D7:H7"/>
    <mergeCell ref="D8:H8"/>
    <mergeCell ref="D9:H9"/>
    <mergeCell ref="D10:H10"/>
    <mergeCell ref="D11:H11"/>
    <mergeCell ref="A1:H1"/>
    <mergeCell ref="A2:H2"/>
    <mergeCell ref="D4:H4"/>
    <mergeCell ref="D5:H5"/>
    <mergeCell ref="D6:H6"/>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showGridLines="0" workbookViewId="0"/>
  </sheetViews>
  <sheetFormatPr baseColWidth="10" defaultColWidth="8.83203125" defaultRowHeight="14"/>
  <cols>
    <col min="1" max="2" width="10" customWidth="1"/>
    <col min="3" max="3" width="28" customWidth="1"/>
    <col min="4" max="4" width="42" customWidth="1"/>
    <col min="5" max="10" width="14" customWidth="1"/>
    <col min="11" max="11" width="30" customWidth="1"/>
    <col min="12" max="12" width="14" customWidth="1"/>
    <col min="13" max="13" width="46" customWidth="1"/>
    <col min="14" max="14" width="38" customWidth="1"/>
  </cols>
  <sheetData>
    <row r="1" spans="1:14" ht="30" customHeight="1">
      <c r="A1" s="72" t="s">
        <v>32</v>
      </c>
      <c r="B1" s="72" t="s">
        <v>32</v>
      </c>
      <c r="C1" s="72" t="s">
        <v>32</v>
      </c>
      <c r="D1" s="72" t="s">
        <v>32</v>
      </c>
      <c r="E1" s="72" t="s">
        <v>32</v>
      </c>
      <c r="F1" s="72" t="s">
        <v>32</v>
      </c>
      <c r="G1" s="72" t="s">
        <v>32</v>
      </c>
      <c r="H1" s="72" t="s">
        <v>32</v>
      </c>
      <c r="I1" s="72" t="s">
        <v>32</v>
      </c>
      <c r="J1" s="72" t="s">
        <v>32</v>
      </c>
      <c r="K1" s="72" t="s">
        <v>32</v>
      </c>
      <c r="L1" s="72" t="s">
        <v>32</v>
      </c>
      <c r="M1" s="72" t="s">
        <v>32</v>
      </c>
      <c r="N1" s="72" t="s">
        <v>32</v>
      </c>
    </row>
    <row r="2" spans="1:14" ht="30" customHeight="1">
      <c r="A2" s="73" t="s">
        <v>33</v>
      </c>
      <c r="B2" s="73" t="s">
        <v>33</v>
      </c>
      <c r="C2" s="73" t="s">
        <v>33</v>
      </c>
      <c r="D2" s="73" t="s">
        <v>33</v>
      </c>
      <c r="E2" s="73" t="s">
        <v>33</v>
      </c>
      <c r="F2" s="73" t="s">
        <v>33</v>
      </c>
      <c r="G2" s="73" t="s">
        <v>33</v>
      </c>
      <c r="H2" s="73" t="s">
        <v>33</v>
      </c>
      <c r="I2" s="73" t="s">
        <v>33</v>
      </c>
      <c r="J2" s="73" t="s">
        <v>33</v>
      </c>
      <c r="K2" s="73" t="s">
        <v>33</v>
      </c>
      <c r="L2" s="73" t="s">
        <v>33</v>
      </c>
      <c r="M2" s="73" t="s">
        <v>33</v>
      </c>
      <c r="N2" s="73" t="s">
        <v>33</v>
      </c>
    </row>
    <row r="4" spans="1:14" ht="28">
      <c r="A4" s="1" t="s">
        <v>34</v>
      </c>
      <c r="B4" s="12" t="s">
        <v>35</v>
      </c>
      <c r="C4" s="12" t="s">
        <v>36</v>
      </c>
      <c r="D4" s="12" t="s">
        <v>37</v>
      </c>
      <c r="E4" s="12" t="s">
        <v>38</v>
      </c>
      <c r="F4" s="12" t="s">
        <v>39</v>
      </c>
      <c r="G4" s="12" t="s">
        <v>40</v>
      </c>
      <c r="H4" s="12" t="s">
        <v>41</v>
      </c>
      <c r="I4" s="12" t="s">
        <v>42</v>
      </c>
      <c r="J4" s="12" t="s">
        <v>43</v>
      </c>
      <c r="K4" s="12" t="s">
        <v>44</v>
      </c>
      <c r="L4" s="12" t="s">
        <v>45</v>
      </c>
      <c r="M4" s="12" t="s">
        <v>46</v>
      </c>
      <c r="N4" s="2" t="s">
        <v>47</v>
      </c>
    </row>
    <row r="5" spans="1:14" ht="45" customHeight="1">
      <c r="A5" s="16">
        <v>1</v>
      </c>
      <c r="B5" s="16" t="s">
        <v>48</v>
      </c>
      <c r="C5" s="17" t="s">
        <v>49</v>
      </c>
      <c r="D5" s="17" t="s">
        <v>50</v>
      </c>
      <c r="E5" s="16">
        <v>10</v>
      </c>
      <c r="F5" s="16">
        <v>3</v>
      </c>
      <c r="G5" s="16">
        <v>3</v>
      </c>
      <c r="H5" s="16">
        <v>0</v>
      </c>
      <c r="I5" s="16">
        <v>2</v>
      </c>
      <c r="J5" s="16">
        <v>1</v>
      </c>
      <c r="K5" s="17" t="s">
        <v>51</v>
      </c>
      <c r="L5" s="17" t="s">
        <v>52</v>
      </c>
      <c r="M5" s="17" t="s">
        <v>53</v>
      </c>
      <c r="N5" s="17" t="s">
        <v>54</v>
      </c>
    </row>
    <row r="6" spans="1:14" ht="45" customHeight="1">
      <c r="A6" s="18">
        <v>2</v>
      </c>
      <c r="B6" s="18" t="s">
        <v>55</v>
      </c>
      <c r="C6" s="19" t="s">
        <v>56</v>
      </c>
      <c r="D6" s="19" t="s">
        <v>57</v>
      </c>
      <c r="E6" s="18">
        <v>11</v>
      </c>
      <c r="F6" s="18">
        <v>12</v>
      </c>
      <c r="G6" s="18">
        <v>7</v>
      </c>
      <c r="H6" s="18">
        <v>5</v>
      </c>
      <c r="I6" s="18">
        <v>6</v>
      </c>
      <c r="J6" s="18">
        <v>6</v>
      </c>
      <c r="K6" s="19" t="s">
        <v>51</v>
      </c>
      <c r="L6" s="19" t="s">
        <v>48</v>
      </c>
      <c r="M6" s="19" t="s">
        <v>53</v>
      </c>
      <c r="N6" s="19" t="s">
        <v>54</v>
      </c>
    </row>
    <row r="7" spans="1:14" ht="45" customHeight="1">
      <c r="A7" s="20">
        <v>3</v>
      </c>
      <c r="B7" s="20" t="s">
        <v>58</v>
      </c>
      <c r="C7" s="21" t="s">
        <v>59</v>
      </c>
      <c r="D7" s="21" t="s">
        <v>60</v>
      </c>
      <c r="E7" s="20">
        <v>18</v>
      </c>
      <c r="F7" s="20">
        <v>14</v>
      </c>
      <c r="G7" s="20">
        <v>7</v>
      </c>
      <c r="H7" s="20">
        <v>7</v>
      </c>
      <c r="I7" s="20">
        <v>13</v>
      </c>
      <c r="J7" s="20">
        <v>1</v>
      </c>
      <c r="K7" s="21" t="s">
        <v>51</v>
      </c>
      <c r="L7" s="21" t="s">
        <v>55</v>
      </c>
      <c r="M7" s="21" t="s">
        <v>53</v>
      </c>
      <c r="N7" s="21" t="s">
        <v>54</v>
      </c>
    </row>
    <row r="8" spans="1:14" ht="45" customHeight="1">
      <c r="A8" s="18">
        <v>4</v>
      </c>
      <c r="B8" s="18" t="s">
        <v>61</v>
      </c>
      <c r="C8" s="19" t="s">
        <v>62</v>
      </c>
      <c r="D8" s="19" t="s">
        <v>60</v>
      </c>
      <c r="E8" s="18">
        <v>18</v>
      </c>
      <c r="F8" s="18">
        <v>14</v>
      </c>
      <c r="G8" s="18">
        <v>2</v>
      </c>
      <c r="H8" s="18">
        <v>12</v>
      </c>
      <c r="I8" s="18">
        <v>11</v>
      </c>
      <c r="J8" s="18">
        <v>3</v>
      </c>
      <c r="K8" s="19" t="s">
        <v>51</v>
      </c>
      <c r="L8" s="19" t="s">
        <v>58</v>
      </c>
      <c r="M8" s="19" t="s">
        <v>53</v>
      </c>
      <c r="N8" s="19" t="s">
        <v>54</v>
      </c>
    </row>
    <row r="9" spans="1:14" ht="45" customHeight="1">
      <c r="A9" s="23">
        <v>5</v>
      </c>
      <c r="B9" s="23" t="s">
        <v>63</v>
      </c>
      <c r="C9" s="24" t="s">
        <v>64</v>
      </c>
      <c r="D9" s="24" t="s">
        <v>65</v>
      </c>
      <c r="E9" s="23">
        <v>233</v>
      </c>
      <c r="F9" s="23">
        <v>0</v>
      </c>
      <c r="G9" s="23">
        <v>0</v>
      </c>
      <c r="H9" s="23">
        <v>0</v>
      </c>
      <c r="I9" s="23">
        <v>0</v>
      </c>
      <c r="J9" s="23">
        <v>0</v>
      </c>
      <c r="K9" s="24" t="s">
        <v>66</v>
      </c>
      <c r="L9" s="24" t="s">
        <v>61</v>
      </c>
      <c r="M9" s="24" t="s">
        <v>67</v>
      </c>
      <c r="N9" s="24" t="s">
        <v>68</v>
      </c>
    </row>
    <row r="10" spans="1:14" ht="45" customHeight="1">
      <c r="A10" s="18">
        <v>6</v>
      </c>
      <c r="B10" s="18" t="s">
        <v>69</v>
      </c>
      <c r="C10" s="19" t="s">
        <v>70</v>
      </c>
      <c r="D10" s="19" t="s">
        <v>60</v>
      </c>
      <c r="E10" s="18">
        <v>18</v>
      </c>
      <c r="F10" s="18">
        <v>24</v>
      </c>
      <c r="G10" s="18">
        <v>8</v>
      </c>
      <c r="H10" s="18">
        <v>16</v>
      </c>
      <c r="I10" s="18">
        <v>18</v>
      </c>
      <c r="J10" s="18">
        <v>6</v>
      </c>
      <c r="K10" s="19" t="s">
        <v>71</v>
      </c>
      <c r="L10" s="19" t="s">
        <v>63</v>
      </c>
      <c r="M10" s="19" t="s">
        <v>53</v>
      </c>
      <c r="N10" s="19" t="s">
        <v>54</v>
      </c>
    </row>
    <row r="11" spans="1:14" ht="45" customHeight="1">
      <c r="A11" s="20">
        <v>7</v>
      </c>
      <c r="B11" s="20" t="s">
        <v>72</v>
      </c>
      <c r="C11" s="21" t="s">
        <v>73</v>
      </c>
      <c r="D11" s="21" t="s">
        <v>74</v>
      </c>
      <c r="E11" s="20">
        <v>17</v>
      </c>
      <c r="F11" s="20">
        <v>42</v>
      </c>
      <c r="G11" s="20">
        <v>18</v>
      </c>
      <c r="H11" s="20">
        <v>24</v>
      </c>
      <c r="I11" s="20">
        <v>33</v>
      </c>
      <c r="J11" s="20">
        <v>9</v>
      </c>
      <c r="K11" s="21" t="s">
        <v>71</v>
      </c>
      <c r="L11" s="21" t="s">
        <v>69</v>
      </c>
      <c r="M11" s="21" t="s">
        <v>53</v>
      </c>
      <c r="N11" s="21" t="s">
        <v>54</v>
      </c>
    </row>
    <row r="12" spans="1:14" ht="45" customHeight="1">
      <c r="A12" s="18">
        <v>8</v>
      </c>
      <c r="B12" s="18" t="s">
        <v>75</v>
      </c>
      <c r="C12" s="19" t="s">
        <v>76</v>
      </c>
      <c r="D12" s="19" t="s">
        <v>74</v>
      </c>
      <c r="E12" s="18">
        <v>16</v>
      </c>
      <c r="F12" s="18">
        <v>40</v>
      </c>
      <c r="G12" s="18">
        <v>7</v>
      </c>
      <c r="H12" s="18">
        <v>33</v>
      </c>
      <c r="I12" s="18">
        <v>23</v>
      </c>
      <c r="J12" s="18">
        <v>17</v>
      </c>
      <c r="K12" s="19" t="s">
        <v>71</v>
      </c>
      <c r="L12" s="19" t="s">
        <v>72</v>
      </c>
      <c r="M12" s="19" t="s">
        <v>53</v>
      </c>
      <c r="N12" s="19" t="s">
        <v>54</v>
      </c>
    </row>
    <row r="13" spans="1:14" ht="45" customHeight="1">
      <c r="A13" s="20">
        <v>9</v>
      </c>
      <c r="B13" s="20" t="s">
        <v>77</v>
      </c>
      <c r="C13" s="21" t="s">
        <v>78</v>
      </c>
      <c r="D13" s="21" t="s">
        <v>74</v>
      </c>
      <c r="E13" s="20">
        <v>16</v>
      </c>
      <c r="F13" s="20">
        <v>40</v>
      </c>
      <c r="G13" s="20">
        <v>4</v>
      </c>
      <c r="H13" s="20">
        <v>36</v>
      </c>
      <c r="I13" s="20">
        <v>32</v>
      </c>
      <c r="J13" s="20">
        <v>8</v>
      </c>
      <c r="K13" s="21" t="s">
        <v>71</v>
      </c>
      <c r="L13" s="21" t="s">
        <v>75</v>
      </c>
      <c r="M13" s="21" t="s">
        <v>53</v>
      </c>
      <c r="N13" s="21" t="s">
        <v>54</v>
      </c>
    </row>
    <row r="14" spans="1:14" ht="45" customHeight="1">
      <c r="A14" s="18">
        <v>10</v>
      </c>
      <c r="B14" s="18" t="s">
        <v>79</v>
      </c>
      <c r="C14" s="19" t="s">
        <v>80</v>
      </c>
      <c r="D14" s="19" t="s">
        <v>74</v>
      </c>
      <c r="E14" s="18">
        <v>16</v>
      </c>
      <c r="F14" s="18">
        <v>39</v>
      </c>
      <c r="G14" s="18">
        <v>6</v>
      </c>
      <c r="H14" s="18">
        <v>33</v>
      </c>
      <c r="I14" s="18">
        <v>17</v>
      </c>
      <c r="J14" s="18">
        <v>22</v>
      </c>
      <c r="K14" s="19" t="s">
        <v>71</v>
      </c>
      <c r="L14" s="19" t="s">
        <v>77</v>
      </c>
      <c r="M14" s="19" t="s">
        <v>53</v>
      </c>
      <c r="N14" s="19" t="s">
        <v>54</v>
      </c>
    </row>
    <row r="15" spans="1:14" ht="45" customHeight="1">
      <c r="A15" s="20">
        <v>11</v>
      </c>
      <c r="B15" s="20" t="s">
        <v>81</v>
      </c>
      <c r="C15" s="21" t="s">
        <v>82</v>
      </c>
      <c r="D15" s="21" t="s">
        <v>74</v>
      </c>
      <c r="E15" s="20">
        <v>16</v>
      </c>
      <c r="F15" s="20">
        <v>41</v>
      </c>
      <c r="G15" s="20">
        <v>10</v>
      </c>
      <c r="H15" s="20">
        <v>31</v>
      </c>
      <c r="I15" s="20">
        <v>18</v>
      </c>
      <c r="J15" s="20">
        <v>23</v>
      </c>
      <c r="K15" s="21" t="s">
        <v>71</v>
      </c>
      <c r="L15" s="21" t="s">
        <v>79</v>
      </c>
      <c r="M15" s="21" t="s">
        <v>53</v>
      </c>
      <c r="N15" s="21" t="s">
        <v>54</v>
      </c>
    </row>
    <row r="16" spans="1:14" ht="45" customHeight="1">
      <c r="A16" s="18">
        <v>12</v>
      </c>
      <c r="B16" s="18" t="s">
        <v>83</v>
      </c>
      <c r="C16" s="19" t="s">
        <v>84</v>
      </c>
      <c r="D16" s="19" t="s">
        <v>85</v>
      </c>
      <c r="E16" s="18">
        <v>16</v>
      </c>
      <c r="F16" s="18">
        <v>64</v>
      </c>
      <c r="G16" s="18">
        <v>6</v>
      </c>
      <c r="H16" s="18">
        <v>58</v>
      </c>
      <c r="I16" s="18">
        <v>44</v>
      </c>
      <c r="J16" s="18">
        <v>20</v>
      </c>
      <c r="K16" s="19" t="s">
        <v>71</v>
      </c>
      <c r="L16" s="19" t="s">
        <v>81</v>
      </c>
      <c r="M16" s="19" t="s">
        <v>53</v>
      </c>
      <c r="N16" s="19" t="s">
        <v>54</v>
      </c>
    </row>
    <row r="17" spans="1:14" ht="45" customHeight="1">
      <c r="A17" s="20">
        <v>13</v>
      </c>
      <c r="B17" s="20" t="s">
        <v>86</v>
      </c>
      <c r="C17" s="21" t="s">
        <v>87</v>
      </c>
      <c r="D17" s="21" t="s">
        <v>85</v>
      </c>
      <c r="E17" s="20">
        <v>15</v>
      </c>
      <c r="F17" s="20">
        <v>61</v>
      </c>
      <c r="G17" s="20">
        <v>10</v>
      </c>
      <c r="H17" s="20">
        <v>51</v>
      </c>
      <c r="I17" s="20">
        <v>41</v>
      </c>
      <c r="J17" s="20">
        <v>20</v>
      </c>
      <c r="K17" s="21" t="s">
        <v>71</v>
      </c>
      <c r="L17" s="21" t="s">
        <v>83</v>
      </c>
      <c r="M17" s="21" t="s">
        <v>53</v>
      </c>
      <c r="N17" s="21" t="s">
        <v>54</v>
      </c>
    </row>
    <row r="18" spans="1:14" ht="45" customHeight="1">
      <c r="A18" s="18">
        <v>14</v>
      </c>
      <c r="B18" s="18" t="s">
        <v>88</v>
      </c>
      <c r="C18" s="19" t="s">
        <v>89</v>
      </c>
      <c r="D18" s="19" t="s">
        <v>85</v>
      </c>
      <c r="E18" s="18">
        <v>15</v>
      </c>
      <c r="F18" s="18">
        <v>51</v>
      </c>
      <c r="G18" s="18">
        <v>5</v>
      </c>
      <c r="H18" s="18">
        <v>46</v>
      </c>
      <c r="I18" s="18">
        <v>41</v>
      </c>
      <c r="J18" s="18">
        <v>10</v>
      </c>
      <c r="K18" s="19" t="s">
        <v>71</v>
      </c>
      <c r="L18" s="19" t="s">
        <v>86</v>
      </c>
      <c r="M18" s="19" t="s">
        <v>53</v>
      </c>
      <c r="N18" s="19" t="s">
        <v>54</v>
      </c>
    </row>
    <row r="19" spans="1:14" ht="45" customHeight="1">
      <c r="A19" s="20">
        <v>15</v>
      </c>
      <c r="B19" s="20" t="s">
        <v>90</v>
      </c>
      <c r="C19" s="21" t="s">
        <v>91</v>
      </c>
      <c r="D19" s="21" t="s">
        <v>85</v>
      </c>
      <c r="E19" s="20">
        <v>15</v>
      </c>
      <c r="F19" s="20">
        <v>65</v>
      </c>
      <c r="G19" s="20">
        <v>12</v>
      </c>
      <c r="H19" s="20">
        <v>53</v>
      </c>
      <c r="I19" s="20">
        <v>37</v>
      </c>
      <c r="J19" s="20">
        <v>28</v>
      </c>
      <c r="K19" s="21" t="s">
        <v>71</v>
      </c>
      <c r="L19" s="21" t="s">
        <v>88</v>
      </c>
      <c r="M19" s="21" t="s">
        <v>53</v>
      </c>
      <c r="N19" s="21" t="s">
        <v>54</v>
      </c>
    </row>
    <row r="20" spans="1:14" ht="45" customHeight="1">
      <c r="A20" s="22">
        <v>16</v>
      </c>
      <c r="B20" s="22" t="s">
        <v>92</v>
      </c>
      <c r="C20" s="22" t="s">
        <v>93</v>
      </c>
      <c r="D20" s="22" t="s">
        <v>94</v>
      </c>
      <c r="E20" s="22">
        <v>16</v>
      </c>
      <c r="F20" s="22">
        <v>78</v>
      </c>
      <c r="G20" s="22">
        <v>10</v>
      </c>
      <c r="H20" s="22">
        <v>68</v>
      </c>
      <c r="I20" s="22">
        <v>45</v>
      </c>
      <c r="J20" s="22">
        <v>33</v>
      </c>
      <c r="K20" s="22" t="s">
        <v>71</v>
      </c>
      <c r="L20" s="22" t="s">
        <v>90</v>
      </c>
      <c r="M20" s="22" t="s">
        <v>53</v>
      </c>
      <c r="N20" s="22" t="s">
        <v>54</v>
      </c>
    </row>
  </sheetData>
  <mergeCells count="2">
    <mergeCell ref="A1:N1"/>
    <mergeCell ref="A2:N2"/>
  </mergeCells>
  <conditionalFormatting sqref="K5:K19">
    <cfRule type="containsText" dxfId="22" priority="1" operator="containsText" text="cerrado"/>
    <cfRule type="containsText" dxfId="21" priority="2" operator="containsText" text="siguiente"/>
  </conditionalFormatting>
  <dataValidations count="2">
    <dataValidation type="list" sqref="K5:K19" xr:uid="{00000000-0002-0000-0100-000000000000}">
      <formula1>"pendiente,siguiente,en_revision,cerrado,cerrado_con_pendiente_declarado,devuelto"</formula1>
    </dataValidation>
    <dataValidation type="list" sqref="K5:K20" xr:uid="{00000000-0002-0000-0100-000001000000}">
      <formula1>"cerrado_capa_transicion,siguiente,pendiente,bloqueado"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37"/>
  <sheetViews>
    <sheetView showGridLines="0" workbookViewId="0"/>
  </sheetViews>
  <sheetFormatPr baseColWidth="10" defaultColWidth="8.83203125" defaultRowHeight="14"/>
  <cols>
    <col min="1" max="1" width="22" customWidth="1"/>
    <col min="2" max="2" width="42" customWidth="1"/>
    <col min="3" max="3" width="27" customWidth="1"/>
    <col min="4" max="4" width="14" customWidth="1"/>
    <col min="5" max="5" width="31" customWidth="1"/>
    <col min="6" max="6" width="45" customWidth="1"/>
    <col min="7" max="7" width="28" customWidth="1"/>
    <col min="8" max="9" width="10" customWidth="1"/>
    <col min="10" max="10" width="29" customWidth="1"/>
    <col min="11" max="11" width="27" customWidth="1"/>
    <col min="12" max="13" width="36" customWidth="1"/>
    <col min="14" max="16" width="42" customWidth="1"/>
    <col min="17" max="17" width="48" customWidth="1"/>
    <col min="18" max="18" width="56" customWidth="1"/>
    <col min="19" max="19" width="28" customWidth="1"/>
    <col min="20" max="20" width="15" customWidth="1"/>
    <col min="21" max="23" width="17" customWidth="1"/>
    <col min="24" max="24" width="44" customWidth="1"/>
  </cols>
  <sheetData>
    <row r="1" spans="1:24" ht="30" customHeight="1">
      <c r="A1" s="72" t="s">
        <v>95</v>
      </c>
      <c r="B1" s="72" t="s">
        <v>95</v>
      </c>
      <c r="C1" s="72" t="s">
        <v>95</v>
      </c>
      <c r="D1" s="72" t="s">
        <v>95</v>
      </c>
      <c r="E1" s="72" t="s">
        <v>95</v>
      </c>
      <c r="F1" s="72" t="s">
        <v>95</v>
      </c>
      <c r="G1" s="72" t="s">
        <v>95</v>
      </c>
      <c r="H1" s="72" t="s">
        <v>95</v>
      </c>
      <c r="I1" s="72" t="s">
        <v>95</v>
      </c>
      <c r="J1" s="72" t="s">
        <v>95</v>
      </c>
      <c r="K1" s="72" t="s">
        <v>95</v>
      </c>
      <c r="L1" s="72" t="s">
        <v>95</v>
      </c>
      <c r="M1" s="72" t="s">
        <v>95</v>
      </c>
      <c r="N1" s="72" t="s">
        <v>95</v>
      </c>
      <c r="O1" s="72" t="s">
        <v>95</v>
      </c>
      <c r="P1" s="72" t="s">
        <v>95</v>
      </c>
      <c r="Q1" s="72" t="s">
        <v>95</v>
      </c>
      <c r="R1" s="72" t="s">
        <v>95</v>
      </c>
      <c r="S1" s="72" t="s">
        <v>95</v>
      </c>
      <c r="T1" s="72" t="s">
        <v>95</v>
      </c>
      <c r="U1" s="72" t="s">
        <v>95</v>
      </c>
      <c r="V1" s="72" t="s">
        <v>95</v>
      </c>
      <c r="W1" s="72" t="s">
        <v>95</v>
      </c>
      <c r="X1" s="72" t="s">
        <v>95</v>
      </c>
    </row>
    <row r="2" spans="1:24" ht="30" customHeight="1">
      <c r="A2" s="73" t="s">
        <v>96</v>
      </c>
      <c r="B2" s="73" t="s">
        <v>96</v>
      </c>
      <c r="C2" s="73" t="s">
        <v>96</v>
      </c>
      <c r="D2" s="73" t="s">
        <v>96</v>
      </c>
      <c r="E2" s="73" t="s">
        <v>96</v>
      </c>
      <c r="F2" s="73" t="s">
        <v>96</v>
      </c>
      <c r="G2" s="73" t="s">
        <v>96</v>
      </c>
      <c r="H2" s="73" t="s">
        <v>96</v>
      </c>
      <c r="I2" s="73" t="s">
        <v>96</v>
      </c>
      <c r="J2" s="73" t="s">
        <v>96</v>
      </c>
      <c r="K2" s="73" t="s">
        <v>96</v>
      </c>
      <c r="L2" s="73" t="s">
        <v>96</v>
      </c>
      <c r="M2" s="73" t="s">
        <v>96</v>
      </c>
      <c r="N2" s="73" t="s">
        <v>96</v>
      </c>
      <c r="O2" s="73" t="s">
        <v>96</v>
      </c>
      <c r="P2" s="73" t="s">
        <v>96</v>
      </c>
      <c r="Q2" s="73" t="s">
        <v>96</v>
      </c>
      <c r="R2" s="73" t="s">
        <v>96</v>
      </c>
      <c r="S2" s="73" t="s">
        <v>96</v>
      </c>
      <c r="T2" s="73" t="s">
        <v>96</v>
      </c>
      <c r="U2" s="73" t="s">
        <v>96</v>
      </c>
      <c r="V2" s="73" t="s">
        <v>96</v>
      </c>
      <c r="W2" s="73" t="s">
        <v>96</v>
      </c>
      <c r="X2" s="73" t="s">
        <v>96</v>
      </c>
    </row>
    <row r="4" spans="1:24" ht="28">
      <c r="A4" s="1" t="s">
        <v>97</v>
      </c>
      <c r="B4" s="12" t="s">
        <v>98</v>
      </c>
      <c r="C4" s="12" t="s">
        <v>99</v>
      </c>
      <c r="D4" s="12" t="s">
        <v>100</v>
      </c>
      <c r="E4" s="12" t="s">
        <v>101</v>
      </c>
      <c r="F4" s="12" t="s">
        <v>102</v>
      </c>
      <c r="G4" s="12" t="s">
        <v>103</v>
      </c>
      <c r="H4" s="12" t="s">
        <v>35</v>
      </c>
      <c r="I4" s="12" t="s">
        <v>104</v>
      </c>
      <c r="J4" s="12" t="s">
        <v>105</v>
      </c>
      <c r="K4" s="12" t="s">
        <v>106</v>
      </c>
      <c r="L4" s="12" t="s">
        <v>107</v>
      </c>
      <c r="M4" s="12" t="s">
        <v>108</v>
      </c>
      <c r="N4" s="12" t="s">
        <v>109</v>
      </c>
      <c r="O4" s="12" t="s">
        <v>110</v>
      </c>
      <c r="P4" s="12" t="s">
        <v>111</v>
      </c>
      <c r="Q4" s="12" t="s">
        <v>112</v>
      </c>
      <c r="R4" s="12" t="s">
        <v>113</v>
      </c>
      <c r="S4" s="12" t="s">
        <v>114</v>
      </c>
      <c r="T4" s="12" t="s">
        <v>115</v>
      </c>
      <c r="U4" s="12" t="s">
        <v>116</v>
      </c>
      <c r="V4" s="12" t="s">
        <v>117</v>
      </c>
      <c r="W4" s="12" t="s">
        <v>118</v>
      </c>
      <c r="X4" s="2" t="s">
        <v>119</v>
      </c>
    </row>
    <row r="5" spans="1:24" ht="46" customHeight="1">
      <c r="A5" s="3" t="s">
        <v>120</v>
      </c>
      <c r="B5" s="3" t="s">
        <v>121</v>
      </c>
      <c r="C5" s="3" t="s">
        <v>122</v>
      </c>
      <c r="D5" s="3" t="s">
        <v>123</v>
      </c>
      <c r="E5" s="3" t="s">
        <v>124</v>
      </c>
      <c r="F5" s="3" t="s">
        <v>125</v>
      </c>
      <c r="G5" s="3" t="s">
        <v>126</v>
      </c>
      <c r="H5" s="3" t="s">
        <v>48</v>
      </c>
      <c r="I5" s="3">
        <v>1</v>
      </c>
      <c r="J5" s="3" t="s">
        <v>127</v>
      </c>
      <c r="K5" s="3" t="s">
        <v>128</v>
      </c>
      <c r="L5" s="3"/>
      <c r="M5" s="3"/>
      <c r="N5" s="3"/>
      <c r="O5" s="3" t="s">
        <v>129</v>
      </c>
      <c r="P5" s="3"/>
      <c r="Q5" s="3"/>
      <c r="R5" s="3" t="s">
        <v>130</v>
      </c>
      <c r="S5" s="3" t="s">
        <v>131</v>
      </c>
      <c r="T5" s="13">
        <v>46242</v>
      </c>
      <c r="U5" s="3" t="s">
        <v>132</v>
      </c>
      <c r="V5" s="3" t="s">
        <v>133</v>
      </c>
      <c r="W5" s="3" t="str">
        <f t="shared" ref="W5:W68" si="0">IF(OR(AND(K5="confirmada",L5&lt;&gt;"",N5&lt;&gt;"",O5&lt;&gt;"",P5&lt;&gt;"",Q5&lt;&gt;"",R5&lt;&gt;"",S5&lt;&gt;"",T5&lt;&gt;"",U5="pasa",V5="aprobada",OR(X5="",X5="—")),AND(K5="revisada_redireccion",Q5&lt;&gt;"",R5&lt;&gt;"",S5&lt;&gt;"",T5&lt;&gt;"",U5="pasa",V5="aprobada",OR(X5="",X5="—"))),"SÍ","NO")</f>
        <v>NO</v>
      </c>
      <c r="X5" s="3" t="s">
        <v>134</v>
      </c>
    </row>
    <row r="6" spans="1:24" ht="46" customHeight="1">
      <c r="A6" s="4" t="s">
        <v>135</v>
      </c>
      <c r="B6" s="4" t="s">
        <v>136</v>
      </c>
      <c r="C6" s="4" t="s">
        <v>137</v>
      </c>
      <c r="D6" s="4" t="s">
        <v>138</v>
      </c>
      <c r="E6" s="4" t="s">
        <v>139</v>
      </c>
      <c r="F6" s="4" t="s">
        <v>140</v>
      </c>
      <c r="G6" s="4" t="s">
        <v>141</v>
      </c>
      <c r="H6" s="4" t="s">
        <v>90</v>
      </c>
      <c r="I6" s="4">
        <v>1</v>
      </c>
      <c r="J6" s="4" t="s">
        <v>142</v>
      </c>
      <c r="K6" s="4" t="s">
        <v>143</v>
      </c>
      <c r="L6" s="4"/>
      <c r="M6" s="4"/>
      <c r="N6" s="4"/>
      <c r="O6" s="4"/>
      <c r="P6" s="4"/>
      <c r="Q6" s="4"/>
      <c r="R6" s="4"/>
      <c r="S6" s="4"/>
      <c r="T6" s="14"/>
      <c r="U6" s="4" t="s">
        <v>71</v>
      </c>
      <c r="V6" s="4" t="s">
        <v>71</v>
      </c>
      <c r="W6" s="4" t="str">
        <f t="shared" si="0"/>
        <v>NO</v>
      </c>
      <c r="X6" s="4"/>
    </row>
    <row r="7" spans="1:24" ht="46" customHeight="1">
      <c r="A7" s="4" t="s">
        <v>144</v>
      </c>
      <c r="B7" s="4" t="s">
        <v>145</v>
      </c>
      <c r="C7" s="4" t="s">
        <v>146</v>
      </c>
      <c r="D7" s="4" t="s">
        <v>147</v>
      </c>
      <c r="E7" s="4" t="s">
        <v>139</v>
      </c>
      <c r="F7" s="4" t="s">
        <v>125</v>
      </c>
      <c r="G7" s="4" t="s">
        <v>141</v>
      </c>
      <c r="H7" s="4" t="s">
        <v>83</v>
      </c>
      <c r="I7" s="4">
        <v>10</v>
      </c>
      <c r="J7" s="4" t="s">
        <v>142</v>
      </c>
      <c r="K7" s="4" t="s">
        <v>143</v>
      </c>
      <c r="L7" s="4"/>
      <c r="M7" s="4"/>
      <c r="N7" s="4"/>
      <c r="O7" s="4"/>
      <c r="P7" s="4"/>
      <c r="Q7" s="4"/>
      <c r="R7" s="4"/>
      <c r="S7" s="4"/>
      <c r="T7" s="14"/>
      <c r="U7" s="4" t="s">
        <v>71</v>
      </c>
      <c r="V7" s="4" t="s">
        <v>71</v>
      </c>
      <c r="W7" s="4" t="str">
        <f t="shared" si="0"/>
        <v>NO</v>
      </c>
      <c r="X7" s="4"/>
    </row>
    <row r="8" spans="1:24" ht="46" customHeight="1">
      <c r="A8" s="4" t="s">
        <v>148</v>
      </c>
      <c r="B8" s="4" t="s">
        <v>149</v>
      </c>
      <c r="C8" s="4" t="s">
        <v>150</v>
      </c>
      <c r="D8" s="4" t="s">
        <v>151</v>
      </c>
      <c r="E8" s="4" t="s">
        <v>152</v>
      </c>
      <c r="F8" s="4" t="s">
        <v>153</v>
      </c>
      <c r="G8" s="4" t="s">
        <v>141</v>
      </c>
      <c r="H8" s="4" t="s">
        <v>48</v>
      </c>
      <c r="I8" s="4">
        <v>2</v>
      </c>
      <c r="J8" s="4" t="s">
        <v>127</v>
      </c>
      <c r="K8" s="4" t="s">
        <v>154</v>
      </c>
      <c r="L8" s="4" t="s">
        <v>155</v>
      </c>
      <c r="M8" s="4"/>
      <c r="N8" s="4" t="s">
        <v>156</v>
      </c>
      <c r="O8" s="4" t="s">
        <v>157</v>
      </c>
      <c r="P8" s="4"/>
      <c r="Q8" s="4" t="s">
        <v>158</v>
      </c>
      <c r="R8" s="4" t="s">
        <v>159</v>
      </c>
      <c r="S8" s="4" t="s">
        <v>131</v>
      </c>
      <c r="T8" s="14">
        <v>46242</v>
      </c>
      <c r="U8" s="4" t="s">
        <v>132</v>
      </c>
      <c r="V8" s="4" t="s">
        <v>133</v>
      </c>
      <c r="W8" s="4" t="str">
        <f t="shared" si="0"/>
        <v>NO</v>
      </c>
      <c r="X8" s="4" t="s">
        <v>160</v>
      </c>
    </row>
    <row r="9" spans="1:24" ht="46" customHeight="1">
      <c r="A9" s="4" t="s">
        <v>161</v>
      </c>
      <c r="B9" s="4" t="s">
        <v>162</v>
      </c>
      <c r="C9" s="4" t="s">
        <v>163</v>
      </c>
      <c r="D9" s="4" t="s">
        <v>164</v>
      </c>
      <c r="E9" s="4" t="s">
        <v>152</v>
      </c>
      <c r="F9" s="4" t="s">
        <v>165</v>
      </c>
      <c r="G9" s="4" t="s">
        <v>141</v>
      </c>
      <c r="H9" s="4" t="s">
        <v>72</v>
      </c>
      <c r="I9" s="4">
        <v>17</v>
      </c>
      <c r="J9" s="4" t="s">
        <v>166</v>
      </c>
      <c r="K9" s="4" t="s">
        <v>143</v>
      </c>
      <c r="L9" s="4"/>
      <c r="M9" s="4"/>
      <c r="N9" s="4"/>
      <c r="O9" s="4"/>
      <c r="P9" s="4"/>
      <c r="Q9" s="4"/>
      <c r="R9" s="4"/>
      <c r="S9" s="4"/>
      <c r="T9" s="14"/>
      <c r="U9" s="4" t="s">
        <v>71</v>
      </c>
      <c r="V9" s="4" t="s">
        <v>71</v>
      </c>
      <c r="W9" s="4" t="str">
        <f t="shared" si="0"/>
        <v>NO</v>
      </c>
      <c r="X9" s="4"/>
    </row>
    <row r="10" spans="1:24" ht="46" customHeight="1">
      <c r="A10" s="4" t="s">
        <v>167</v>
      </c>
      <c r="B10" s="4" t="s">
        <v>168</v>
      </c>
      <c r="C10" s="4" t="s">
        <v>169</v>
      </c>
      <c r="D10" s="4" t="s">
        <v>170</v>
      </c>
      <c r="E10" s="4" t="s">
        <v>152</v>
      </c>
      <c r="F10" s="4" t="s">
        <v>165</v>
      </c>
      <c r="G10" s="4" t="s">
        <v>141</v>
      </c>
      <c r="H10" s="4" t="s">
        <v>72</v>
      </c>
      <c r="I10" s="4">
        <v>16</v>
      </c>
      <c r="J10" s="4" t="s">
        <v>166</v>
      </c>
      <c r="K10" s="4" t="s">
        <v>143</v>
      </c>
      <c r="L10" s="4"/>
      <c r="M10" s="4"/>
      <c r="N10" s="4"/>
      <c r="O10" s="4"/>
      <c r="P10" s="4"/>
      <c r="Q10" s="4"/>
      <c r="R10" s="4"/>
      <c r="S10" s="4"/>
      <c r="T10" s="14"/>
      <c r="U10" s="4" t="s">
        <v>71</v>
      </c>
      <c r="V10" s="4" t="s">
        <v>71</v>
      </c>
      <c r="W10" s="4" t="str">
        <f t="shared" si="0"/>
        <v>NO</v>
      </c>
      <c r="X10" s="4"/>
    </row>
    <row r="11" spans="1:24" ht="46" customHeight="1">
      <c r="A11" s="4" t="s">
        <v>171</v>
      </c>
      <c r="B11" s="4" t="s">
        <v>172</v>
      </c>
      <c r="C11" s="4" t="s">
        <v>173</v>
      </c>
      <c r="D11" s="4"/>
      <c r="E11" s="4" t="s">
        <v>152</v>
      </c>
      <c r="F11" s="4" t="s">
        <v>153</v>
      </c>
      <c r="G11" s="4" t="s">
        <v>174</v>
      </c>
      <c r="H11" s="4" t="s">
        <v>48</v>
      </c>
      <c r="I11" s="4">
        <v>3</v>
      </c>
      <c r="J11" s="4" t="s">
        <v>127</v>
      </c>
      <c r="K11" s="4" t="s">
        <v>154</v>
      </c>
      <c r="L11" s="4" t="s">
        <v>155</v>
      </c>
      <c r="M11" s="4"/>
      <c r="N11" s="4" t="s">
        <v>175</v>
      </c>
      <c r="O11" s="4" t="s">
        <v>176</v>
      </c>
      <c r="P11" s="4"/>
      <c r="Q11" s="4" t="s">
        <v>177</v>
      </c>
      <c r="R11" s="4" t="s">
        <v>178</v>
      </c>
      <c r="S11" s="4" t="s">
        <v>131</v>
      </c>
      <c r="T11" s="14">
        <v>46242</v>
      </c>
      <c r="U11" s="4" t="s">
        <v>132</v>
      </c>
      <c r="V11" s="4" t="s">
        <v>133</v>
      </c>
      <c r="W11" s="4" t="str">
        <f t="shared" si="0"/>
        <v>NO</v>
      </c>
      <c r="X11" s="4" t="s">
        <v>160</v>
      </c>
    </row>
    <row r="12" spans="1:24" ht="46" customHeight="1">
      <c r="A12" s="4" t="s">
        <v>179</v>
      </c>
      <c r="B12" s="4" t="s">
        <v>180</v>
      </c>
      <c r="C12" s="4" t="s">
        <v>181</v>
      </c>
      <c r="D12" s="4" t="s">
        <v>182</v>
      </c>
      <c r="E12" s="4" t="s">
        <v>152</v>
      </c>
      <c r="F12" s="4" t="s">
        <v>183</v>
      </c>
      <c r="G12" s="4" t="s">
        <v>184</v>
      </c>
      <c r="H12" s="4" t="s">
        <v>55</v>
      </c>
      <c r="I12" s="4">
        <v>3</v>
      </c>
      <c r="J12" s="4" t="s">
        <v>185</v>
      </c>
      <c r="K12" s="4" t="s">
        <v>143</v>
      </c>
      <c r="L12" s="4"/>
      <c r="M12" s="4"/>
      <c r="N12" s="4"/>
      <c r="O12" s="4"/>
      <c r="P12" s="4"/>
      <c r="Q12" s="4"/>
      <c r="R12" s="4"/>
      <c r="S12" s="4"/>
      <c r="T12" s="14"/>
      <c r="U12" s="4" t="s">
        <v>71</v>
      </c>
      <c r="V12" s="4" t="s">
        <v>71</v>
      </c>
      <c r="W12" s="4" t="str">
        <f t="shared" si="0"/>
        <v>NO</v>
      </c>
      <c r="X12" s="4"/>
    </row>
    <row r="13" spans="1:24" ht="46" customHeight="1">
      <c r="A13" s="4" t="s">
        <v>186</v>
      </c>
      <c r="B13" s="4" t="s">
        <v>187</v>
      </c>
      <c r="C13" s="4" t="s">
        <v>188</v>
      </c>
      <c r="D13" s="4" t="s">
        <v>189</v>
      </c>
      <c r="E13" s="4" t="s">
        <v>139</v>
      </c>
      <c r="F13" s="4" t="s">
        <v>190</v>
      </c>
      <c r="G13" s="4" t="s">
        <v>184</v>
      </c>
      <c r="H13" s="4" t="s">
        <v>55</v>
      </c>
      <c r="I13" s="4">
        <v>7</v>
      </c>
      <c r="J13" s="4" t="s">
        <v>185</v>
      </c>
      <c r="K13" s="4" t="s">
        <v>143</v>
      </c>
      <c r="L13" s="4"/>
      <c r="M13" s="4"/>
      <c r="N13" s="4"/>
      <c r="O13" s="4"/>
      <c r="P13" s="4"/>
      <c r="Q13" s="4"/>
      <c r="R13" s="4"/>
      <c r="S13" s="4"/>
      <c r="T13" s="14"/>
      <c r="U13" s="4" t="s">
        <v>71</v>
      </c>
      <c r="V13" s="4" t="s">
        <v>71</v>
      </c>
      <c r="W13" s="4" t="str">
        <f t="shared" si="0"/>
        <v>NO</v>
      </c>
      <c r="X13" s="4"/>
    </row>
    <row r="14" spans="1:24" ht="46" customHeight="1">
      <c r="A14" s="4" t="s">
        <v>191</v>
      </c>
      <c r="B14" s="4" t="s">
        <v>192</v>
      </c>
      <c r="C14" s="4" t="s">
        <v>193</v>
      </c>
      <c r="D14" s="4" t="s">
        <v>194</v>
      </c>
      <c r="E14" s="4" t="s">
        <v>152</v>
      </c>
      <c r="F14" s="4" t="s">
        <v>195</v>
      </c>
      <c r="G14" s="4" t="s">
        <v>184</v>
      </c>
      <c r="H14" s="4" t="s">
        <v>55</v>
      </c>
      <c r="I14" s="4">
        <v>5</v>
      </c>
      <c r="J14" s="4" t="s">
        <v>185</v>
      </c>
      <c r="K14" s="4" t="s">
        <v>143</v>
      </c>
      <c r="L14" s="4"/>
      <c r="M14" s="4"/>
      <c r="N14" s="4"/>
      <c r="O14" s="4"/>
      <c r="P14" s="4"/>
      <c r="Q14" s="4"/>
      <c r="R14" s="4"/>
      <c r="S14" s="4"/>
      <c r="T14" s="14"/>
      <c r="U14" s="4" t="s">
        <v>71</v>
      </c>
      <c r="V14" s="4" t="s">
        <v>71</v>
      </c>
      <c r="W14" s="4" t="str">
        <f t="shared" si="0"/>
        <v>NO</v>
      </c>
      <c r="X14" s="4"/>
    </row>
    <row r="15" spans="1:24" ht="46" customHeight="1">
      <c r="A15" s="4" t="s">
        <v>196</v>
      </c>
      <c r="B15" s="4" t="s">
        <v>197</v>
      </c>
      <c r="C15" s="4" t="s">
        <v>198</v>
      </c>
      <c r="D15" s="4" t="s">
        <v>199</v>
      </c>
      <c r="E15" s="4" t="s">
        <v>124</v>
      </c>
      <c r="F15" s="4" t="s">
        <v>190</v>
      </c>
      <c r="G15" s="4" t="s">
        <v>200</v>
      </c>
      <c r="H15" s="4" t="s">
        <v>69</v>
      </c>
      <c r="I15" s="4">
        <v>8</v>
      </c>
      <c r="J15" s="4" t="s">
        <v>201</v>
      </c>
      <c r="K15" s="4" t="s">
        <v>143</v>
      </c>
      <c r="L15" s="4"/>
      <c r="M15" s="4"/>
      <c r="N15" s="4"/>
      <c r="O15" s="4"/>
      <c r="P15" s="4"/>
      <c r="Q15" s="4"/>
      <c r="R15" s="4"/>
      <c r="S15" s="4"/>
      <c r="T15" s="14"/>
      <c r="U15" s="4" t="s">
        <v>71</v>
      </c>
      <c r="V15" s="4" t="s">
        <v>71</v>
      </c>
      <c r="W15" s="4" t="str">
        <f t="shared" si="0"/>
        <v>NO</v>
      </c>
      <c r="X15" s="4"/>
    </row>
    <row r="16" spans="1:24" ht="46" customHeight="1">
      <c r="A16" s="4" t="s">
        <v>202</v>
      </c>
      <c r="B16" s="4" t="s">
        <v>203</v>
      </c>
      <c r="C16" s="4" t="s">
        <v>204</v>
      </c>
      <c r="D16" s="4" t="s">
        <v>205</v>
      </c>
      <c r="E16" s="4" t="s">
        <v>139</v>
      </c>
      <c r="F16" s="4" t="s">
        <v>190</v>
      </c>
      <c r="G16" s="4" t="s">
        <v>184</v>
      </c>
      <c r="H16" s="4" t="s">
        <v>55</v>
      </c>
      <c r="I16" s="4">
        <v>6</v>
      </c>
      <c r="J16" s="4" t="s">
        <v>185</v>
      </c>
      <c r="K16" s="4" t="s">
        <v>143</v>
      </c>
      <c r="L16" s="4"/>
      <c r="M16" s="4"/>
      <c r="N16" s="4"/>
      <c r="O16" s="4"/>
      <c r="P16" s="4"/>
      <c r="Q16" s="4"/>
      <c r="R16" s="4"/>
      <c r="S16" s="4"/>
      <c r="T16" s="14"/>
      <c r="U16" s="4" t="s">
        <v>71</v>
      </c>
      <c r="V16" s="4" t="s">
        <v>71</v>
      </c>
      <c r="W16" s="4" t="str">
        <f t="shared" si="0"/>
        <v>NO</v>
      </c>
      <c r="X16" s="4"/>
    </row>
    <row r="17" spans="1:24" ht="46" customHeight="1">
      <c r="A17" s="4" t="s">
        <v>206</v>
      </c>
      <c r="B17" s="4" t="s">
        <v>207</v>
      </c>
      <c r="C17" s="4" t="s">
        <v>208</v>
      </c>
      <c r="D17" s="4" t="s">
        <v>209</v>
      </c>
      <c r="E17" s="4" t="s">
        <v>152</v>
      </c>
      <c r="F17" s="4" t="s">
        <v>195</v>
      </c>
      <c r="G17" s="4" t="s">
        <v>141</v>
      </c>
      <c r="H17" s="4" t="s">
        <v>79</v>
      </c>
      <c r="I17" s="4">
        <v>14</v>
      </c>
      <c r="J17" s="4" t="s">
        <v>166</v>
      </c>
      <c r="K17" s="4" t="s">
        <v>143</v>
      </c>
      <c r="L17" s="4"/>
      <c r="M17" s="4"/>
      <c r="N17" s="4"/>
      <c r="O17" s="4"/>
      <c r="P17" s="4"/>
      <c r="Q17" s="4"/>
      <c r="R17" s="4"/>
      <c r="S17" s="4"/>
      <c r="T17" s="14"/>
      <c r="U17" s="4" t="s">
        <v>71</v>
      </c>
      <c r="V17" s="4" t="s">
        <v>71</v>
      </c>
      <c r="W17" s="4" t="str">
        <f t="shared" si="0"/>
        <v>NO</v>
      </c>
      <c r="X17" s="4"/>
    </row>
    <row r="18" spans="1:24" ht="46" customHeight="1">
      <c r="A18" s="4" t="s">
        <v>210</v>
      </c>
      <c r="B18" s="4" t="s">
        <v>211</v>
      </c>
      <c r="C18" s="4" t="s">
        <v>212</v>
      </c>
      <c r="D18" s="4"/>
      <c r="E18" s="4" t="s">
        <v>152</v>
      </c>
      <c r="F18" s="4" t="s">
        <v>195</v>
      </c>
      <c r="G18" s="4" t="s">
        <v>174</v>
      </c>
      <c r="H18" s="4" t="s">
        <v>48</v>
      </c>
      <c r="I18" s="4">
        <v>4</v>
      </c>
      <c r="J18" s="4" t="s">
        <v>127</v>
      </c>
      <c r="K18" s="4" t="s">
        <v>154</v>
      </c>
      <c r="L18" s="4" t="s">
        <v>213</v>
      </c>
      <c r="M18" s="4" t="s">
        <v>214</v>
      </c>
      <c r="N18" s="4" t="s">
        <v>215</v>
      </c>
      <c r="O18" s="4" t="s">
        <v>216</v>
      </c>
      <c r="P18" s="4" t="s">
        <v>217</v>
      </c>
      <c r="Q18" s="4" t="s">
        <v>218</v>
      </c>
      <c r="R18" s="4" t="s">
        <v>219</v>
      </c>
      <c r="S18" s="4" t="s">
        <v>131</v>
      </c>
      <c r="T18" s="14">
        <v>46242</v>
      </c>
      <c r="U18" s="4" t="s">
        <v>132</v>
      </c>
      <c r="V18" s="4" t="s">
        <v>133</v>
      </c>
      <c r="W18" s="4" t="str">
        <f t="shared" si="0"/>
        <v>NO</v>
      </c>
      <c r="X18" s="4" t="s">
        <v>220</v>
      </c>
    </row>
    <row r="19" spans="1:24" ht="46" customHeight="1">
      <c r="A19" s="4" t="s">
        <v>221</v>
      </c>
      <c r="B19" s="4" t="s">
        <v>222</v>
      </c>
      <c r="C19" s="4" t="s">
        <v>223</v>
      </c>
      <c r="D19" s="4" t="s">
        <v>224</v>
      </c>
      <c r="E19" s="4" t="s">
        <v>152</v>
      </c>
      <c r="F19" s="4" t="s">
        <v>225</v>
      </c>
      <c r="G19" s="4" t="s">
        <v>141</v>
      </c>
      <c r="H19" s="4" t="s">
        <v>77</v>
      </c>
      <c r="I19" s="4">
        <v>16</v>
      </c>
      <c r="J19" s="4" t="s">
        <v>166</v>
      </c>
      <c r="K19" s="4" t="s">
        <v>143</v>
      </c>
      <c r="L19" s="4"/>
      <c r="M19" s="4"/>
      <c r="N19" s="4"/>
      <c r="O19" s="4"/>
      <c r="P19" s="4"/>
      <c r="Q19" s="4"/>
      <c r="R19" s="4"/>
      <c r="S19" s="4"/>
      <c r="T19" s="14"/>
      <c r="U19" s="4" t="s">
        <v>71</v>
      </c>
      <c r="V19" s="4" t="s">
        <v>71</v>
      </c>
      <c r="W19" s="4" t="str">
        <f t="shared" si="0"/>
        <v>NO</v>
      </c>
      <c r="X19" s="4"/>
    </row>
    <row r="20" spans="1:24" ht="46" customHeight="1">
      <c r="A20" s="4" t="s">
        <v>226</v>
      </c>
      <c r="B20" s="4" t="s">
        <v>227</v>
      </c>
      <c r="C20" s="4" t="s">
        <v>228</v>
      </c>
      <c r="D20" s="4" t="s">
        <v>229</v>
      </c>
      <c r="E20" s="4" t="s">
        <v>230</v>
      </c>
      <c r="F20" s="4"/>
      <c r="G20" s="4" t="s">
        <v>141</v>
      </c>
      <c r="H20" s="4" t="s">
        <v>92</v>
      </c>
      <c r="I20" s="4">
        <v>15</v>
      </c>
      <c r="J20" s="4" t="s">
        <v>231</v>
      </c>
      <c r="K20" s="4" t="s">
        <v>143</v>
      </c>
      <c r="L20" s="4"/>
      <c r="M20" s="4"/>
      <c r="N20" s="4"/>
      <c r="O20" s="4"/>
      <c r="P20" s="4"/>
      <c r="Q20" s="4"/>
      <c r="R20" s="4"/>
      <c r="S20" s="4"/>
      <c r="T20" s="14"/>
      <c r="U20" s="4" t="s">
        <v>71</v>
      </c>
      <c r="V20" s="4" t="s">
        <v>71</v>
      </c>
      <c r="W20" s="4" t="str">
        <f t="shared" si="0"/>
        <v>NO</v>
      </c>
      <c r="X20" s="4"/>
    </row>
    <row r="21" spans="1:24" ht="46" customHeight="1">
      <c r="A21" s="4" t="s">
        <v>232</v>
      </c>
      <c r="B21" s="4" t="s">
        <v>233</v>
      </c>
      <c r="C21" s="4" t="s">
        <v>234</v>
      </c>
      <c r="D21" s="4" t="s">
        <v>235</v>
      </c>
      <c r="E21" s="4" t="s">
        <v>230</v>
      </c>
      <c r="F21" s="4"/>
      <c r="G21" s="4" t="s">
        <v>141</v>
      </c>
      <c r="H21" s="4" t="s">
        <v>92</v>
      </c>
      <c r="I21" s="4">
        <v>6</v>
      </c>
      <c r="J21" s="4" t="s">
        <v>231</v>
      </c>
      <c r="K21" s="4" t="s">
        <v>143</v>
      </c>
      <c r="L21" s="4"/>
      <c r="M21" s="4"/>
      <c r="N21" s="4"/>
      <c r="O21" s="4"/>
      <c r="P21" s="4"/>
      <c r="Q21" s="4"/>
      <c r="R21" s="4"/>
      <c r="S21" s="4"/>
      <c r="T21" s="14"/>
      <c r="U21" s="4" t="s">
        <v>71</v>
      </c>
      <c r="V21" s="4" t="s">
        <v>71</v>
      </c>
      <c r="W21" s="4" t="str">
        <f t="shared" si="0"/>
        <v>NO</v>
      </c>
      <c r="X21" s="4"/>
    </row>
    <row r="22" spans="1:24" ht="46" customHeight="1">
      <c r="A22" s="4" t="s">
        <v>236</v>
      </c>
      <c r="B22" s="4" t="s">
        <v>237</v>
      </c>
      <c r="C22" s="4" t="s">
        <v>238</v>
      </c>
      <c r="D22" s="4" t="s">
        <v>239</v>
      </c>
      <c r="E22" s="4" t="s">
        <v>152</v>
      </c>
      <c r="F22" s="4" t="s">
        <v>240</v>
      </c>
      <c r="G22" s="4" t="s">
        <v>141</v>
      </c>
      <c r="H22" s="4" t="s">
        <v>81</v>
      </c>
      <c r="I22" s="4">
        <v>10</v>
      </c>
      <c r="J22" s="4" t="s">
        <v>166</v>
      </c>
      <c r="K22" s="4" t="s">
        <v>143</v>
      </c>
      <c r="L22" s="4"/>
      <c r="M22" s="4"/>
      <c r="N22" s="4"/>
      <c r="O22" s="4"/>
      <c r="P22" s="4"/>
      <c r="Q22" s="4"/>
      <c r="R22" s="4"/>
      <c r="S22" s="4"/>
      <c r="T22" s="14"/>
      <c r="U22" s="4" t="s">
        <v>71</v>
      </c>
      <c r="V22" s="4" t="s">
        <v>71</v>
      </c>
      <c r="W22" s="4" t="str">
        <f t="shared" si="0"/>
        <v>NO</v>
      </c>
      <c r="X22" s="4"/>
    </row>
    <row r="23" spans="1:24" ht="46" customHeight="1">
      <c r="A23" s="4" t="s">
        <v>241</v>
      </c>
      <c r="B23" s="4" t="s">
        <v>242</v>
      </c>
      <c r="C23" s="4" t="s">
        <v>243</v>
      </c>
      <c r="D23" s="4" t="s">
        <v>244</v>
      </c>
      <c r="E23" s="4" t="s">
        <v>152</v>
      </c>
      <c r="F23" s="4" t="s">
        <v>240</v>
      </c>
      <c r="G23" s="4" t="s">
        <v>141</v>
      </c>
      <c r="H23" s="4" t="s">
        <v>81</v>
      </c>
      <c r="I23" s="4">
        <v>15</v>
      </c>
      <c r="J23" s="4" t="s">
        <v>166</v>
      </c>
      <c r="K23" s="4" t="s">
        <v>143</v>
      </c>
      <c r="L23" s="4"/>
      <c r="M23" s="4"/>
      <c r="N23" s="4"/>
      <c r="O23" s="4"/>
      <c r="P23" s="4"/>
      <c r="Q23" s="4"/>
      <c r="R23" s="4"/>
      <c r="S23" s="4"/>
      <c r="T23" s="14"/>
      <c r="U23" s="4" t="s">
        <v>71</v>
      </c>
      <c r="V23" s="4" t="s">
        <v>71</v>
      </c>
      <c r="W23" s="4" t="str">
        <f t="shared" si="0"/>
        <v>NO</v>
      </c>
      <c r="X23" s="4"/>
    </row>
    <row r="24" spans="1:24" ht="46" customHeight="1">
      <c r="A24" s="4" t="s">
        <v>245</v>
      </c>
      <c r="B24" s="4" t="s">
        <v>246</v>
      </c>
      <c r="C24" s="4" t="s">
        <v>247</v>
      </c>
      <c r="D24" s="4" t="s">
        <v>170</v>
      </c>
      <c r="E24" s="4" t="s">
        <v>139</v>
      </c>
      <c r="F24" s="4" t="s">
        <v>248</v>
      </c>
      <c r="G24" s="4" t="s">
        <v>141</v>
      </c>
      <c r="H24" s="4" t="s">
        <v>86</v>
      </c>
      <c r="I24" s="4">
        <v>13</v>
      </c>
      <c r="J24" s="4" t="s">
        <v>142</v>
      </c>
      <c r="K24" s="4" t="s">
        <v>143</v>
      </c>
      <c r="L24" s="4"/>
      <c r="M24" s="4"/>
      <c r="N24" s="4"/>
      <c r="O24" s="4"/>
      <c r="P24" s="4"/>
      <c r="Q24" s="4"/>
      <c r="R24" s="4"/>
      <c r="S24" s="4"/>
      <c r="T24" s="14"/>
      <c r="U24" s="4" t="s">
        <v>71</v>
      </c>
      <c r="V24" s="4" t="s">
        <v>71</v>
      </c>
      <c r="W24" s="4" t="str">
        <f t="shared" si="0"/>
        <v>NO</v>
      </c>
      <c r="X24" s="4"/>
    </row>
    <row r="25" spans="1:24" ht="46" customHeight="1">
      <c r="A25" s="4" t="s">
        <v>249</v>
      </c>
      <c r="B25" s="4" t="s">
        <v>250</v>
      </c>
      <c r="C25" s="4" t="s">
        <v>251</v>
      </c>
      <c r="D25" s="4" t="s">
        <v>229</v>
      </c>
      <c r="E25" s="4" t="s">
        <v>124</v>
      </c>
      <c r="F25" s="4" t="s">
        <v>248</v>
      </c>
      <c r="G25" s="4" t="s">
        <v>200</v>
      </c>
      <c r="H25" s="4" t="s">
        <v>69</v>
      </c>
      <c r="I25" s="4">
        <v>5</v>
      </c>
      <c r="J25" s="4" t="s">
        <v>201</v>
      </c>
      <c r="K25" s="4" t="s">
        <v>143</v>
      </c>
      <c r="L25" s="4"/>
      <c r="M25" s="4"/>
      <c r="N25" s="4"/>
      <c r="O25" s="4"/>
      <c r="P25" s="4"/>
      <c r="Q25" s="4"/>
      <c r="R25" s="4"/>
      <c r="S25" s="4"/>
      <c r="T25" s="14"/>
      <c r="U25" s="4" t="s">
        <v>71</v>
      </c>
      <c r="V25" s="4" t="s">
        <v>71</v>
      </c>
      <c r="W25" s="4" t="str">
        <f t="shared" si="0"/>
        <v>NO</v>
      </c>
      <c r="X25" s="4"/>
    </row>
    <row r="26" spans="1:24" ht="46" customHeight="1">
      <c r="A26" s="4" t="s">
        <v>252</v>
      </c>
      <c r="B26" s="4" t="s">
        <v>253</v>
      </c>
      <c r="C26" s="4" t="s">
        <v>254</v>
      </c>
      <c r="D26" s="4" t="s">
        <v>255</v>
      </c>
      <c r="E26" s="4" t="s">
        <v>139</v>
      </c>
      <c r="F26" s="4" t="s">
        <v>256</v>
      </c>
      <c r="G26" s="4" t="s">
        <v>141</v>
      </c>
      <c r="H26" s="4" t="s">
        <v>83</v>
      </c>
      <c r="I26" s="4">
        <v>16</v>
      </c>
      <c r="J26" s="4" t="s">
        <v>142</v>
      </c>
      <c r="K26" s="4" t="s">
        <v>143</v>
      </c>
      <c r="L26" s="4"/>
      <c r="M26" s="4"/>
      <c r="N26" s="4"/>
      <c r="O26" s="4"/>
      <c r="P26" s="4"/>
      <c r="Q26" s="4"/>
      <c r="R26" s="4"/>
      <c r="S26" s="4"/>
      <c r="T26" s="14"/>
      <c r="U26" s="4" t="s">
        <v>71</v>
      </c>
      <c r="V26" s="4" t="s">
        <v>71</v>
      </c>
      <c r="W26" s="4" t="str">
        <f t="shared" si="0"/>
        <v>NO</v>
      </c>
      <c r="X26" s="4"/>
    </row>
    <row r="27" spans="1:24" ht="46" customHeight="1">
      <c r="A27" s="4" t="s">
        <v>257</v>
      </c>
      <c r="B27" s="4" t="s">
        <v>258</v>
      </c>
      <c r="C27" s="4" t="s">
        <v>259</v>
      </c>
      <c r="D27" s="4" t="s">
        <v>260</v>
      </c>
      <c r="E27" s="4" t="s">
        <v>124</v>
      </c>
      <c r="F27" s="4" t="s">
        <v>256</v>
      </c>
      <c r="G27" s="4" t="s">
        <v>200</v>
      </c>
      <c r="H27" s="4" t="s">
        <v>61</v>
      </c>
      <c r="I27" s="4">
        <v>6</v>
      </c>
      <c r="J27" s="4" t="s">
        <v>201</v>
      </c>
      <c r="K27" s="4" t="s">
        <v>143</v>
      </c>
      <c r="L27" s="4"/>
      <c r="M27" s="4"/>
      <c r="N27" s="4"/>
      <c r="O27" s="4"/>
      <c r="P27" s="4"/>
      <c r="Q27" s="4"/>
      <c r="R27" s="4"/>
      <c r="S27" s="4"/>
      <c r="T27" s="14"/>
      <c r="U27" s="4" t="s">
        <v>71</v>
      </c>
      <c r="V27" s="4" t="s">
        <v>71</v>
      </c>
      <c r="W27" s="4" t="str">
        <f t="shared" si="0"/>
        <v>NO</v>
      </c>
      <c r="X27" s="4"/>
    </row>
    <row r="28" spans="1:24" ht="46" customHeight="1">
      <c r="A28" s="4" t="s">
        <v>261</v>
      </c>
      <c r="B28" s="4" t="s">
        <v>262</v>
      </c>
      <c r="C28" s="4" t="s">
        <v>263</v>
      </c>
      <c r="D28" s="4" t="s">
        <v>255</v>
      </c>
      <c r="E28" s="4" t="s">
        <v>152</v>
      </c>
      <c r="F28" s="4" t="s">
        <v>264</v>
      </c>
      <c r="G28" s="4" t="s">
        <v>141</v>
      </c>
      <c r="H28" s="4" t="s">
        <v>77</v>
      </c>
      <c r="I28" s="4">
        <v>2</v>
      </c>
      <c r="J28" s="4" t="s">
        <v>166</v>
      </c>
      <c r="K28" s="4" t="s">
        <v>143</v>
      </c>
      <c r="L28" s="4"/>
      <c r="M28" s="4"/>
      <c r="N28" s="4"/>
      <c r="O28" s="4"/>
      <c r="P28" s="4"/>
      <c r="Q28" s="4"/>
      <c r="R28" s="4"/>
      <c r="S28" s="4"/>
      <c r="T28" s="14"/>
      <c r="U28" s="4" t="s">
        <v>71</v>
      </c>
      <c r="V28" s="4" t="s">
        <v>71</v>
      </c>
      <c r="W28" s="4" t="str">
        <f t="shared" si="0"/>
        <v>NO</v>
      </c>
      <c r="X28" s="4"/>
    </row>
    <row r="29" spans="1:24" ht="46" customHeight="1">
      <c r="A29" s="4" t="s">
        <v>265</v>
      </c>
      <c r="B29" s="4" t="s">
        <v>266</v>
      </c>
      <c r="C29" s="4" t="s">
        <v>267</v>
      </c>
      <c r="D29" s="4" t="s">
        <v>164</v>
      </c>
      <c r="E29" s="4" t="s">
        <v>268</v>
      </c>
      <c r="F29" s="4"/>
      <c r="G29" s="4" t="s">
        <v>141</v>
      </c>
      <c r="H29" s="4" t="s">
        <v>92</v>
      </c>
      <c r="I29" s="4">
        <v>2</v>
      </c>
      <c r="J29" s="4" t="s">
        <v>269</v>
      </c>
      <c r="K29" s="4" t="s">
        <v>143</v>
      </c>
      <c r="L29" s="4"/>
      <c r="M29" s="4"/>
      <c r="N29" s="4"/>
      <c r="O29" s="4"/>
      <c r="P29" s="4"/>
      <c r="Q29" s="4"/>
      <c r="R29" s="4"/>
      <c r="S29" s="4"/>
      <c r="T29" s="14"/>
      <c r="U29" s="4" t="s">
        <v>71</v>
      </c>
      <c r="V29" s="4" t="s">
        <v>71</v>
      </c>
      <c r="W29" s="4" t="str">
        <f t="shared" si="0"/>
        <v>NO</v>
      </c>
      <c r="X29" s="4"/>
    </row>
    <row r="30" spans="1:24" ht="46" customHeight="1">
      <c r="A30" s="4" t="s">
        <v>270</v>
      </c>
      <c r="B30" s="4" t="s">
        <v>271</v>
      </c>
      <c r="C30" s="4" t="s">
        <v>272</v>
      </c>
      <c r="D30" s="4" t="s">
        <v>273</v>
      </c>
      <c r="E30" s="4" t="s">
        <v>124</v>
      </c>
      <c r="F30" s="4" t="s">
        <v>140</v>
      </c>
      <c r="G30" s="4" t="s">
        <v>200</v>
      </c>
      <c r="H30" s="4" t="s">
        <v>69</v>
      </c>
      <c r="I30" s="4">
        <v>12</v>
      </c>
      <c r="J30" s="4" t="s">
        <v>201</v>
      </c>
      <c r="K30" s="4" t="s">
        <v>143</v>
      </c>
      <c r="L30" s="4"/>
      <c r="M30" s="4"/>
      <c r="N30" s="4"/>
      <c r="O30" s="4"/>
      <c r="P30" s="4"/>
      <c r="Q30" s="4"/>
      <c r="R30" s="4"/>
      <c r="S30" s="4"/>
      <c r="T30" s="14"/>
      <c r="U30" s="4" t="s">
        <v>71</v>
      </c>
      <c r="V30" s="4" t="s">
        <v>71</v>
      </c>
      <c r="W30" s="4" t="str">
        <f t="shared" si="0"/>
        <v>NO</v>
      </c>
      <c r="X30" s="4"/>
    </row>
    <row r="31" spans="1:24" ht="46" customHeight="1">
      <c r="A31" s="4" t="s">
        <v>274</v>
      </c>
      <c r="B31" s="4" t="s">
        <v>275</v>
      </c>
      <c r="C31" s="4" t="s">
        <v>276</v>
      </c>
      <c r="D31" s="4" t="s">
        <v>277</v>
      </c>
      <c r="E31" s="4" t="s">
        <v>152</v>
      </c>
      <c r="F31" s="4" t="s">
        <v>278</v>
      </c>
      <c r="G31" s="4" t="s">
        <v>174</v>
      </c>
      <c r="H31" s="4" t="s">
        <v>55</v>
      </c>
      <c r="I31" s="4">
        <v>9</v>
      </c>
      <c r="J31" s="4" t="s">
        <v>185</v>
      </c>
      <c r="K31" s="4" t="s">
        <v>143</v>
      </c>
      <c r="L31" s="4"/>
      <c r="M31" s="4"/>
      <c r="N31" s="4"/>
      <c r="O31" s="4"/>
      <c r="P31" s="4"/>
      <c r="Q31" s="4"/>
      <c r="R31" s="4"/>
      <c r="S31" s="4"/>
      <c r="T31" s="14"/>
      <c r="U31" s="4" t="s">
        <v>71</v>
      </c>
      <c r="V31" s="4" t="s">
        <v>71</v>
      </c>
      <c r="W31" s="4" t="str">
        <f t="shared" si="0"/>
        <v>NO</v>
      </c>
      <c r="X31" s="4"/>
    </row>
    <row r="32" spans="1:24" ht="46" customHeight="1">
      <c r="A32" s="4" t="s">
        <v>279</v>
      </c>
      <c r="B32" s="4" t="s">
        <v>280</v>
      </c>
      <c r="C32" s="4" t="s">
        <v>281</v>
      </c>
      <c r="D32" s="4" t="s">
        <v>170</v>
      </c>
      <c r="E32" s="4" t="s">
        <v>124</v>
      </c>
      <c r="F32" s="4" t="s">
        <v>256</v>
      </c>
      <c r="G32" s="4" t="s">
        <v>200</v>
      </c>
      <c r="H32" s="4" t="s">
        <v>61</v>
      </c>
      <c r="I32" s="4">
        <v>5</v>
      </c>
      <c r="J32" s="4" t="s">
        <v>201</v>
      </c>
      <c r="K32" s="4" t="s">
        <v>143</v>
      </c>
      <c r="L32" s="4"/>
      <c r="M32" s="4"/>
      <c r="N32" s="4"/>
      <c r="O32" s="4"/>
      <c r="P32" s="4"/>
      <c r="Q32" s="4"/>
      <c r="R32" s="4"/>
      <c r="S32" s="4"/>
      <c r="T32" s="14"/>
      <c r="U32" s="4" t="s">
        <v>71</v>
      </c>
      <c r="V32" s="4" t="s">
        <v>71</v>
      </c>
      <c r="W32" s="4" t="str">
        <f t="shared" si="0"/>
        <v>NO</v>
      </c>
      <c r="X32" s="4"/>
    </row>
    <row r="33" spans="1:24" ht="46" customHeight="1">
      <c r="A33" s="4" t="s">
        <v>282</v>
      </c>
      <c r="B33" s="4" t="s">
        <v>283</v>
      </c>
      <c r="C33" s="4" t="s">
        <v>276</v>
      </c>
      <c r="D33" s="4"/>
      <c r="E33" s="4" t="s">
        <v>230</v>
      </c>
      <c r="F33" s="4"/>
      <c r="G33" s="4" t="s">
        <v>174</v>
      </c>
      <c r="H33" s="4" t="s">
        <v>55</v>
      </c>
      <c r="I33" s="4">
        <v>11</v>
      </c>
      <c r="J33" s="4" t="s">
        <v>185</v>
      </c>
      <c r="K33" s="4" t="s">
        <v>143</v>
      </c>
      <c r="L33" s="4"/>
      <c r="M33" s="4"/>
      <c r="N33" s="4"/>
      <c r="O33" s="4"/>
      <c r="P33" s="4"/>
      <c r="Q33" s="4"/>
      <c r="R33" s="4"/>
      <c r="S33" s="4"/>
      <c r="T33" s="14"/>
      <c r="U33" s="4" t="s">
        <v>71</v>
      </c>
      <c r="V33" s="4" t="s">
        <v>71</v>
      </c>
      <c r="W33" s="4" t="str">
        <f t="shared" si="0"/>
        <v>NO</v>
      </c>
      <c r="X33" s="4"/>
    </row>
    <row r="34" spans="1:24" ht="46" customHeight="1">
      <c r="A34" s="4" t="s">
        <v>284</v>
      </c>
      <c r="B34" s="4" t="s">
        <v>285</v>
      </c>
      <c r="C34" s="4" t="s">
        <v>122</v>
      </c>
      <c r="D34" s="4" t="s">
        <v>286</v>
      </c>
      <c r="E34" s="4" t="s">
        <v>124</v>
      </c>
      <c r="F34" s="4" t="s">
        <v>125</v>
      </c>
      <c r="G34" s="4" t="s">
        <v>200</v>
      </c>
      <c r="H34" s="4" t="s">
        <v>61</v>
      </c>
      <c r="I34" s="4">
        <v>2</v>
      </c>
      <c r="J34" s="4" t="s">
        <v>201</v>
      </c>
      <c r="K34" s="4" t="s">
        <v>143</v>
      </c>
      <c r="L34" s="4"/>
      <c r="M34" s="4"/>
      <c r="N34" s="4"/>
      <c r="O34" s="4"/>
      <c r="P34" s="4"/>
      <c r="Q34" s="4"/>
      <c r="R34" s="4"/>
      <c r="S34" s="4"/>
      <c r="T34" s="14"/>
      <c r="U34" s="4" t="s">
        <v>71</v>
      </c>
      <c r="V34" s="4" t="s">
        <v>71</v>
      </c>
      <c r="W34" s="4" t="str">
        <f t="shared" si="0"/>
        <v>NO</v>
      </c>
      <c r="X34" s="4"/>
    </row>
    <row r="35" spans="1:24" ht="46" customHeight="1">
      <c r="A35" s="4" t="s">
        <v>287</v>
      </c>
      <c r="B35" s="4" t="s">
        <v>288</v>
      </c>
      <c r="C35" s="4" t="s">
        <v>289</v>
      </c>
      <c r="D35" s="4" t="s">
        <v>290</v>
      </c>
      <c r="E35" s="4" t="s">
        <v>124</v>
      </c>
      <c r="F35" s="4" t="s">
        <v>125</v>
      </c>
      <c r="G35" s="4" t="s">
        <v>291</v>
      </c>
      <c r="H35" s="4" t="s">
        <v>48</v>
      </c>
      <c r="I35" s="4">
        <v>5</v>
      </c>
      <c r="J35" s="4" t="s">
        <v>127</v>
      </c>
      <c r="K35" s="4" t="s">
        <v>154</v>
      </c>
      <c r="L35" s="4" t="s">
        <v>292</v>
      </c>
      <c r="M35" s="4"/>
      <c r="N35" s="4" t="s">
        <v>293</v>
      </c>
      <c r="O35" s="4" t="s">
        <v>294</v>
      </c>
      <c r="P35" s="4"/>
      <c r="Q35" s="4" t="s">
        <v>295</v>
      </c>
      <c r="R35" s="4" t="s">
        <v>296</v>
      </c>
      <c r="S35" s="4" t="s">
        <v>131</v>
      </c>
      <c r="T35" s="14">
        <v>46242</v>
      </c>
      <c r="U35" s="4" t="s">
        <v>132</v>
      </c>
      <c r="V35" s="4" t="s">
        <v>133</v>
      </c>
      <c r="W35" s="4" t="str">
        <f t="shared" si="0"/>
        <v>NO</v>
      </c>
      <c r="X35" s="4" t="s">
        <v>160</v>
      </c>
    </row>
    <row r="36" spans="1:24" ht="46" customHeight="1">
      <c r="A36" s="4" t="s">
        <v>297</v>
      </c>
      <c r="B36" s="4" t="s">
        <v>298</v>
      </c>
      <c r="C36" s="4" t="s">
        <v>299</v>
      </c>
      <c r="D36" s="4" t="s">
        <v>300</v>
      </c>
      <c r="E36" s="4" t="s">
        <v>152</v>
      </c>
      <c r="F36" s="4" t="s">
        <v>301</v>
      </c>
      <c r="G36" s="4" t="s">
        <v>141</v>
      </c>
      <c r="H36" s="4" t="s">
        <v>75</v>
      </c>
      <c r="I36" s="4">
        <v>16</v>
      </c>
      <c r="J36" s="4" t="s">
        <v>166</v>
      </c>
      <c r="K36" s="4" t="s">
        <v>143</v>
      </c>
      <c r="L36" s="4"/>
      <c r="M36" s="4"/>
      <c r="N36" s="4"/>
      <c r="O36" s="4"/>
      <c r="P36" s="4"/>
      <c r="Q36" s="4"/>
      <c r="R36" s="4"/>
      <c r="S36" s="4"/>
      <c r="T36" s="14"/>
      <c r="U36" s="4" t="s">
        <v>71</v>
      </c>
      <c r="V36" s="4" t="s">
        <v>71</v>
      </c>
      <c r="W36" s="4" t="str">
        <f t="shared" si="0"/>
        <v>NO</v>
      </c>
      <c r="X36" s="4"/>
    </row>
    <row r="37" spans="1:24" ht="46" customHeight="1">
      <c r="A37" s="4" t="s">
        <v>302</v>
      </c>
      <c r="B37" s="4" t="s">
        <v>303</v>
      </c>
      <c r="C37" s="4" t="s">
        <v>304</v>
      </c>
      <c r="D37" s="4" t="s">
        <v>305</v>
      </c>
      <c r="E37" s="4" t="s">
        <v>152</v>
      </c>
      <c r="F37" s="4" t="s">
        <v>240</v>
      </c>
      <c r="G37" s="4" t="s">
        <v>141</v>
      </c>
      <c r="H37" s="4" t="s">
        <v>81</v>
      </c>
      <c r="I37" s="4">
        <v>9</v>
      </c>
      <c r="J37" s="4" t="s">
        <v>166</v>
      </c>
      <c r="K37" s="4" t="s">
        <v>143</v>
      </c>
      <c r="L37" s="4"/>
      <c r="M37" s="4"/>
      <c r="N37" s="4"/>
      <c r="O37" s="4"/>
      <c r="P37" s="4"/>
      <c r="Q37" s="4"/>
      <c r="R37" s="4"/>
      <c r="S37" s="4"/>
      <c r="T37" s="14"/>
      <c r="U37" s="4" t="s">
        <v>71</v>
      </c>
      <c r="V37" s="4" t="s">
        <v>71</v>
      </c>
      <c r="W37" s="4" t="str">
        <f t="shared" si="0"/>
        <v>NO</v>
      </c>
      <c r="X37" s="4"/>
    </row>
    <row r="38" spans="1:24" ht="46" customHeight="1">
      <c r="A38" s="4" t="s">
        <v>306</v>
      </c>
      <c r="B38" s="4" t="s">
        <v>307</v>
      </c>
      <c r="C38" s="4" t="s">
        <v>308</v>
      </c>
      <c r="D38" s="4" t="s">
        <v>309</v>
      </c>
      <c r="E38" s="4" t="s">
        <v>152</v>
      </c>
      <c r="F38" s="4" t="s">
        <v>153</v>
      </c>
      <c r="G38" s="4" t="s">
        <v>141</v>
      </c>
      <c r="H38" s="4" t="s">
        <v>75</v>
      </c>
      <c r="I38" s="4">
        <v>3</v>
      </c>
      <c r="J38" s="4" t="s">
        <v>166</v>
      </c>
      <c r="K38" s="4" t="s">
        <v>143</v>
      </c>
      <c r="L38" s="4"/>
      <c r="M38" s="4"/>
      <c r="N38" s="4"/>
      <c r="O38" s="4"/>
      <c r="P38" s="4"/>
      <c r="Q38" s="4"/>
      <c r="R38" s="4"/>
      <c r="S38" s="4"/>
      <c r="T38" s="14"/>
      <c r="U38" s="4" t="s">
        <v>71</v>
      </c>
      <c r="V38" s="4" t="s">
        <v>71</v>
      </c>
      <c r="W38" s="4" t="str">
        <f t="shared" si="0"/>
        <v>NO</v>
      </c>
      <c r="X38" s="4"/>
    </row>
    <row r="39" spans="1:24" ht="46" customHeight="1">
      <c r="A39" s="4" t="s">
        <v>310</v>
      </c>
      <c r="B39" s="4" t="s">
        <v>311</v>
      </c>
      <c r="C39" s="4" t="s">
        <v>312</v>
      </c>
      <c r="D39" s="4" t="s">
        <v>313</v>
      </c>
      <c r="E39" s="4" t="s">
        <v>152</v>
      </c>
      <c r="F39" s="4" t="s">
        <v>240</v>
      </c>
      <c r="G39" s="4" t="s">
        <v>141</v>
      </c>
      <c r="H39" s="4" t="s">
        <v>81</v>
      </c>
      <c r="I39" s="4">
        <v>11</v>
      </c>
      <c r="J39" s="4" t="s">
        <v>166</v>
      </c>
      <c r="K39" s="4" t="s">
        <v>143</v>
      </c>
      <c r="L39" s="4"/>
      <c r="M39" s="4"/>
      <c r="N39" s="4"/>
      <c r="O39" s="4"/>
      <c r="P39" s="4"/>
      <c r="Q39" s="4"/>
      <c r="R39" s="4"/>
      <c r="S39" s="4"/>
      <c r="T39" s="14"/>
      <c r="U39" s="4" t="s">
        <v>71</v>
      </c>
      <c r="V39" s="4" t="s">
        <v>71</v>
      </c>
      <c r="W39" s="4" t="str">
        <f t="shared" si="0"/>
        <v>NO</v>
      </c>
      <c r="X39" s="4"/>
    </row>
    <row r="40" spans="1:24" ht="46" customHeight="1">
      <c r="A40" s="4" t="s">
        <v>314</v>
      </c>
      <c r="B40" s="4" t="s">
        <v>315</v>
      </c>
      <c r="C40" s="4" t="s">
        <v>316</v>
      </c>
      <c r="D40" s="4" t="s">
        <v>309</v>
      </c>
      <c r="E40" s="4" t="s">
        <v>152</v>
      </c>
      <c r="F40" s="4" t="s">
        <v>225</v>
      </c>
      <c r="G40" s="4" t="s">
        <v>141</v>
      </c>
      <c r="H40" s="4" t="s">
        <v>79</v>
      </c>
      <c r="I40" s="4">
        <v>1</v>
      </c>
      <c r="J40" s="4" t="s">
        <v>166</v>
      </c>
      <c r="K40" s="4" t="s">
        <v>143</v>
      </c>
      <c r="L40" s="4"/>
      <c r="M40" s="4"/>
      <c r="N40" s="4"/>
      <c r="O40" s="4"/>
      <c r="P40" s="4"/>
      <c r="Q40" s="4"/>
      <c r="R40" s="4"/>
      <c r="S40" s="4"/>
      <c r="T40" s="14"/>
      <c r="U40" s="4" t="s">
        <v>71</v>
      </c>
      <c r="V40" s="4" t="s">
        <v>71</v>
      </c>
      <c r="W40" s="4" t="str">
        <f t="shared" si="0"/>
        <v>NO</v>
      </c>
      <c r="X40" s="4"/>
    </row>
    <row r="41" spans="1:24" ht="46" customHeight="1">
      <c r="A41" s="4" t="s">
        <v>317</v>
      </c>
      <c r="B41" s="4" t="s">
        <v>318</v>
      </c>
      <c r="C41" s="4" t="s">
        <v>319</v>
      </c>
      <c r="D41" s="4" t="s">
        <v>320</v>
      </c>
      <c r="E41" s="4" t="s">
        <v>152</v>
      </c>
      <c r="F41" s="4" t="s">
        <v>240</v>
      </c>
      <c r="G41" s="4" t="s">
        <v>141</v>
      </c>
      <c r="H41" s="4" t="s">
        <v>81</v>
      </c>
      <c r="I41" s="4">
        <v>13</v>
      </c>
      <c r="J41" s="4" t="s">
        <v>166</v>
      </c>
      <c r="K41" s="4" t="s">
        <v>143</v>
      </c>
      <c r="L41" s="4"/>
      <c r="M41" s="4"/>
      <c r="N41" s="4"/>
      <c r="O41" s="4"/>
      <c r="P41" s="4"/>
      <c r="Q41" s="4"/>
      <c r="R41" s="4"/>
      <c r="S41" s="4"/>
      <c r="T41" s="14"/>
      <c r="U41" s="4" t="s">
        <v>71</v>
      </c>
      <c r="V41" s="4" t="s">
        <v>71</v>
      </c>
      <c r="W41" s="4" t="str">
        <f t="shared" si="0"/>
        <v>NO</v>
      </c>
      <c r="X41" s="4"/>
    </row>
    <row r="42" spans="1:24" ht="46" customHeight="1">
      <c r="A42" s="4" t="s">
        <v>321</v>
      </c>
      <c r="B42" s="4" t="s">
        <v>322</v>
      </c>
      <c r="C42" s="4" t="s">
        <v>323</v>
      </c>
      <c r="D42" s="4" t="s">
        <v>324</v>
      </c>
      <c r="E42" s="4" t="s">
        <v>152</v>
      </c>
      <c r="F42" s="4" t="s">
        <v>325</v>
      </c>
      <c r="G42" s="4" t="s">
        <v>141</v>
      </c>
      <c r="H42" s="4" t="s">
        <v>75</v>
      </c>
      <c r="I42" s="4">
        <v>11</v>
      </c>
      <c r="J42" s="4" t="s">
        <v>166</v>
      </c>
      <c r="K42" s="4" t="s">
        <v>143</v>
      </c>
      <c r="L42" s="4"/>
      <c r="M42" s="4"/>
      <c r="N42" s="4"/>
      <c r="O42" s="4"/>
      <c r="P42" s="4"/>
      <c r="Q42" s="4"/>
      <c r="R42" s="4"/>
      <c r="S42" s="4"/>
      <c r="T42" s="14"/>
      <c r="U42" s="4" t="s">
        <v>71</v>
      </c>
      <c r="V42" s="4" t="s">
        <v>71</v>
      </c>
      <c r="W42" s="4" t="str">
        <f t="shared" si="0"/>
        <v>NO</v>
      </c>
      <c r="X42" s="4"/>
    </row>
    <row r="43" spans="1:24" ht="46" customHeight="1">
      <c r="A43" s="4" t="s">
        <v>326</v>
      </c>
      <c r="B43" s="4" t="s">
        <v>327</v>
      </c>
      <c r="C43" s="4" t="s">
        <v>328</v>
      </c>
      <c r="D43" s="4" t="s">
        <v>305</v>
      </c>
      <c r="E43" s="4" t="s">
        <v>152</v>
      </c>
      <c r="F43" s="4" t="s">
        <v>240</v>
      </c>
      <c r="G43" s="4" t="s">
        <v>141</v>
      </c>
      <c r="H43" s="4" t="s">
        <v>81</v>
      </c>
      <c r="I43" s="4">
        <v>14</v>
      </c>
      <c r="J43" s="4" t="s">
        <v>166</v>
      </c>
      <c r="K43" s="4" t="s">
        <v>143</v>
      </c>
      <c r="L43" s="4"/>
      <c r="M43" s="4"/>
      <c r="N43" s="4"/>
      <c r="O43" s="4"/>
      <c r="P43" s="4"/>
      <c r="Q43" s="4"/>
      <c r="R43" s="4"/>
      <c r="S43" s="4"/>
      <c r="T43" s="14"/>
      <c r="U43" s="4" t="s">
        <v>71</v>
      </c>
      <c r="V43" s="4" t="s">
        <v>71</v>
      </c>
      <c r="W43" s="4" t="str">
        <f t="shared" si="0"/>
        <v>NO</v>
      </c>
      <c r="X43" s="4"/>
    </row>
    <row r="44" spans="1:24" ht="46" customHeight="1">
      <c r="A44" s="4" t="s">
        <v>329</v>
      </c>
      <c r="B44" s="4" t="s">
        <v>330</v>
      </c>
      <c r="C44" s="4" t="s">
        <v>137</v>
      </c>
      <c r="D44" s="4" t="s">
        <v>331</v>
      </c>
      <c r="E44" s="4" t="s">
        <v>124</v>
      </c>
      <c r="F44" s="4" t="s">
        <v>125</v>
      </c>
      <c r="G44" s="4" t="s">
        <v>200</v>
      </c>
      <c r="H44" s="4" t="s">
        <v>61</v>
      </c>
      <c r="I44" s="4">
        <v>1</v>
      </c>
      <c r="J44" s="4" t="s">
        <v>201</v>
      </c>
      <c r="K44" s="4" t="s">
        <v>143</v>
      </c>
      <c r="L44" s="4"/>
      <c r="M44" s="4"/>
      <c r="N44" s="4"/>
      <c r="O44" s="4"/>
      <c r="P44" s="4"/>
      <c r="Q44" s="4"/>
      <c r="R44" s="4"/>
      <c r="S44" s="4"/>
      <c r="T44" s="14"/>
      <c r="U44" s="4" t="s">
        <v>71</v>
      </c>
      <c r="V44" s="4" t="s">
        <v>71</v>
      </c>
      <c r="W44" s="4" t="str">
        <f t="shared" si="0"/>
        <v>NO</v>
      </c>
      <c r="X44" s="4"/>
    </row>
    <row r="45" spans="1:24" ht="46" customHeight="1">
      <c r="A45" s="4" t="s">
        <v>332</v>
      </c>
      <c r="B45" s="4" t="s">
        <v>333</v>
      </c>
      <c r="C45" s="4" t="s">
        <v>334</v>
      </c>
      <c r="D45" s="4" t="s">
        <v>335</v>
      </c>
      <c r="E45" s="4" t="s">
        <v>152</v>
      </c>
      <c r="F45" s="4" t="s">
        <v>336</v>
      </c>
      <c r="G45" s="4" t="s">
        <v>141</v>
      </c>
      <c r="H45" s="4" t="s">
        <v>81</v>
      </c>
      <c r="I45" s="4">
        <v>1</v>
      </c>
      <c r="J45" s="4" t="s">
        <v>166</v>
      </c>
      <c r="K45" s="4" t="s">
        <v>143</v>
      </c>
      <c r="L45" s="4"/>
      <c r="M45" s="4"/>
      <c r="N45" s="4"/>
      <c r="O45" s="4"/>
      <c r="P45" s="4"/>
      <c r="Q45" s="4"/>
      <c r="R45" s="4"/>
      <c r="S45" s="4"/>
      <c r="T45" s="14"/>
      <c r="U45" s="4" t="s">
        <v>71</v>
      </c>
      <c r="V45" s="4" t="s">
        <v>71</v>
      </c>
      <c r="W45" s="4" t="str">
        <f t="shared" si="0"/>
        <v>NO</v>
      </c>
      <c r="X45" s="4"/>
    </row>
    <row r="46" spans="1:24" ht="46" customHeight="1">
      <c r="A46" s="4" t="s">
        <v>337</v>
      </c>
      <c r="B46" s="4" t="s">
        <v>338</v>
      </c>
      <c r="C46" s="4" t="s">
        <v>339</v>
      </c>
      <c r="D46" s="4" t="s">
        <v>239</v>
      </c>
      <c r="E46" s="4" t="s">
        <v>152</v>
      </c>
      <c r="F46" s="4" t="s">
        <v>153</v>
      </c>
      <c r="G46" s="4" t="s">
        <v>141</v>
      </c>
      <c r="H46" s="4" t="s">
        <v>75</v>
      </c>
      <c r="I46" s="4">
        <v>2</v>
      </c>
      <c r="J46" s="4" t="s">
        <v>166</v>
      </c>
      <c r="K46" s="4" t="s">
        <v>143</v>
      </c>
      <c r="L46" s="4"/>
      <c r="M46" s="4"/>
      <c r="N46" s="4"/>
      <c r="O46" s="4"/>
      <c r="P46" s="4"/>
      <c r="Q46" s="4"/>
      <c r="R46" s="4"/>
      <c r="S46" s="4"/>
      <c r="T46" s="14"/>
      <c r="U46" s="4" t="s">
        <v>71</v>
      </c>
      <c r="V46" s="4" t="s">
        <v>71</v>
      </c>
      <c r="W46" s="4" t="str">
        <f t="shared" si="0"/>
        <v>NO</v>
      </c>
      <c r="X46" s="4"/>
    </row>
    <row r="47" spans="1:24" ht="46" customHeight="1">
      <c r="A47" s="4" t="s">
        <v>340</v>
      </c>
      <c r="B47" s="4" t="s">
        <v>341</v>
      </c>
      <c r="C47" s="4" t="s">
        <v>342</v>
      </c>
      <c r="D47" s="4" t="s">
        <v>343</v>
      </c>
      <c r="E47" s="4" t="s">
        <v>152</v>
      </c>
      <c r="F47" s="4" t="s">
        <v>153</v>
      </c>
      <c r="G47" s="4" t="s">
        <v>141</v>
      </c>
      <c r="H47" s="4" t="s">
        <v>75</v>
      </c>
      <c r="I47" s="4">
        <v>5</v>
      </c>
      <c r="J47" s="4" t="s">
        <v>166</v>
      </c>
      <c r="K47" s="4" t="s">
        <v>143</v>
      </c>
      <c r="L47" s="4"/>
      <c r="M47" s="4"/>
      <c r="N47" s="4"/>
      <c r="O47" s="4"/>
      <c r="P47" s="4"/>
      <c r="Q47" s="4"/>
      <c r="R47" s="4"/>
      <c r="S47" s="4"/>
      <c r="T47" s="14"/>
      <c r="U47" s="4" t="s">
        <v>71</v>
      </c>
      <c r="V47" s="4" t="s">
        <v>71</v>
      </c>
      <c r="W47" s="4" t="str">
        <f t="shared" si="0"/>
        <v>NO</v>
      </c>
      <c r="X47" s="4"/>
    </row>
    <row r="48" spans="1:24" ht="46" customHeight="1">
      <c r="A48" s="4" t="s">
        <v>344</v>
      </c>
      <c r="B48" s="4" t="s">
        <v>345</v>
      </c>
      <c r="C48" s="4" t="s">
        <v>346</v>
      </c>
      <c r="D48" s="4" t="s">
        <v>347</v>
      </c>
      <c r="E48" s="4" t="s">
        <v>152</v>
      </c>
      <c r="F48" s="4" t="s">
        <v>240</v>
      </c>
      <c r="G48" s="4" t="s">
        <v>141</v>
      </c>
      <c r="H48" s="4" t="s">
        <v>81</v>
      </c>
      <c r="I48" s="4">
        <v>16</v>
      </c>
      <c r="J48" s="4" t="s">
        <v>166</v>
      </c>
      <c r="K48" s="4" t="s">
        <v>143</v>
      </c>
      <c r="L48" s="4"/>
      <c r="M48" s="4"/>
      <c r="N48" s="4"/>
      <c r="O48" s="4"/>
      <c r="P48" s="4"/>
      <c r="Q48" s="4"/>
      <c r="R48" s="4"/>
      <c r="S48" s="4"/>
      <c r="T48" s="14"/>
      <c r="U48" s="4" t="s">
        <v>71</v>
      </c>
      <c r="V48" s="4" t="s">
        <v>71</v>
      </c>
      <c r="W48" s="4" t="str">
        <f t="shared" si="0"/>
        <v>NO</v>
      </c>
      <c r="X48" s="4"/>
    </row>
    <row r="49" spans="1:24" ht="46" customHeight="1">
      <c r="A49" s="4" t="s">
        <v>348</v>
      </c>
      <c r="B49" s="4" t="s">
        <v>349</v>
      </c>
      <c r="C49" s="4" t="s">
        <v>350</v>
      </c>
      <c r="D49" s="4" t="s">
        <v>277</v>
      </c>
      <c r="E49" s="4" t="s">
        <v>139</v>
      </c>
      <c r="F49" s="4" t="s">
        <v>140</v>
      </c>
      <c r="G49" s="4" t="s">
        <v>141</v>
      </c>
      <c r="H49" s="4" t="s">
        <v>90</v>
      </c>
      <c r="I49" s="4">
        <v>14</v>
      </c>
      <c r="J49" s="4" t="s">
        <v>142</v>
      </c>
      <c r="K49" s="4" t="s">
        <v>143</v>
      </c>
      <c r="L49" s="4"/>
      <c r="M49" s="4"/>
      <c r="N49" s="4"/>
      <c r="O49" s="4"/>
      <c r="P49" s="4"/>
      <c r="Q49" s="4"/>
      <c r="R49" s="4"/>
      <c r="S49" s="4"/>
      <c r="T49" s="14"/>
      <c r="U49" s="4" t="s">
        <v>71</v>
      </c>
      <c r="V49" s="4" t="s">
        <v>71</v>
      </c>
      <c r="W49" s="4" t="str">
        <f t="shared" si="0"/>
        <v>NO</v>
      </c>
      <c r="X49" s="4"/>
    </row>
    <row r="50" spans="1:24" ht="46" customHeight="1">
      <c r="A50" s="4" t="s">
        <v>351</v>
      </c>
      <c r="B50" s="4" t="s">
        <v>352</v>
      </c>
      <c r="C50" s="4" t="s">
        <v>308</v>
      </c>
      <c r="D50" s="4" t="s">
        <v>353</v>
      </c>
      <c r="E50" s="4" t="s">
        <v>152</v>
      </c>
      <c r="F50" s="4" t="s">
        <v>336</v>
      </c>
      <c r="G50" s="4" t="s">
        <v>141</v>
      </c>
      <c r="H50" s="4" t="s">
        <v>81</v>
      </c>
      <c r="I50" s="4">
        <v>2</v>
      </c>
      <c r="J50" s="4" t="s">
        <v>166</v>
      </c>
      <c r="K50" s="4" t="s">
        <v>143</v>
      </c>
      <c r="L50" s="4"/>
      <c r="M50" s="4"/>
      <c r="N50" s="4"/>
      <c r="O50" s="4"/>
      <c r="P50" s="4"/>
      <c r="Q50" s="4"/>
      <c r="R50" s="4"/>
      <c r="S50" s="4"/>
      <c r="T50" s="14"/>
      <c r="U50" s="4" t="s">
        <v>71</v>
      </c>
      <c r="V50" s="4" t="s">
        <v>71</v>
      </c>
      <c r="W50" s="4" t="str">
        <f t="shared" si="0"/>
        <v>NO</v>
      </c>
      <c r="X50" s="4"/>
    </row>
    <row r="51" spans="1:24" ht="46" customHeight="1">
      <c r="A51" s="4" t="s">
        <v>354</v>
      </c>
      <c r="B51" s="4" t="s">
        <v>355</v>
      </c>
      <c r="C51" s="4" t="s">
        <v>356</v>
      </c>
      <c r="D51" s="4" t="s">
        <v>357</v>
      </c>
      <c r="E51" s="4" t="s">
        <v>152</v>
      </c>
      <c r="F51" s="4" t="s">
        <v>153</v>
      </c>
      <c r="G51" s="4" t="s">
        <v>141</v>
      </c>
      <c r="H51" s="4" t="s">
        <v>75</v>
      </c>
      <c r="I51" s="4">
        <v>7</v>
      </c>
      <c r="J51" s="4" t="s">
        <v>166</v>
      </c>
      <c r="K51" s="4" t="s">
        <v>143</v>
      </c>
      <c r="L51" s="4"/>
      <c r="M51" s="4"/>
      <c r="N51" s="4"/>
      <c r="O51" s="4"/>
      <c r="P51" s="4"/>
      <c r="Q51" s="4"/>
      <c r="R51" s="4"/>
      <c r="S51" s="4"/>
      <c r="T51" s="14"/>
      <c r="U51" s="4" t="s">
        <v>71</v>
      </c>
      <c r="V51" s="4" t="s">
        <v>71</v>
      </c>
      <c r="W51" s="4" t="str">
        <f t="shared" si="0"/>
        <v>NO</v>
      </c>
      <c r="X51" s="4"/>
    </row>
    <row r="52" spans="1:24" ht="46" customHeight="1">
      <c r="A52" s="4" t="s">
        <v>358</v>
      </c>
      <c r="B52" s="4" t="s">
        <v>359</v>
      </c>
      <c r="C52" s="4" t="s">
        <v>350</v>
      </c>
      <c r="D52" s="4" t="s">
        <v>324</v>
      </c>
      <c r="E52" s="4" t="s">
        <v>139</v>
      </c>
      <c r="F52" s="4" t="s">
        <v>140</v>
      </c>
      <c r="G52" s="4" t="s">
        <v>141</v>
      </c>
      <c r="H52" s="4" t="s">
        <v>90</v>
      </c>
      <c r="I52" s="4">
        <v>15</v>
      </c>
      <c r="J52" s="4" t="s">
        <v>142</v>
      </c>
      <c r="K52" s="4" t="s">
        <v>143</v>
      </c>
      <c r="L52" s="4"/>
      <c r="M52" s="4"/>
      <c r="N52" s="4"/>
      <c r="O52" s="4"/>
      <c r="P52" s="4"/>
      <c r="Q52" s="4"/>
      <c r="R52" s="4"/>
      <c r="S52" s="4"/>
      <c r="T52" s="14"/>
      <c r="U52" s="4" t="s">
        <v>71</v>
      </c>
      <c r="V52" s="4" t="s">
        <v>71</v>
      </c>
      <c r="W52" s="4" t="str">
        <f t="shared" si="0"/>
        <v>NO</v>
      </c>
      <c r="X52" s="4"/>
    </row>
    <row r="53" spans="1:24" ht="46" customHeight="1">
      <c r="A53" s="4" t="s">
        <v>360</v>
      </c>
      <c r="B53" s="4" t="s">
        <v>361</v>
      </c>
      <c r="C53" s="4" t="s">
        <v>362</v>
      </c>
      <c r="D53" s="4" t="s">
        <v>363</v>
      </c>
      <c r="E53" s="4" t="s">
        <v>139</v>
      </c>
      <c r="F53" s="4" t="s">
        <v>140</v>
      </c>
      <c r="G53" s="4" t="s">
        <v>141</v>
      </c>
      <c r="H53" s="4" t="s">
        <v>90</v>
      </c>
      <c r="I53" s="4">
        <v>8</v>
      </c>
      <c r="J53" s="4" t="s">
        <v>142</v>
      </c>
      <c r="K53" s="4" t="s">
        <v>143</v>
      </c>
      <c r="L53" s="4"/>
      <c r="M53" s="4"/>
      <c r="N53" s="4"/>
      <c r="O53" s="4"/>
      <c r="P53" s="4"/>
      <c r="Q53" s="4"/>
      <c r="R53" s="4"/>
      <c r="S53" s="4"/>
      <c r="T53" s="14"/>
      <c r="U53" s="4" t="s">
        <v>71</v>
      </c>
      <c r="V53" s="4" t="s">
        <v>71</v>
      </c>
      <c r="W53" s="4" t="str">
        <f t="shared" si="0"/>
        <v>NO</v>
      </c>
      <c r="X53" s="4"/>
    </row>
    <row r="54" spans="1:24" ht="46" customHeight="1">
      <c r="A54" s="4" t="s">
        <v>364</v>
      </c>
      <c r="B54" s="4" t="s">
        <v>365</v>
      </c>
      <c r="C54" s="4" t="s">
        <v>308</v>
      </c>
      <c r="D54" s="4" t="s">
        <v>366</v>
      </c>
      <c r="E54" s="4" t="s">
        <v>152</v>
      </c>
      <c r="F54" s="4" t="s">
        <v>165</v>
      </c>
      <c r="G54" s="4" t="s">
        <v>141</v>
      </c>
      <c r="H54" s="4" t="s">
        <v>72</v>
      </c>
      <c r="I54" s="4">
        <v>14</v>
      </c>
      <c r="J54" s="4" t="s">
        <v>166</v>
      </c>
      <c r="K54" s="4" t="s">
        <v>143</v>
      </c>
      <c r="L54" s="4"/>
      <c r="M54" s="4"/>
      <c r="N54" s="4"/>
      <c r="O54" s="4"/>
      <c r="P54" s="4"/>
      <c r="Q54" s="4"/>
      <c r="R54" s="4"/>
      <c r="S54" s="4"/>
      <c r="T54" s="14"/>
      <c r="U54" s="4" t="s">
        <v>71</v>
      </c>
      <c r="V54" s="4" t="s">
        <v>71</v>
      </c>
      <c r="W54" s="4" t="str">
        <f t="shared" si="0"/>
        <v>NO</v>
      </c>
      <c r="X54" s="4"/>
    </row>
    <row r="55" spans="1:24" ht="46" customHeight="1">
      <c r="A55" s="4" t="s">
        <v>367</v>
      </c>
      <c r="B55" s="4" t="s">
        <v>368</v>
      </c>
      <c r="C55" s="4" t="s">
        <v>369</v>
      </c>
      <c r="D55" s="4" t="s">
        <v>370</v>
      </c>
      <c r="E55" s="4" t="s">
        <v>230</v>
      </c>
      <c r="F55" s="4"/>
      <c r="G55" s="4" t="s">
        <v>141</v>
      </c>
      <c r="H55" s="4" t="s">
        <v>92</v>
      </c>
      <c r="I55" s="4">
        <v>16</v>
      </c>
      <c r="J55" s="4" t="s">
        <v>231</v>
      </c>
      <c r="K55" s="4" t="s">
        <v>143</v>
      </c>
      <c r="L55" s="4"/>
      <c r="M55" s="4"/>
      <c r="N55" s="4"/>
      <c r="O55" s="4"/>
      <c r="P55" s="4"/>
      <c r="Q55" s="4"/>
      <c r="R55" s="4"/>
      <c r="S55" s="4"/>
      <c r="T55" s="14"/>
      <c r="U55" s="4" t="s">
        <v>71</v>
      </c>
      <c r="V55" s="4" t="s">
        <v>71</v>
      </c>
      <c r="W55" s="4" t="str">
        <f t="shared" si="0"/>
        <v>NO</v>
      </c>
      <c r="X55" s="4"/>
    </row>
    <row r="56" spans="1:24" ht="46" customHeight="1">
      <c r="A56" s="4" t="s">
        <v>371</v>
      </c>
      <c r="B56" s="4" t="s">
        <v>372</v>
      </c>
      <c r="C56" s="4" t="s">
        <v>369</v>
      </c>
      <c r="D56" s="4" t="s">
        <v>373</v>
      </c>
      <c r="E56" s="4" t="s">
        <v>124</v>
      </c>
      <c r="F56" s="4" t="s">
        <v>190</v>
      </c>
      <c r="G56" s="4" t="s">
        <v>200</v>
      </c>
      <c r="H56" s="4" t="s">
        <v>69</v>
      </c>
      <c r="I56" s="4">
        <v>6</v>
      </c>
      <c r="J56" s="4" t="s">
        <v>201</v>
      </c>
      <c r="K56" s="4" t="s">
        <v>143</v>
      </c>
      <c r="L56" s="4"/>
      <c r="M56" s="4"/>
      <c r="N56" s="4"/>
      <c r="O56" s="4"/>
      <c r="P56" s="4"/>
      <c r="Q56" s="4"/>
      <c r="R56" s="4"/>
      <c r="S56" s="4"/>
      <c r="T56" s="14"/>
      <c r="U56" s="4" t="s">
        <v>71</v>
      </c>
      <c r="V56" s="4" t="s">
        <v>71</v>
      </c>
      <c r="W56" s="4" t="str">
        <f t="shared" si="0"/>
        <v>NO</v>
      </c>
      <c r="X56" s="4"/>
    </row>
    <row r="57" spans="1:24" ht="46" customHeight="1">
      <c r="A57" s="4" t="s">
        <v>374</v>
      </c>
      <c r="B57" s="4" t="s">
        <v>375</v>
      </c>
      <c r="C57" s="4" t="s">
        <v>376</v>
      </c>
      <c r="D57" s="4" t="s">
        <v>255</v>
      </c>
      <c r="E57" s="4" t="s">
        <v>152</v>
      </c>
      <c r="F57" s="4" t="s">
        <v>377</v>
      </c>
      <c r="G57" s="4" t="s">
        <v>141</v>
      </c>
      <c r="H57" s="4" t="s">
        <v>72</v>
      </c>
      <c r="I57" s="4">
        <v>3</v>
      </c>
      <c r="J57" s="4" t="s">
        <v>166</v>
      </c>
      <c r="K57" s="4" t="s">
        <v>143</v>
      </c>
      <c r="L57" s="4"/>
      <c r="M57" s="4"/>
      <c r="N57" s="4"/>
      <c r="O57" s="4"/>
      <c r="P57" s="4"/>
      <c r="Q57" s="4"/>
      <c r="R57" s="4"/>
      <c r="S57" s="4"/>
      <c r="T57" s="14"/>
      <c r="U57" s="4" t="s">
        <v>71</v>
      </c>
      <c r="V57" s="4" t="s">
        <v>71</v>
      </c>
      <c r="W57" s="4" t="str">
        <f t="shared" si="0"/>
        <v>NO</v>
      </c>
      <c r="X57" s="4"/>
    </row>
    <row r="58" spans="1:24" ht="46" customHeight="1">
      <c r="A58" s="4" t="s">
        <v>378</v>
      </c>
      <c r="B58" s="4" t="s">
        <v>379</v>
      </c>
      <c r="C58" s="4" t="s">
        <v>369</v>
      </c>
      <c r="D58" s="4" t="s">
        <v>255</v>
      </c>
      <c r="E58" s="4" t="s">
        <v>124</v>
      </c>
      <c r="F58" s="4" t="s">
        <v>125</v>
      </c>
      <c r="G58" s="4" t="s">
        <v>200</v>
      </c>
      <c r="H58" s="4" t="s">
        <v>61</v>
      </c>
      <c r="I58" s="4">
        <v>4</v>
      </c>
      <c r="J58" s="4" t="s">
        <v>201</v>
      </c>
      <c r="K58" s="4" t="s">
        <v>143</v>
      </c>
      <c r="L58" s="4"/>
      <c r="M58" s="4"/>
      <c r="N58" s="4"/>
      <c r="O58" s="4"/>
      <c r="P58" s="4"/>
      <c r="Q58" s="4"/>
      <c r="R58" s="4"/>
      <c r="S58" s="4"/>
      <c r="T58" s="14"/>
      <c r="U58" s="4" t="s">
        <v>71</v>
      </c>
      <c r="V58" s="4" t="s">
        <v>71</v>
      </c>
      <c r="W58" s="4" t="str">
        <f t="shared" si="0"/>
        <v>NO</v>
      </c>
      <c r="X58" s="4"/>
    </row>
    <row r="59" spans="1:24" ht="46" customHeight="1">
      <c r="A59" s="4" t="s">
        <v>380</v>
      </c>
      <c r="B59" s="4" t="s">
        <v>381</v>
      </c>
      <c r="C59" s="4" t="s">
        <v>382</v>
      </c>
      <c r="D59" s="4" t="s">
        <v>235</v>
      </c>
      <c r="E59" s="4" t="s">
        <v>124</v>
      </c>
      <c r="F59" s="4" t="s">
        <v>383</v>
      </c>
      <c r="G59" s="4" t="s">
        <v>200</v>
      </c>
      <c r="H59" s="4" t="s">
        <v>58</v>
      </c>
      <c r="I59" s="4">
        <v>2</v>
      </c>
      <c r="J59" s="4" t="s">
        <v>201</v>
      </c>
      <c r="K59" s="4" t="s">
        <v>143</v>
      </c>
      <c r="L59" s="4"/>
      <c r="M59" s="4"/>
      <c r="N59" s="4"/>
      <c r="O59" s="4"/>
      <c r="P59" s="4"/>
      <c r="Q59" s="4"/>
      <c r="R59" s="4"/>
      <c r="S59" s="4"/>
      <c r="T59" s="14"/>
      <c r="U59" s="4" t="s">
        <v>71</v>
      </c>
      <c r="V59" s="4" t="s">
        <v>71</v>
      </c>
      <c r="W59" s="4" t="str">
        <f t="shared" si="0"/>
        <v>NO</v>
      </c>
      <c r="X59" s="4"/>
    </row>
    <row r="60" spans="1:24" ht="46" customHeight="1">
      <c r="A60" s="4" t="s">
        <v>384</v>
      </c>
      <c r="B60" s="4" t="s">
        <v>385</v>
      </c>
      <c r="C60" s="4" t="s">
        <v>386</v>
      </c>
      <c r="D60" s="4" t="s">
        <v>335</v>
      </c>
      <c r="E60" s="4" t="s">
        <v>124</v>
      </c>
      <c r="F60" s="4" t="s">
        <v>383</v>
      </c>
      <c r="G60" s="4" t="s">
        <v>200</v>
      </c>
      <c r="H60" s="4" t="s">
        <v>58</v>
      </c>
      <c r="I60" s="4">
        <v>6</v>
      </c>
      <c r="J60" s="4" t="s">
        <v>201</v>
      </c>
      <c r="K60" s="4" t="s">
        <v>143</v>
      </c>
      <c r="L60" s="4"/>
      <c r="M60" s="4"/>
      <c r="N60" s="4"/>
      <c r="O60" s="4"/>
      <c r="P60" s="4"/>
      <c r="Q60" s="4"/>
      <c r="R60" s="4"/>
      <c r="S60" s="4"/>
      <c r="T60" s="14"/>
      <c r="U60" s="4" t="s">
        <v>71</v>
      </c>
      <c r="V60" s="4" t="s">
        <v>71</v>
      </c>
      <c r="W60" s="4" t="str">
        <f t="shared" si="0"/>
        <v>NO</v>
      </c>
      <c r="X60" s="4"/>
    </row>
    <row r="61" spans="1:24" ht="46" customHeight="1">
      <c r="A61" s="4" t="s">
        <v>387</v>
      </c>
      <c r="B61" s="4" t="s">
        <v>388</v>
      </c>
      <c r="C61" s="4" t="s">
        <v>299</v>
      </c>
      <c r="D61" s="4" t="s">
        <v>235</v>
      </c>
      <c r="E61" s="4" t="s">
        <v>152</v>
      </c>
      <c r="F61" s="4" t="s">
        <v>389</v>
      </c>
      <c r="G61" s="4" t="s">
        <v>141</v>
      </c>
      <c r="H61" s="4" t="s">
        <v>77</v>
      </c>
      <c r="I61" s="4">
        <v>10</v>
      </c>
      <c r="J61" s="4" t="s">
        <v>166</v>
      </c>
      <c r="K61" s="4" t="s">
        <v>143</v>
      </c>
      <c r="L61" s="4"/>
      <c r="M61" s="4"/>
      <c r="N61" s="4"/>
      <c r="O61" s="4"/>
      <c r="P61" s="4"/>
      <c r="Q61" s="4"/>
      <c r="R61" s="4"/>
      <c r="S61" s="4"/>
      <c r="T61" s="14"/>
      <c r="U61" s="4" t="s">
        <v>71</v>
      </c>
      <c r="V61" s="4" t="s">
        <v>71</v>
      </c>
      <c r="W61" s="4" t="str">
        <f t="shared" si="0"/>
        <v>NO</v>
      </c>
      <c r="X61" s="4"/>
    </row>
    <row r="62" spans="1:24" ht="46" customHeight="1">
      <c r="A62" s="4" t="s">
        <v>390</v>
      </c>
      <c r="B62" s="4" t="s">
        <v>391</v>
      </c>
      <c r="C62" s="4" t="s">
        <v>299</v>
      </c>
      <c r="D62" s="4" t="s">
        <v>392</v>
      </c>
      <c r="E62" s="4" t="s">
        <v>152</v>
      </c>
      <c r="F62" s="4" t="s">
        <v>325</v>
      </c>
      <c r="G62" s="4" t="s">
        <v>141</v>
      </c>
      <c r="H62" s="4" t="s">
        <v>75</v>
      </c>
      <c r="I62" s="4">
        <v>10</v>
      </c>
      <c r="J62" s="4" t="s">
        <v>166</v>
      </c>
      <c r="K62" s="4" t="s">
        <v>143</v>
      </c>
      <c r="L62" s="4"/>
      <c r="M62" s="4"/>
      <c r="N62" s="4"/>
      <c r="O62" s="4"/>
      <c r="P62" s="4"/>
      <c r="Q62" s="4"/>
      <c r="R62" s="4"/>
      <c r="S62" s="4"/>
      <c r="T62" s="14"/>
      <c r="U62" s="4" t="s">
        <v>71</v>
      </c>
      <c r="V62" s="4" t="s">
        <v>71</v>
      </c>
      <c r="W62" s="4" t="str">
        <f t="shared" si="0"/>
        <v>NO</v>
      </c>
      <c r="X62" s="4"/>
    </row>
    <row r="63" spans="1:24" ht="46" customHeight="1">
      <c r="A63" s="4" t="s">
        <v>393</v>
      </c>
      <c r="B63" s="4" t="s">
        <v>394</v>
      </c>
      <c r="C63" s="4" t="s">
        <v>395</v>
      </c>
      <c r="D63" s="4" t="s">
        <v>305</v>
      </c>
      <c r="E63" s="4" t="s">
        <v>124</v>
      </c>
      <c r="F63" s="4" t="s">
        <v>248</v>
      </c>
      <c r="G63" s="4" t="s">
        <v>200</v>
      </c>
      <c r="H63" s="4" t="s">
        <v>61</v>
      </c>
      <c r="I63" s="4">
        <v>14</v>
      </c>
      <c r="J63" s="4" t="s">
        <v>201</v>
      </c>
      <c r="K63" s="4" t="s">
        <v>143</v>
      </c>
      <c r="L63" s="4"/>
      <c r="M63" s="4"/>
      <c r="N63" s="4"/>
      <c r="O63" s="4"/>
      <c r="P63" s="4"/>
      <c r="Q63" s="4"/>
      <c r="R63" s="4"/>
      <c r="S63" s="4"/>
      <c r="T63" s="14"/>
      <c r="U63" s="4" t="s">
        <v>71</v>
      </c>
      <c r="V63" s="4" t="s">
        <v>71</v>
      </c>
      <c r="W63" s="4" t="str">
        <f t="shared" si="0"/>
        <v>NO</v>
      </c>
      <c r="X63" s="4"/>
    </row>
    <row r="64" spans="1:24" ht="46" customHeight="1">
      <c r="A64" s="4" t="s">
        <v>396</v>
      </c>
      <c r="B64" s="4" t="s">
        <v>397</v>
      </c>
      <c r="C64" s="4" t="s">
        <v>398</v>
      </c>
      <c r="D64" s="4" t="s">
        <v>373</v>
      </c>
      <c r="E64" s="4" t="s">
        <v>152</v>
      </c>
      <c r="F64" s="4" t="s">
        <v>195</v>
      </c>
      <c r="G64" s="4" t="s">
        <v>141</v>
      </c>
      <c r="H64" s="4" t="s">
        <v>79</v>
      </c>
      <c r="I64" s="4">
        <v>7</v>
      </c>
      <c r="J64" s="4" t="s">
        <v>166</v>
      </c>
      <c r="K64" s="4" t="s">
        <v>143</v>
      </c>
      <c r="L64" s="4"/>
      <c r="M64" s="4"/>
      <c r="N64" s="4"/>
      <c r="O64" s="4"/>
      <c r="P64" s="4"/>
      <c r="Q64" s="4"/>
      <c r="R64" s="4"/>
      <c r="S64" s="4"/>
      <c r="T64" s="14"/>
      <c r="U64" s="4" t="s">
        <v>71</v>
      </c>
      <c r="V64" s="4" t="s">
        <v>71</v>
      </c>
      <c r="W64" s="4" t="str">
        <f t="shared" si="0"/>
        <v>NO</v>
      </c>
      <c r="X64" s="4"/>
    </row>
    <row r="65" spans="1:24" ht="46" customHeight="1">
      <c r="A65" s="4" t="s">
        <v>399</v>
      </c>
      <c r="B65" s="4" t="s">
        <v>400</v>
      </c>
      <c r="C65" s="4" t="s">
        <v>401</v>
      </c>
      <c r="D65" s="4" t="s">
        <v>324</v>
      </c>
      <c r="E65" s="4" t="s">
        <v>268</v>
      </c>
      <c r="F65" s="4"/>
      <c r="G65" s="4" t="s">
        <v>141</v>
      </c>
      <c r="H65" s="4" t="s">
        <v>92</v>
      </c>
      <c r="I65" s="4">
        <v>4</v>
      </c>
      <c r="J65" s="4" t="s">
        <v>269</v>
      </c>
      <c r="K65" s="4" t="s">
        <v>143</v>
      </c>
      <c r="L65" s="4"/>
      <c r="M65" s="4"/>
      <c r="N65" s="4"/>
      <c r="O65" s="4"/>
      <c r="P65" s="4"/>
      <c r="Q65" s="4"/>
      <c r="R65" s="4"/>
      <c r="S65" s="4"/>
      <c r="T65" s="14"/>
      <c r="U65" s="4" t="s">
        <v>71</v>
      </c>
      <c r="V65" s="4" t="s">
        <v>71</v>
      </c>
      <c r="W65" s="4" t="str">
        <f t="shared" si="0"/>
        <v>NO</v>
      </c>
      <c r="X65" s="4"/>
    </row>
    <row r="66" spans="1:24" ht="46" customHeight="1">
      <c r="A66" s="4" t="s">
        <v>402</v>
      </c>
      <c r="B66" s="4" t="s">
        <v>403</v>
      </c>
      <c r="C66" s="4" t="s">
        <v>404</v>
      </c>
      <c r="D66" s="4" t="s">
        <v>405</v>
      </c>
      <c r="E66" s="4" t="s">
        <v>152</v>
      </c>
      <c r="F66" s="4" t="s">
        <v>301</v>
      </c>
      <c r="G66" s="4" t="s">
        <v>141</v>
      </c>
      <c r="H66" s="4" t="s">
        <v>75</v>
      </c>
      <c r="I66" s="4">
        <v>15</v>
      </c>
      <c r="J66" s="4" t="s">
        <v>166</v>
      </c>
      <c r="K66" s="4" t="s">
        <v>143</v>
      </c>
      <c r="L66" s="4"/>
      <c r="M66" s="4"/>
      <c r="N66" s="4"/>
      <c r="O66" s="4"/>
      <c r="P66" s="4"/>
      <c r="Q66" s="4"/>
      <c r="R66" s="4"/>
      <c r="S66" s="4"/>
      <c r="T66" s="14"/>
      <c r="U66" s="4" t="s">
        <v>71</v>
      </c>
      <c r="V66" s="4" t="s">
        <v>71</v>
      </c>
      <c r="W66" s="4" t="str">
        <f t="shared" si="0"/>
        <v>NO</v>
      </c>
      <c r="X66" s="4"/>
    </row>
    <row r="67" spans="1:24" ht="46" customHeight="1">
      <c r="A67" s="4" t="s">
        <v>406</v>
      </c>
      <c r="B67" s="4" t="s">
        <v>407</v>
      </c>
      <c r="C67" s="4" t="s">
        <v>408</v>
      </c>
      <c r="D67" s="4" t="s">
        <v>244</v>
      </c>
      <c r="E67" s="4" t="s">
        <v>139</v>
      </c>
      <c r="F67" s="4" t="s">
        <v>140</v>
      </c>
      <c r="G67" s="4" t="s">
        <v>141</v>
      </c>
      <c r="H67" s="4" t="s">
        <v>88</v>
      </c>
      <c r="I67" s="4">
        <v>11</v>
      </c>
      <c r="J67" s="4" t="s">
        <v>142</v>
      </c>
      <c r="K67" s="4" t="s">
        <v>143</v>
      </c>
      <c r="L67" s="4"/>
      <c r="M67" s="4"/>
      <c r="N67" s="4"/>
      <c r="O67" s="4"/>
      <c r="P67" s="4"/>
      <c r="Q67" s="4"/>
      <c r="R67" s="4"/>
      <c r="S67" s="4"/>
      <c r="T67" s="14"/>
      <c r="U67" s="4" t="s">
        <v>71</v>
      </c>
      <c r="V67" s="4" t="s">
        <v>71</v>
      </c>
      <c r="W67" s="4" t="str">
        <f t="shared" si="0"/>
        <v>NO</v>
      </c>
      <c r="X67" s="4"/>
    </row>
    <row r="68" spans="1:24" ht="46" customHeight="1">
      <c r="A68" s="4" t="s">
        <v>409</v>
      </c>
      <c r="B68" s="4" t="s">
        <v>410</v>
      </c>
      <c r="C68" s="4" t="s">
        <v>411</v>
      </c>
      <c r="D68" s="4" t="s">
        <v>309</v>
      </c>
      <c r="E68" s="4" t="s">
        <v>152</v>
      </c>
      <c r="F68" s="4" t="s">
        <v>412</v>
      </c>
      <c r="G68" s="4" t="s">
        <v>141</v>
      </c>
      <c r="H68" s="4" t="s">
        <v>72</v>
      </c>
      <c r="I68" s="4">
        <v>13</v>
      </c>
      <c r="J68" s="4" t="s">
        <v>166</v>
      </c>
      <c r="K68" s="4" t="s">
        <v>143</v>
      </c>
      <c r="L68" s="4"/>
      <c r="M68" s="4"/>
      <c r="N68" s="4"/>
      <c r="O68" s="4"/>
      <c r="P68" s="4"/>
      <c r="Q68" s="4"/>
      <c r="R68" s="4"/>
      <c r="S68" s="4"/>
      <c r="T68" s="14"/>
      <c r="U68" s="4" t="s">
        <v>71</v>
      </c>
      <c r="V68" s="4" t="s">
        <v>71</v>
      </c>
      <c r="W68" s="4" t="str">
        <f t="shared" si="0"/>
        <v>NO</v>
      </c>
      <c r="X68" s="4"/>
    </row>
    <row r="69" spans="1:24" ht="46" customHeight="1">
      <c r="A69" s="4" t="s">
        <v>413</v>
      </c>
      <c r="B69" s="4" t="s">
        <v>414</v>
      </c>
      <c r="C69" s="4" t="s">
        <v>415</v>
      </c>
      <c r="D69" s="4" t="s">
        <v>260</v>
      </c>
      <c r="E69" s="4" t="s">
        <v>124</v>
      </c>
      <c r="F69" s="4" t="s">
        <v>248</v>
      </c>
      <c r="G69" s="4" t="s">
        <v>200</v>
      </c>
      <c r="H69" s="4" t="s">
        <v>61</v>
      </c>
      <c r="I69" s="4">
        <v>12</v>
      </c>
      <c r="J69" s="4" t="s">
        <v>201</v>
      </c>
      <c r="K69" s="4" t="s">
        <v>143</v>
      </c>
      <c r="L69" s="4"/>
      <c r="M69" s="4"/>
      <c r="N69" s="4"/>
      <c r="O69" s="4"/>
      <c r="P69" s="4"/>
      <c r="Q69" s="4"/>
      <c r="R69" s="4"/>
      <c r="S69" s="4"/>
      <c r="T69" s="14"/>
      <c r="U69" s="4" t="s">
        <v>71</v>
      </c>
      <c r="V69" s="4" t="s">
        <v>71</v>
      </c>
      <c r="W69" s="4" t="str">
        <f t="shared" ref="W69:W132" si="1">IF(OR(AND(K69="confirmada",L69&lt;&gt;"",N69&lt;&gt;"",O69&lt;&gt;"",P69&lt;&gt;"",Q69&lt;&gt;"",R69&lt;&gt;"",S69&lt;&gt;"",T69&lt;&gt;"",U69="pasa",V69="aprobada",OR(X69="",X69="—")),AND(K69="revisada_redireccion",Q69&lt;&gt;"",R69&lt;&gt;"",S69&lt;&gt;"",T69&lt;&gt;"",U69="pasa",V69="aprobada",OR(X69="",X69="—"))),"SÍ","NO")</f>
        <v>NO</v>
      </c>
      <c r="X69" s="4"/>
    </row>
    <row r="70" spans="1:24" ht="46" customHeight="1">
      <c r="A70" s="4" t="s">
        <v>416</v>
      </c>
      <c r="B70" s="4" t="s">
        <v>417</v>
      </c>
      <c r="C70" s="4" t="s">
        <v>418</v>
      </c>
      <c r="D70" s="4" t="s">
        <v>419</v>
      </c>
      <c r="E70" s="4" t="s">
        <v>268</v>
      </c>
      <c r="F70" s="4"/>
      <c r="G70" s="4" t="s">
        <v>141</v>
      </c>
      <c r="H70" s="4" t="s">
        <v>92</v>
      </c>
      <c r="I70" s="4">
        <v>11</v>
      </c>
      <c r="J70" s="4" t="s">
        <v>269</v>
      </c>
      <c r="K70" s="4" t="s">
        <v>143</v>
      </c>
      <c r="L70" s="4"/>
      <c r="M70" s="4"/>
      <c r="N70" s="4"/>
      <c r="O70" s="4"/>
      <c r="P70" s="4"/>
      <c r="Q70" s="4"/>
      <c r="R70" s="4"/>
      <c r="S70" s="4"/>
      <c r="T70" s="14"/>
      <c r="U70" s="4" t="s">
        <v>71</v>
      </c>
      <c r="V70" s="4" t="s">
        <v>71</v>
      </c>
      <c r="W70" s="4" t="str">
        <f t="shared" si="1"/>
        <v>NO</v>
      </c>
      <c r="X70" s="4"/>
    </row>
    <row r="71" spans="1:24" ht="46" customHeight="1">
      <c r="A71" s="4" t="s">
        <v>420</v>
      </c>
      <c r="B71" s="4" t="s">
        <v>421</v>
      </c>
      <c r="C71" s="4" t="s">
        <v>422</v>
      </c>
      <c r="D71" s="4"/>
      <c r="E71" s="4" t="s">
        <v>124</v>
      </c>
      <c r="F71" s="4" t="s">
        <v>190</v>
      </c>
      <c r="G71" s="4" t="s">
        <v>423</v>
      </c>
      <c r="H71" s="4" t="s">
        <v>55</v>
      </c>
      <c r="I71" s="4">
        <v>8</v>
      </c>
      <c r="J71" s="4" t="s">
        <v>185</v>
      </c>
      <c r="K71" s="4" t="s">
        <v>143</v>
      </c>
      <c r="L71" s="4"/>
      <c r="M71" s="4"/>
      <c r="N71" s="4"/>
      <c r="O71" s="4"/>
      <c r="P71" s="4"/>
      <c r="Q71" s="4"/>
      <c r="R71" s="4"/>
      <c r="S71" s="4"/>
      <c r="T71" s="14"/>
      <c r="U71" s="4" t="s">
        <v>71</v>
      </c>
      <c r="V71" s="4" t="s">
        <v>71</v>
      </c>
      <c r="W71" s="4" t="str">
        <f t="shared" si="1"/>
        <v>NO</v>
      </c>
      <c r="X71" s="4"/>
    </row>
    <row r="72" spans="1:24" ht="46" customHeight="1">
      <c r="A72" s="4" t="s">
        <v>424</v>
      </c>
      <c r="B72" s="4" t="s">
        <v>425</v>
      </c>
      <c r="C72" s="4" t="s">
        <v>426</v>
      </c>
      <c r="D72" s="4" t="s">
        <v>229</v>
      </c>
      <c r="E72" s="4" t="s">
        <v>152</v>
      </c>
      <c r="F72" s="4" t="s">
        <v>412</v>
      </c>
      <c r="G72" s="4" t="s">
        <v>141</v>
      </c>
      <c r="H72" s="4" t="s">
        <v>72</v>
      </c>
      <c r="I72" s="4">
        <v>11</v>
      </c>
      <c r="J72" s="4" t="s">
        <v>166</v>
      </c>
      <c r="K72" s="4" t="s">
        <v>143</v>
      </c>
      <c r="L72" s="4"/>
      <c r="M72" s="4"/>
      <c r="N72" s="4"/>
      <c r="O72" s="4"/>
      <c r="P72" s="4"/>
      <c r="Q72" s="4"/>
      <c r="R72" s="4"/>
      <c r="S72" s="4"/>
      <c r="T72" s="14"/>
      <c r="U72" s="4" t="s">
        <v>71</v>
      </c>
      <c r="V72" s="4" t="s">
        <v>71</v>
      </c>
      <c r="W72" s="4" t="str">
        <f t="shared" si="1"/>
        <v>NO</v>
      </c>
      <c r="X72" s="4"/>
    </row>
    <row r="73" spans="1:24" ht="46" customHeight="1">
      <c r="A73" s="4" t="s">
        <v>427</v>
      </c>
      <c r="B73" s="4" t="s">
        <v>428</v>
      </c>
      <c r="C73" s="4" t="s">
        <v>429</v>
      </c>
      <c r="D73" s="4" t="s">
        <v>357</v>
      </c>
      <c r="E73" s="4" t="s">
        <v>152</v>
      </c>
      <c r="F73" s="4" t="s">
        <v>412</v>
      </c>
      <c r="G73" s="4" t="s">
        <v>141</v>
      </c>
      <c r="H73" s="4" t="s">
        <v>72</v>
      </c>
      <c r="I73" s="4">
        <v>12</v>
      </c>
      <c r="J73" s="4" t="s">
        <v>166</v>
      </c>
      <c r="K73" s="4" t="s">
        <v>143</v>
      </c>
      <c r="L73" s="4"/>
      <c r="M73" s="4"/>
      <c r="N73" s="4"/>
      <c r="O73" s="4"/>
      <c r="P73" s="4"/>
      <c r="Q73" s="4"/>
      <c r="R73" s="4"/>
      <c r="S73" s="4"/>
      <c r="T73" s="14"/>
      <c r="U73" s="4" t="s">
        <v>71</v>
      </c>
      <c r="V73" s="4" t="s">
        <v>71</v>
      </c>
      <c r="W73" s="4" t="str">
        <f t="shared" si="1"/>
        <v>NO</v>
      </c>
      <c r="X73" s="4"/>
    </row>
    <row r="74" spans="1:24" ht="46" customHeight="1">
      <c r="A74" s="4" t="s">
        <v>430</v>
      </c>
      <c r="B74" s="4" t="s">
        <v>431</v>
      </c>
      <c r="C74" s="4" t="s">
        <v>432</v>
      </c>
      <c r="D74" s="4" t="s">
        <v>277</v>
      </c>
      <c r="E74" s="4" t="s">
        <v>139</v>
      </c>
      <c r="F74" s="4" t="s">
        <v>383</v>
      </c>
      <c r="G74" s="4" t="s">
        <v>141</v>
      </c>
      <c r="H74" s="4" t="s">
        <v>83</v>
      </c>
      <c r="I74" s="4">
        <v>2</v>
      </c>
      <c r="J74" s="4" t="s">
        <v>142</v>
      </c>
      <c r="K74" s="4" t="s">
        <v>143</v>
      </c>
      <c r="L74" s="4"/>
      <c r="M74" s="4"/>
      <c r="N74" s="4"/>
      <c r="O74" s="4"/>
      <c r="P74" s="4"/>
      <c r="Q74" s="4"/>
      <c r="R74" s="4"/>
      <c r="S74" s="4"/>
      <c r="T74" s="14"/>
      <c r="U74" s="4" t="s">
        <v>71</v>
      </c>
      <c r="V74" s="4" t="s">
        <v>71</v>
      </c>
      <c r="W74" s="4" t="str">
        <f t="shared" si="1"/>
        <v>NO</v>
      </c>
      <c r="X74" s="4"/>
    </row>
    <row r="75" spans="1:24" ht="46" customHeight="1">
      <c r="A75" s="4" t="s">
        <v>433</v>
      </c>
      <c r="B75" s="4" t="s">
        <v>434</v>
      </c>
      <c r="C75" s="4" t="s">
        <v>435</v>
      </c>
      <c r="D75" s="4" t="s">
        <v>244</v>
      </c>
      <c r="E75" s="4" t="s">
        <v>152</v>
      </c>
      <c r="F75" s="4" t="s">
        <v>377</v>
      </c>
      <c r="G75" s="4" t="s">
        <v>141</v>
      </c>
      <c r="H75" s="4" t="s">
        <v>72</v>
      </c>
      <c r="I75" s="4">
        <v>2</v>
      </c>
      <c r="J75" s="4" t="s">
        <v>166</v>
      </c>
      <c r="K75" s="4" t="s">
        <v>143</v>
      </c>
      <c r="L75" s="4"/>
      <c r="M75" s="4"/>
      <c r="N75" s="4"/>
      <c r="O75" s="4"/>
      <c r="P75" s="4"/>
      <c r="Q75" s="4"/>
      <c r="R75" s="4"/>
      <c r="S75" s="4"/>
      <c r="T75" s="14"/>
      <c r="U75" s="4" t="s">
        <v>71</v>
      </c>
      <c r="V75" s="4" t="s">
        <v>71</v>
      </c>
      <c r="W75" s="4" t="str">
        <f t="shared" si="1"/>
        <v>NO</v>
      </c>
      <c r="X75" s="4"/>
    </row>
    <row r="76" spans="1:24" ht="46" customHeight="1">
      <c r="A76" s="4" t="s">
        <v>436</v>
      </c>
      <c r="B76" s="4" t="s">
        <v>437</v>
      </c>
      <c r="C76" s="4" t="s">
        <v>438</v>
      </c>
      <c r="D76" s="4" t="s">
        <v>439</v>
      </c>
      <c r="E76" s="4" t="s">
        <v>152</v>
      </c>
      <c r="F76" s="4" t="s">
        <v>240</v>
      </c>
      <c r="G76" s="4" t="s">
        <v>141</v>
      </c>
      <c r="H76" s="4" t="s">
        <v>81</v>
      </c>
      <c r="I76" s="4">
        <v>8</v>
      </c>
      <c r="J76" s="4" t="s">
        <v>166</v>
      </c>
      <c r="K76" s="4" t="s">
        <v>143</v>
      </c>
      <c r="L76" s="4"/>
      <c r="M76" s="4"/>
      <c r="N76" s="4"/>
      <c r="O76" s="4"/>
      <c r="P76" s="4"/>
      <c r="Q76" s="4"/>
      <c r="R76" s="4"/>
      <c r="S76" s="4"/>
      <c r="T76" s="14"/>
      <c r="U76" s="4" t="s">
        <v>71</v>
      </c>
      <c r="V76" s="4" t="s">
        <v>71</v>
      </c>
      <c r="W76" s="4" t="str">
        <f t="shared" si="1"/>
        <v>NO</v>
      </c>
      <c r="X76" s="4"/>
    </row>
    <row r="77" spans="1:24" ht="46" customHeight="1">
      <c r="A77" s="4" t="s">
        <v>440</v>
      </c>
      <c r="B77" s="4" t="s">
        <v>441</v>
      </c>
      <c r="C77" s="4" t="s">
        <v>435</v>
      </c>
      <c r="D77" s="4" t="s">
        <v>147</v>
      </c>
      <c r="E77" s="4" t="s">
        <v>139</v>
      </c>
      <c r="F77" s="4" t="s">
        <v>256</v>
      </c>
      <c r="G77" s="4" t="s">
        <v>141</v>
      </c>
      <c r="H77" s="4" t="s">
        <v>83</v>
      </c>
      <c r="I77" s="4">
        <v>13</v>
      </c>
      <c r="J77" s="4" t="s">
        <v>142</v>
      </c>
      <c r="K77" s="4" t="s">
        <v>143</v>
      </c>
      <c r="L77" s="4"/>
      <c r="M77" s="4"/>
      <c r="N77" s="4"/>
      <c r="O77" s="4"/>
      <c r="P77" s="4"/>
      <c r="Q77" s="4"/>
      <c r="R77" s="4"/>
      <c r="S77" s="4"/>
      <c r="T77" s="14"/>
      <c r="U77" s="4" t="s">
        <v>71</v>
      </c>
      <c r="V77" s="4" t="s">
        <v>71</v>
      </c>
      <c r="W77" s="4" t="str">
        <f t="shared" si="1"/>
        <v>NO</v>
      </c>
      <c r="X77" s="4"/>
    </row>
    <row r="78" spans="1:24" ht="46" customHeight="1">
      <c r="A78" s="4" t="s">
        <v>442</v>
      </c>
      <c r="B78" s="4" t="s">
        <v>443</v>
      </c>
      <c r="C78" s="4" t="s">
        <v>444</v>
      </c>
      <c r="D78" s="4" t="s">
        <v>147</v>
      </c>
      <c r="E78" s="4" t="s">
        <v>152</v>
      </c>
      <c r="F78" s="4" t="s">
        <v>377</v>
      </c>
      <c r="G78" s="4" t="s">
        <v>141</v>
      </c>
      <c r="H78" s="4" t="s">
        <v>72</v>
      </c>
      <c r="I78" s="4">
        <v>4</v>
      </c>
      <c r="J78" s="4" t="s">
        <v>166</v>
      </c>
      <c r="K78" s="4" t="s">
        <v>143</v>
      </c>
      <c r="L78" s="4"/>
      <c r="M78" s="4"/>
      <c r="N78" s="4"/>
      <c r="O78" s="4"/>
      <c r="P78" s="4"/>
      <c r="Q78" s="4"/>
      <c r="R78" s="4"/>
      <c r="S78" s="4"/>
      <c r="T78" s="14"/>
      <c r="U78" s="4" t="s">
        <v>71</v>
      </c>
      <c r="V78" s="4" t="s">
        <v>71</v>
      </c>
      <c r="W78" s="4" t="str">
        <f t="shared" si="1"/>
        <v>NO</v>
      </c>
      <c r="X78" s="4"/>
    </row>
    <row r="79" spans="1:24" ht="46" customHeight="1">
      <c r="A79" s="4" t="s">
        <v>445</v>
      </c>
      <c r="B79" s="4" t="s">
        <v>446</v>
      </c>
      <c r="C79" s="4" t="s">
        <v>122</v>
      </c>
      <c r="D79" s="4" t="s">
        <v>447</v>
      </c>
      <c r="E79" s="4" t="s">
        <v>139</v>
      </c>
      <c r="F79" s="4" t="s">
        <v>125</v>
      </c>
      <c r="G79" s="4" t="s">
        <v>141</v>
      </c>
      <c r="H79" s="4" t="s">
        <v>83</v>
      </c>
      <c r="I79" s="4">
        <v>8</v>
      </c>
      <c r="J79" s="4" t="s">
        <v>142</v>
      </c>
      <c r="K79" s="4" t="s">
        <v>143</v>
      </c>
      <c r="L79" s="4"/>
      <c r="M79" s="4"/>
      <c r="N79" s="4"/>
      <c r="O79" s="4"/>
      <c r="P79" s="4"/>
      <c r="Q79" s="4"/>
      <c r="R79" s="4"/>
      <c r="S79" s="4"/>
      <c r="T79" s="14"/>
      <c r="U79" s="4" t="s">
        <v>71</v>
      </c>
      <c r="V79" s="4" t="s">
        <v>71</v>
      </c>
      <c r="W79" s="4" t="str">
        <f t="shared" si="1"/>
        <v>NO</v>
      </c>
      <c r="X79" s="4"/>
    </row>
    <row r="80" spans="1:24" ht="46" customHeight="1">
      <c r="A80" s="4" t="s">
        <v>448</v>
      </c>
      <c r="B80" s="4" t="s">
        <v>449</v>
      </c>
      <c r="C80" s="4" t="s">
        <v>450</v>
      </c>
      <c r="D80" s="4" t="s">
        <v>229</v>
      </c>
      <c r="E80" s="4" t="s">
        <v>124</v>
      </c>
      <c r="F80" s="4" t="s">
        <v>383</v>
      </c>
      <c r="G80" s="4" t="s">
        <v>200</v>
      </c>
      <c r="H80" s="4" t="s">
        <v>58</v>
      </c>
      <c r="I80" s="4">
        <v>8</v>
      </c>
      <c r="J80" s="4" t="s">
        <v>201</v>
      </c>
      <c r="K80" s="4" t="s">
        <v>143</v>
      </c>
      <c r="L80" s="4"/>
      <c r="M80" s="4"/>
      <c r="N80" s="4"/>
      <c r="O80" s="4"/>
      <c r="P80" s="4"/>
      <c r="Q80" s="4"/>
      <c r="R80" s="4"/>
      <c r="S80" s="4"/>
      <c r="T80" s="14"/>
      <c r="U80" s="4" t="s">
        <v>71</v>
      </c>
      <c r="V80" s="4" t="s">
        <v>71</v>
      </c>
      <c r="W80" s="4" t="str">
        <f t="shared" si="1"/>
        <v>NO</v>
      </c>
      <c r="X80" s="4"/>
    </row>
    <row r="81" spans="1:24" ht="46" customHeight="1">
      <c r="A81" s="4" t="s">
        <v>451</v>
      </c>
      <c r="B81" s="4" t="s">
        <v>452</v>
      </c>
      <c r="C81" s="4" t="s">
        <v>453</v>
      </c>
      <c r="D81" s="4" t="s">
        <v>454</v>
      </c>
      <c r="E81" s="4" t="s">
        <v>268</v>
      </c>
      <c r="F81" s="4"/>
      <c r="G81" s="4" t="s">
        <v>141</v>
      </c>
      <c r="H81" s="4" t="s">
        <v>92</v>
      </c>
      <c r="I81" s="4">
        <v>14</v>
      </c>
      <c r="J81" s="4" t="s">
        <v>269</v>
      </c>
      <c r="K81" s="4" t="s">
        <v>143</v>
      </c>
      <c r="L81" s="4"/>
      <c r="M81" s="4"/>
      <c r="N81" s="4"/>
      <c r="O81" s="4"/>
      <c r="P81" s="4"/>
      <c r="Q81" s="4"/>
      <c r="R81" s="4"/>
      <c r="S81" s="4"/>
      <c r="T81" s="14"/>
      <c r="U81" s="4" t="s">
        <v>71</v>
      </c>
      <c r="V81" s="4" t="s">
        <v>71</v>
      </c>
      <c r="W81" s="4" t="str">
        <f t="shared" si="1"/>
        <v>NO</v>
      </c>
      <c r="X81" s="4"/>
    </row>
    <row r="82" spans="1:24" ht="46" customHeight="1">
      <c r="A82" s="4" t="s">
        <v>455</v>
      </c>
      <c r="B82" s="4" t="s">
        <v>456</v>
      </c>
      <c r="C82" s="4" t="s">
        <v>457</v>
      </c>
      <c r="D82" s="4" t="s">
        <v>170</v>
      </c>
      <c r="E82" s="4" t="s">
        <v>139</v>
      </c>
      <c r="F82" s="4" t="s">
        <v>248</v>
      </c>
      <c r="G82" s="4" t="s">
        <v>141</v>
      </c>
      <c r="H82" s="4" t="s">
        <v>86</v>
      </c>
      <c r="I82" s="4">
        <v>11</v>
      </c>
      <c r="J82" s="4" t="s">
        <v>142</v>
      </c>
      <c r="K82" s="4" t="s">
        <v>143</v>
      </c>
      <c r="L82" s="4"/>
      <c r="M82" s="4"/>
      <c r="N82" s="4"/>
      <c r="O82" s="4"/>
      <c r="P82" s="4"/>
      <c r="Q82" s="4"/>
      <c r="R82" s="4"/>
      <c r="S82" s="4"/>
      <c r="T82" s="14"/>
      <c r="U82" s="4" t="s">
        <v>71</v>
      </c>
      <c r="V82" s="4" t="s">
        <v>71</v>
      </c>
      <c r="W82" s="4" t="str">
        <f t="shared" si="1"/>
        <v>NO</v>
      </c>
      <c r="X82" s="4"/>
    </row>
    <row r="83" spans="1:24" ht="46" customHeight="1">
      <c r="A83" s="4" t="s">
        <v>458</v>
      </c>
      <c r="B83" s="4" t="s">
        <v>459</v>
      </c>
      <c r="C83" s="4" t="s">
        <v>460</v>
      </c>
      <c r="D83" s="4" t="s">
        <v>199</v>
      </c>
      <c r="E83" s="4" t="s">
        <v>152</v>
      </c>
      <c r="F83" s="4" t="s">
        <v>183</v>
      </c>
      <c r="G83" s="4" t="s">
        <v>184</v>
      </c>
      <c r="H83" s="4" t="s">
        <v>55</v>
      </c>
      <c r="I83" s="4">
        <v>4</v>
      </c>
      <c r="J83" s="4" t="s">
        <v>185</v>
      </c>
      <c r="K83" s="4" t="s">
        <v>143</v>
      </c>
      <c r="L83" s="4"/>
      <c r="M83" s="4"/>
      <c r="N83" s="4"/>
      <c r="O83" s="4"/>
      <c r="P83" s="4"/>
      <c r="Q83" s="4"/>
      <c r="R83" s="4"/>
      <c r="S83" s="4"/>
      <c r="T83" s="14"/>
      <c r="U83" s="4" t="s">
        <v>71</v>
      </c>
      <c r="V83" s="4" t="s">
        <v>71</v>
      </c>
      <c r="W83" s="4" t="str">
        <f t="shared" si="1"/>
        <v>NO</v>
      </c>
      <c r="X83" s="4"/>
    </row>
    <row r="84" spans="1:24" ht="46" customHeight="1">
      <c r="A84" s="4" t="s">
        <v>461</v>
      </c>
      <c r="B84" s="4" t="s">
        <v>462</v>
      </c>
      <c r="C84" s="4" t="s">
        <v>463</v>
      </c>
      <c r="D84" s="4" t="s">
        <v>464</v>
      </c>
      <c r="E84" s="4" t="s">
        <v>268</v>
      </c>
      <c r="F84" s="4"/>
      <c r="G84" s="4" t="s">
        <v>141</v>
      </c>
      <c r="H84" s="4" t="s">
        <v>92</v>
      </c>
      <c r="I84" s="4">
        <v>12</v>
      </c>
      <c r="J84" s="4" t="s">
        <v>269</v>
      </c>
      <c r="K84" s="4" t="s">
        <v>143</v>
      </c>
      <c r="L84" s="4"/>
      <c r="M84" s="4"/>
      <c r="N84" s="4"/>
      <c r="O84" s="4"/>
      <c r="P84" s="4"/>
      <c r="Q84" s="4"/>
      <c r="R84" s="4"/>
      <c r="S84" s="4"/>
      <c r="T84" s="14"/>
      <c r="U84" s="4" t="s">
        <v>71</v>
      </c>
      <c r="V84" s="4" t="s">
        <v>71</v>
      </c>
      <c r="W84" s="4" t="str">
        <f t="shared" si="1"/>
        <v>NO</v>
      </c>
      <c r="X84" s="4"/>
    </row>
    <row r="85" spans="1:24" ht="46" customHeight="1">
      <c r="A85" s="4" t="s">
        <v>465</v>
      </c>
      <c r="B85" s="4" t="s">
        <v>466</v>
      </c>
      <c r="C85" s="4" t="s">
        <v>467</v>
      </c>
      <c r="D85" s="4" t="s">
        <v>468</v>
      </c>
      <c r="E85" s="4" t="s">
        <v>139</v>
      </c>
      <c r="F85" s="4" t="s">
        <v>383</v>
      </c>
      <c r="G85" s="4" t="s">
        <v>141</v>
      </c>
      <c r="H85" s="4" t="s">
        <v>83</v>
      </c>
      <c r="I85" s="4">
        <v>1</v>
      </c>
      <c r="J85" s="4" t="s">
        <v>142</v>
      </c>
      <c r="K85" s="4" t="s">
        <v>143</v>
      </c>
      <c r="L85" s="4"/>
      <c r="M85" s="4"/>
      <c r="N85" s="4"/>
      <c r="O85" s="4"/>
      <c r="P85" s="4"/>
      <c r="Q85" s="4"/>
      <c r="R85" s="4"/>
      <c r="S85" s="4"/>
      <c r="T85" s="14"/>
      <c r="U85" s="4" t="s">
        <v>71</v>
      </c>
      <c r="V85" s="4" t="s">
        <v>71</v>
      </c>
      <c r="W85" s="4" t="str">
        <f t="shared" si="1"/>
        <v>NO</v>
      </c>
      <c r="X85" s="4"/>
    </row>
    <row r="86" spans="1:24" ht="46" customHeight="1">
      <c r="A86" s="4" t="s">
        <v>469</v>
      </c>
      <c r="B86" s="4" t="s">
        <v>470</v>
      </c>
      <c r="C86" s="4" t="s">
        <v>471</v>
      </c>
      <c r="D86" s="4" t="s">
        <v>347</v>
      </c>
      <c r="E86" s="4" t="s">
        <v>139</v>
      </c>
      <c r="F86" s="4" t="s">
        <v>165</v>
      </c>
      <c r="G86" s="4" t="s">
        <v>141</v>
      </c>
      <c r="H86" s="4" t="s">
        <v>83</v>
      </c>
      <c r="I86" s="4">
        <v>4</v>
      </c>
      <c r="J86" s="4" t="s">
        <v>142</v>
      </c>
      <c r="K86" s="4" t="s">
        <v>143</v>
      </c>
      <c r="L86" s="4"/>
      <c r="M86" s="4"/>
      <c r="N86" s="4"/>
      <c r="O86" s="4"/>
      <c r="P86" s="4"/>
      <c r="Q86" s="4"/>
      <c r="R86" s="4"/>
      <c r="S86" s="4"/>
      <c r="T86" s="14"/>
      <c r="U86" s="4" t="s">
        <v>71</v>
      </c>
      <c r="V86" s="4" t="s">
        <v>71</v>
      </c>
      <c r="W86" s="4" t="str">
        <f t="shared" si="1"/>
        <v>NO</v>
      </c>
      <c r="X86" s="4"/>
    </row>
    <row r="87" spans="1:24" ht="46" customHeight="1">
      <c r="A87" s="4" t="s">
        <v>472</v>
      </c>
      <c r="B87" s="4" t="s">
        <v>473</v>
      </c>
      <c r="C87" s="4" t="s">
        <v>137</v>
      </c>
      <c r="D87" s="4" t="s">
        <v>474</v>
      </c>
      <c r="E87" s="4" t="s">
        <v>139</v>
      </c>
      <c r="F87" s="4" t="s">
        <v>140</v>
      </c>
      <c r="G87" s="4" t="s">
        <v>141</v>
      </c>
      <c r="H87" s="4" t="s">
        <v>90</v>
      </c>
      <c r="I87" s="4">
        <v>11</v>
      </c>
      <c r="J87" s="4" t="s">
        <v>142</v>
      </c>
      <c r="K87" s="4" t="s">
        <v>143</v>
      </c>
      <c r="L87" s="4"/>
      <c r="M87" s="4"/>
      <c r="N87" s="4"/>
      <c r="O87" s="4"/>
      <c r="P87" s="4"/>
      <c r="Q87" s="4"/>
      <c r="R87" s="4"/>
      <c r="S87" s="4"/>
      <c r="T87" s="14"/>
      <c r="U87" s="4" t="s">
        <v>71</v>
      </c>
      <c r="V87" s="4" t="s">
        <v>71</v>
      </c>
      <c r="W87" s="4" t="str">
        <f t="shared" si="1"/>
        <v>NO</v>
      </c>
      <c r="X87" s="4"/>
    </row>
    <row r="88" spans="1:24" ht="46" customHeight="1">
      <c r="A88" s="4" t="s">
        <v>475</v>
      </c>
      <c r="B88" s="4" t="s">
        <v>476</v>
      </c>
      <c r="C88" s="4" t="s">
        <v>477</v>
      </c>
      <c r="D88" s="4" t="s">
        <v>353</v>
      </c>
      <c r="E88" s="4" t="s">
        <v>124</v>
      </c>
      <c r="F88" s="4" t="s">
        <v>256</v>
      </c>
      <c r="G88" s="4" t="s">
        <v>200</v>
      </c>
      <c r="H88" s="4" t="s">
        <v>61</v>
      </c>
      <c r="I88" s="4">
        <v>9</v>
      </c>
      <c r="J88" s="4" t="s">
        <v>201</v>
      </c>
      <c r="K88" s="4" t="s">
        <v>143</v>
      </c>
      <c r="L88" s="4"/>
      <c r="M88" s="4"/>
      <c r="N88" s="4"/>
      <c r="O88" s="4"/>
      <c r="P88" s="4"/>
      <c r="Q88" s="4"/>
      <c r="R88" s="4"/>
      <c r="S88" s="4"/>
      <c r="T88" s="14"/>
      <c r="U88" s="4" t="s">
        <v>71</v>
      </c>
      <c r="V88" s="4" t="s">
        <v>71</v>
      </c>
      <c r="W88" s="4" t="str">
        <f t="shared" si="1"/>
        <v>NO</v>
      </c>
      <c r="X88" s="4"/>
    </row>
    <row r="89" spans="1:24" ht="46" customHeight="1">
      <c r="A89" s="4" t="s">
        <v>478</v>
      </c>
      <c r="B89" s="4" t="s">
        <v>479</v>
      </c>
      <c r="C89" s="4" t="s">
        <v>480</v>
      </c>
      <c r="D89" s="4" t="s">
        <v>373</v>
      </c>
      <c r="E89" s="4" t="s">
        <v>124</v>
      </c>
      <c r="F89" s="4" t="s">
        <v>383</v>
      </c>
      <c r="G89" s="4" t="s">
        <v>200</v>
      </c>
      <c r="H89" s="4" t="s">
        <v>58</v>
      </c>
      <c r="I89" s="4">
        <v>4</v>
      </c>
      <c r="J89" s="4" t="s">
        <v>201</v>
      </c>
      <c r="K89" s="4" t="s">
        <v>143</v>
      </c>
      <c r="L89" s="4"/>
      <c r="M89" s="4"/>
      <c r="N89" s="4"/>
      <c r="O89" s="4"/>
      <c r="P89" s="4"/>
      <c r="Q89" s="4"/>
      <c r="R89" s="4"/>
      <c r="S89" s="4"/>
      <c r="T89" s="14"/>
      <c r="U89" s="4" t="s">
        <v>71</v>
      </c>
      <c r="V89" s="4" t="s">
        <v>71</v>
      </c>
      <c r="W89" s="4" t="str">
        <f t="shared" si="1"/>
        <v>NO</v>
      </c>
      <c r="X89" s="4"/>
    </row>
    <row r="90" spans="1:24" ht="46" customHeight="1">
      <c r="A90" s="4" t="s">
        <v>481</v>
      </c>
      <c r="B90" s="4" t="s">
        <v>482</v>
      </c>
      <c r="C90" s="4" t="s">
        <v>483</v>
      </c>
      <c r="D90" s="4" t="s">
        <v>484</v>
      </c>
      <c r="E90" s="4" t="s">
        <v>152</v>
      </c>
      <c r="F90" s="4" t="s">
        <v>485</v>
      </c>
      <c r="G90" s="4" t="s">
        <v>141</v>
      </c>
      <c r="H90" s="4" t="s">
        <v>72</v>
      </c>
      <c r="I90" s="4">
        <v>8</v>
      </c>
      <c r="J90" s="4" t="s">
        <v>166</v>
      </c>
      <c r="K90" s="4" t="s">
        <v>143</v>
      </c>
      <c r="L90" s="4"/>
      <c r="M90" s="4"/>
      <c r="N90" s="4"/>
      <c r="O90" s="4"/>
      <c r="P90" s="4"/>
      <c r="Q90" s="4"/>
      <c r="R90" s="4"/>
      <c r="S90" s="4"/>
      <c r="T90" s="14"/>
      <c r="U90" s="4" t="s">
        <v>71</v>
      </c>
      <c r="V90" s="4" t="s">
        <v>71</v>
      </c>
      <c r="W90" s="4" t="str">
        <f t="shared" si="1"/>
        <v>NO</v>
      </c>
      <c r="X90" s="4"/>
    </row>
    <row r="91" spans="1:24" ht="46" customHeight="1">
      <c r="A91" s="4" t="s">
        <v>486</v>
      </c>
      <c r="B91" s="4" t="s">
        <v>487</v>
      </c>
      <c r="C91" s="4" t="s">
        <v>488</v>
      </c>
      <c r="D91" s="4" t="s">
        <v>209</v>
      </c>
      <c r="E91" s="4" t="s">
        <v>124</v>
      </c>
      <c r="F91" s="4" t="s">
        <v>383</v>
      </c>
      <c r="G91" s="4" t="s">
        <v>200</v>
      </c>
      <c r="H91" s="4" t="s">
        <v>58</v>
      </c>
      <c r="I91" s="4">
        <v>10</v>
      </c>
      <c r="J91" s="4" t="s">
        <v>201</v>
      </c>
      <c r="K91" s="4" t="s">
        <v>143</v>
      </c>
      <c r="L91" s="4"/>
      <c r="M91" s="4"/>
      <c r="N91" s="4"/>
      <c r="O91" s="4"/>
      <c r="P91" s="4"/>
      <c r="Q91" s="4"/>
      <c r="R91" s="4"/>
      <c r="S91" s="4"/>
      <c r="T91" s="14"/>
      <c r="U91" s="4" t="s">
        <v>71</v>
      </c>
      <c r="V91" s="4" t="s">
        <v>71</v>
      </c>
      <c r="W91" s="4" t="str">
        <f t="shared" si="1"/>
        <v>NO</v>
      </c>
      <c r="X91" s="4"/>
    </row>
    <row r="92" spans="1:24" ht="46" customHeight="1">
      <c r="A92" s="4" t="s">
        <v>489</v>
      </c>
      <c r="B92" s="4" t="s">
        <v>490</v>
      </c>
      <c r="C92" s="4" t="s">
        <v>491</v>
      </c>
      <c r="D92" s="4" t="s">
        <v>492</v>
      </c>
      <c r="E92" s="4" t="s">
        <v>139</v>
      </c>
      <c r="F92" s="4" t="s">
        <v>125</v>
      </c>
      <c r="G92" s="4" t="s">
        <v>141</v>
      </c>
      <c r="H92" s="4" t="s">
        <v>83</v>
      </c>
      <c r="I92" s="4">
        <v>6</v>
      </c>
      <c r="J92" s="4" t="s">
        <v>142</v>
      </c>
      <c r="K92" s="4" t="s">
        <v>143</v>
      </c>
      <c r="L92" s="4"/>
      <c r="M92" s="4"/>
      <c r="N92" s="4"/>
      <c r="O92" s="4"/>
      <c r="P92" s="4"/>
      <c r="Q92" s="4"/>
      <c r="R92" s="4"/>
      <c r="S92" s="4"/>
      <c r="T92" s="14"/>
      <c r="U92" s="4" t="s">
        <v>71</v>
      </c>
      <c r="V92" s="4" t="s">
        <v>71</v>
      </c>
      <c r="W92" s="4" t="str">
        <f t="shared" si="1"/>
        <v>NO</v>
      </c>
      <c r="X92" s="4"/>
    </row>
    <row r="93" spans="1:24" ht="46" customHeight="1">
      <c r="A93" s="4" t="s">
        <v>493</v>
      </c>
      <c r="B93" s="4" t="s">
        <v>494</v>
      </c>
      <c r="C93" s="4" t="s">
        <v>495</v>
      </c>
      <c r="D93" s="4" t="s">
        <v>199</v>
      </c>
      <c r="E93" s="4" t="s">
        <v>124</v>
      </c>
      <c r="F93" s="4" t="s">
        <v>248</v>
      </c>
      <c r="G93" s="4" t="s">
        <v>200</v>
      </c>
      <c r="H93" s="4" t="s">
        <v>61</v>
      </c>
      <c r="I93" s="4">
        <v>16</v>
      </c>
      <c r="J93" s="4" t="s">
        <v>201</v>
      </c>
      <c r="K93" s="4" t="s">
        <v>143</v>
      </c>
      <c r="L93" s="4"/>
      <c r="M93" s="4"/>
      <c r="N93" s="4"/>
      <c r="O93" s="4"/>
      <c r="P93" s="4"/>
      <c r="Q93" s="4"/>
      <c r="R93" s="4"/>
      <c r="S93" s="4"/>
      <c r="T93" s="14"/>
      <c r="U93" s="4" t="s">
        <v>71</v>
      </c>
      <c r="V93" s="4" t="s">
        <v>71</v>
      </c>
      <c r="W93" s="4" t="str">
        <f t="shared" si="1"/>
        <v>NO</v>
      </c>
      <c r="X93" s="4"/>
    </row>
    <row r="94" spans="1:24" ht="46" customHeight="1">
      <c r="A94" s="4" t="s">
        <v>496</v>
      </c>
      <c r="B94" s="4" t="s">
        <v>497</v>
      </c>
      <c r="C94" s="4" t="s">
        <v>308</v>
      </c>
      <c r="D94" s="4" t="s">
        <v>370</v>
      </c>
      <c r="E94" s="4" t="s">
        <v>152</v>
      </c>
      <c r="F94" s="4" t="s">
        <v>165</v>
      </c>
      <c r="G94" s="4" t="s">
        <v>141</v>
      </c>
      <c r="H94" s="4" t="s">
        <v>75</v>
      </c>
      <c r="I94" s="4">
        <v>1</v>
      </c>
      <c r="J94" s="4" t="s">
        <v>166</v>
      </c>
      <c r="K94" s="4" t="s">
        <v>143</v>
      </c>
      <c r="L94" s="4"/>
      <c r="M94" s="4"/>
      <c r="N94" s="4"/>
      <c r="O94" s="4"/>
      <c r="P94" s="4"/>
      <c r="Q94" s="4"/>
      <c r="R94" s="4"/>
      <c r="S94" s="4"/>
      <c r="T94" s="14"/>
      <c r="U94" s="4" t="s">
        <v>71</v>
      </c>
      <c r="V94" s="4" t="s">
        <v>71</v>
      </c>
      <c r="W94" s="4" t="str">
        <f t="shared" si="1"/>
        <v>NO</v>
      </c>
      <c r="X94" s="4"/>
    </row>
    <row r="95" spans="1:24" ht="46" customHeight="1">
      <c r="A95" s="4" t="s">
        <v>498</v>
      </c>
      <c r="B95" s="4" t="s">
        <v>499</v>
      </c>
      <c r="C95" s="4" t="s">
        <v>500</v>
      </c>
      <c r="D95" s="4" t="s">
        <v>484</v>
      </c>
      <c r="E95" s="4" t="s">
        <v>152</v>
      </c>
      <c r="F95" s="4" t="s">
        <v>389</v>
      </c>
      <c r="G95" s="4" t="s">
        <v>141</v>
      </c>
      <c r="H95" s="4" t="s">
        <v>77</v>
      </c>
      <c r="I95" s="4">
        <v>9</v>
      </c>
      <c r="J95" s="4" t="s">
        <v>166</v>
      </c>
      <c r="K95" s="4" t="s">
        <v>143</v>
      </c>
      <c r="L95" s="4"/>
      <c r="M95" s="4"/>
      <c r="N95" s="4"/>
      <c r="O95" s="4"/>
      <c r="P95" s="4"/>
      <c r="Q95" s="4"/>
      <c r="R95" s="4"/>
      <c r="S95" s="4"/>
      <c r="T95" s="14"/>
      <c r="U95" s="4" t="s">
        <v>71</v>
      </c>
      <c r="V95" s="4" t="s">
        <v>71</v>
      </c>
      <c r="W95" s="4" t="str">
        <f t="shared" si="1"/>
        <v>NO</v>
      </c>
      <c r="X95" s="4"/>
    </row>
    <row r="96" spans="1:24" ht="46" customHeight="1">
      <c r="A96" s="4" t="s">
        <v>501</v>
      </c>
      <c r="B96" s="4" t="s">
        <v>502</v>
      </c>
      <c r="C96" s="4" t="s">
        <v>503</v>
      </c>
      <c r="D96" s="4" t="s">
        <v>504</v>
      </c>
      <c r="E96" s="4" t="s">
        <v>152</v>
      </c>
      <c r="F96" s="4" t="s">
        <v>278</v>
      </c>
      <c r="G96" s="4" t="s">
        <v>141</v>
      </c>
      <c r="H96" s="4" t="s">
        <v>81</v>
      </c>
      <c r="I96" s="4">
        <v>6</v>
      </c>
      <c r="J96" s="4" t="s">
        <v>166</v>
      </c>
      <c r="K96" s="4" t="s">
        <v>143</v>
      </c>
      <c r="L96" s="4"/>
      <c r="M96" s="4"/>
      <c r="N96" s="4"/>
      <c r="O96" s="4"/>
      <c r="P96" s="4"/>
      <c r="Q96" s="4"/>
      <c r="R96" s="4"/>
      <c r="S96" s="4"/>
      <c r="T96" s="14"/>
      <c r="U96" s="4" t="s">
        <v>71</v>
      </c>
      <c r="V96" s="4" t="s">
        <v>71</v>
      </c>
      <c r="W96" s="4" t="str">
        <f t="shared" si="1"/>
        <v>NO</v>
      </c>
      <c r="X96" s="4"/>
    </row>
    <row r="97" spans="1:24" ht="46" customHeight="1">
      <c r="A97" s="4" t="s">
        <v>505</v>
      </c>
      <c r="B97" s="4" t="s">
        <v>506</v>
      </c>
      <c r="C97" s="4" t="s">
        <v>477</v>
      </c>
      <c r="D97" s="4" t="s">
        <v>147</v>
      </c>
      <c r="E97" s="4" t="s">
        <v>124</v>
      </c>
      <c r="F97" s="4" t="s">
        <v>507</v>
      </c>
      <c r="G97" s="4" t="s">
        <v>200</v>
      </c>
      <c r="H97" s="4" t="s">
        <v>58</v>
      </c>
      <c r="I97" s="4">
        <v>13</v>
      </c>
      <c r="J97" s="4" t="s">
        <v>201</v>
      </c>
      <c r="K97" s="4" t="s">
        <v>143</v>
      </c>
      <c r="L97" s="4"/>
      <c r="M97" s="4"/>
      <c r="N97" s="4"/>
      <c r="O97" s="4"/>
      <c r="P97" s="4"/>
      <c r="Q97" s="4"/>
      <c r="R97" s="4"/>
      <c r="S97" s="4"/>
      <c r="T97" s="14"/>
      <c r="U97" s="4" t="s">
        <v>71</v>
      </c>
      <c r="V97" s="4" t="s">
        <v>71</v>
      </c>
      <c r="W97" s="4" t="str">
        <f t="shared" si="1"/>
        <v>NO</v>
      </c>
      <c r="X97" s="4"/>
    </row>
    <row r="98" spans="1:24" ht="46" customHeight="1">
      <c r="A98" s="4" t="s">
        <v>508</v>
      </c>
      <c r="B98" s="4" t="s">
        <v>509</v>
      </c>
      <c r="C98" s="4" t="s">
        <v>510</v>
      </c>
      <c r="D98" s="4" t="s">
        <v>511</v>
      </c>
      <c r="E98" s="4" t="s">
        <v>124</v>
      </c>
      <c r="F98" s="4" t="s">
        <v>507</v>
      </c>
      <c r="G98" s="4" t="s">
        <v>200</v>
      </c>
      <c r="H98" s="4" t="s">
        <v>58</v>
      </c>
      <c r="I98" s="4">
        <v>12</v>
      </c>
      <c r="J98" s="4" t="s">
        <v>201</v>
      </c>
      <c r="K98" s="4" t="s">
        <v>143</v>
      </c>
      <c r="L98" s="4"/>
      <c r="M98" s="4"/>
      <c r="N98" s="4"/>
      <c r="O98" s="4"/>
      <c r="P98" s="4"/>
      <c r="Q98" s="4"/>
      <c r="R98" s="4"/>
      <c r="S98" s="4"/>
      <c r="T98" s="14"/>
      <c r="U98" s="4" t="s">
        <v>71</v>
      </c>
      <c r="V98" s="4" t="s">
        <v>71</v>
      </c>
      <c r="W98" s="4" t="str">
        <f t="shared" si="1"/>
        <v>NO</v>
      </c>
      <c r="X98" s="4"/>
    </row>
    <row r="99" spans="1:24" ht="46" customHeight="1">
      <c r="A99" s="4" t="s">
        <v>512</v>
      </c>
      <c r="B99" s="4" t="s">
        <v>513</v>
      </c>
      <c r="C99" s="4" t="s">
        <v>514</v>
      </c>
      <c r="D99" s="4" t="s">
        <v>309</v>
      </c>
      <c r="E99" s="4" t="s">
        <v>268</v>
      </c>
      <c r="F99" s="4"/>
      <c r="G99" s="4" t="s">
        <v>141</v>
      </c>
      <c r="H99" s="4" t="s">
        <v>92</v>
      </c>
      <c r="I99" s="4">
        <v>3</v>
      </c>
      <c r="J99" s="4" t="s">
        <v>269</v>
      </c>
      <c r="K99" s="4" t="s">
        <v>143</v>
      </c>
      <c r="L99" s="4"/>
      <c r="M99" s="4"/>
      <c r="N99" s="4"/>
      <c r="O99" s="4"/>
      <c r="P99" s="4"/>
      <c r="Q99" s="4"/>
      <c r="R99" s="4"/>
      <c r="S99" s="4"/>
      <c r="T99" s="14"/>
      <c r="U99" s="4" t="s">
        <v>71</v>
      </c>
      <c r="V99" s="4" t="s">
        <v>71</v>
      </c>
      <c r="W99" s="4" t="str">
        <f t="shared" si="1"/>
        <v>NO</v>
      </c>
      <c r="X99" s="4"/>
    </row>
    <row r="100" spans="1:24" ht="46" customHeight="1">
      <c r="A100" s="4" t="s">
        <v>515</v>
      </c>
      <c r="B100" s="4" t="s">
        <v>516</v>
      </c>
      <c r="C100" s="4" t="s">
        <v>517</v>
      </c>
      <c r="D100" s="4" t="s">
        <v>518</v>
      </c>
      <c r="E100" s="4" t="s">
        <v>139</v>
      </c>
      <c r="F100" s="4" t="s">
        <v>248</v>
      </c>
      <c r="G100" s="4" t="s">
        <v>141</v>
      </c>
      <c r="H100" s="4" t="s">
        <v>48</v>
      </c>
      <c r="I100" s="4">
        <v>7</v>
      </c>
      <c r="J100" s="4" t="s">
        <v>127</v>
      </c>
      <c r="K100" s="4" t="s">
        <v>154</v>
      </c>
      <c r="L100" s="4" t="s">
        <v>519</v>
      </c>
      <c r="M100" s="4" t="s">
        <v>520</v>
      </c>
      <c r="N100" s="4" t="s">
        <v>521</v>
      </c>
      <c r="O100" s="4" t="s">
        <v>522</v>
      </c>
      <c r="P100" s="4" t="s">
        <v>523</v>
      </c>
      <c r="Q100" s="4" t="s">
        <v>524</v>
      </c>
      <c r="R100" s="4" t="s">
        <v>525</v>
      </c>
      <c r="S100" s="4" t="s">
        <v>131</v>
      </c>
      <c r="T100" s="14">
        <v>46242</v>
      </c>
      <c r="U100" s="4" t="s">
        <v>132</v>
      </c>
      <c r="V100" s="4" t="s">
        <v>133</v>
      </c>
      <c r="W100" s="4" t="str">
        <f t="shared" si="1"/>
        <v>NO</v>
      </c>
      <c r="X100" s="4" t="s">
        <v>526</v>
      </c>
    </row>
    <row r="101" spans="1:24" ht="46" customHeight="1">
      <c r="A101" s="4" t="s">
        <v>527</v>
      </c>
      <c r="B101" s="4" t="s">
        <v>528</v>
      </c>
      <c r="C101" s="4" t="s">
        <v>529</v>
      </c>
      <c r="D101" s="4" t="s">
        <v>235</v>
      </c>
      <c r="E101" s="4" t="s">
        <v>124</v>
      </c>
      <c r="F101" s="4" t="s">
        <v>140</v>
      </c>
      <c r="G101" s="4" t="s">
        <v>200</v>
      </c>
      <c r="H101" s="4" t="s">
        <v>69</v>
      </c>
      <c r="I101" s="4">
        <v>17</v>
      </c>
      <c r="J101" s="4" t="s">
        <v>201</v>
      </c>
      <c r="K101" s="4" t="s">
        <v>143</v>
      </c>
      <c r="L101" s="4"/>
      <c r="M101" s="4"/>
      <c r="N101" s="4"/>
      <c r="O101" s="4"/>
      <c r="P101" s="4"/>
      <c r="Q101" s="4"/>
      <c r="R101" s="4"/>
      <c r="S101" s="4"/>
      <c r="T101" s="14"/>
      <c r="U101" s="4" t="s">
        <v>71</v>
      </c>
      <c r="V101" s="4" t="s">
        <v>71</v>
      </c>
      <c r="W101" s="4" t="str">
        <f t="shared" si="1"/>
        <v>NO</v>
      </c>
      <c r="X101" s="4"/>
    </row>
    <row r="102" spans="1:24" ht="46" customHeight="1">
      <c r="A102" s="4" t="s">
        <v>530</v>
      </c>
      <c r="B102" s="4" t="s">
        <v>531</v>
      </c>
      <c r="C102" s="4" t="s">
        <v>532</v>
      </c>
      <c r="D102" s="4" t="s">
        <v>439</v>
      </c>
      <c r="E102" s="4" t="s">
        <v>139</v>
      </c>
      <c r="F102" s="4" t="s">
        <v>383</v>
      </c>
      <c r="G102" s="4" t="s">
        <v>141</v>
      </c>
      <c r="H102" s="4" t="s">
        <v>83</v>
      </c>
      <c r="I102" s="4">
        <v>3</v>
      </c>
      <c r="J102" s="4" t="s">
        <v>142</v>
      </c>
      <c r="K102" s="4" t="s">
        <v>143</v>
      </c>
      <c r="L102" s="4"/>
      <c r="M102" s="4"/>
      <c r="N102" s="4"/>
      <c r="O102" s="4"/>
      <c r="P102" s="4"/>
      <c r="Q102" s="4"/>
      <c r="R102" s="4"/>
      <c r="S102" s="4"/>
      <c r="T102" s="14"/>
      <c r="U102" s="4" t="s">
        <v>71</v>
      </c>
      <c r="V102" s="4" t="s">
        <v>71</v>
      </c>
      <c r="W102" s="4" t="str">
        <f t="shared" si="1"/>
        <v>NO</v>
      </c>
      <c r="X102" s="4"/>
    </row>
    <row r="103" spans="1:24" ht="46" customHeight="1">
      <c r="A103" s="4" t="s">
        <v>533</v>
      </c>
      <c r="B103" s="4" t="s">
        <v>534</v>
      </c>
      <c r="C103" s="4" t="s">
        <v>535</v>
      </c>
      <c r="D103" s="4" t="s">
        <v>536</v>
      </c>
      <c r="E103" s="4" t="s">
        <v>124</v>
      </c>
      <c r="F103" s="4" t="s">
        <v>140</v>
      </c>
      <c r="G103" s="4" t="s">
        <v>200</v>
      </c>
      <c r="H103" s="4" t="s">
        <v>69</v>
      </c>
      <c r="I103" s="4">
        <v>10</v>
      </c>
      <c r="J103" s="4" t="s">
        <v>201</v>
      </c>
      <c r="K103" s="4" t="s">
        <v>143</v>
      </c>
      <c r="L103" s="4"/>
      <c r="M103" s="4"/>
      <c r="N103" s="4"/>
      <c r="O103" s="4"/>
      <c r="P103" s="4"/>
      <c r="Q103" s="4"/>
      <c r="R103" s="4"/>
      <c r="S103" s="4"/>
      <c r="T103" s="14"/>
      <c r="U103" s="4" t="s">
        <v>71</v>
      </c>
      <c r="V103" s="4" t="s">
        <v>71</v>
      </c>
      <c r="W103" s="4" t="str">
        <f t="shared" si="1"/>
        <v>NO</v>
      </c>
      <c r="X103" s="4"/>
    </row>
    <row r="104" spans="1:24" ht="46" customHeight="1">
      <c r="A104" s="4" t="s">
        <v>537</v>
      </c>
      <c r="B104" s="4" t="s">
        <v>538</v>
      </c>
      <c r="C104" s="4" t="s">
        <v>539</v>
      </c>
      <c r="D104" s="4" t="s">
        <v>209</v>
      </c>
      <c r="E104" s="4" t="s">
        <v>230</v>
      </c>
      <c r="F104" s="4"/>
      <c r="G104" s="4" t="s">
        <v>141</v>
      </c>
      <c r="H104" s="4" t="s">
        <v>92</v>
      </c>
      <c r="I104" s="4">
        <v>8</v>
      </c>
      <c r="J104" s="4" t="s">
        <v>231</v>
      </c>
      <c r="K104" s="4" t="s">
        <v>143</v>
      </c>
      <c r="L104" s="4"/>
      <c r="M104" s="4"/>
      <c r="N104" s="4"/>
      <c r="O104" s="4"/>
      <c r="P104" s="4"/>
      <c r="Q104" s="4"/>
      <c r="R104" s="4"/>
      <c r="S104" s="4"/>
      <c r="T104" s="14"/>
      <c r="U104" s="4" t="s">
        <v>71</v>
      </c>
      <c r="V104" s="4" t="s">
        <v>71</v>
      </c>
      <c r="W104" s="4" t="str">
        <f t="shared" si="1"/>
        <v>NO</v>
      </c>
      <c r="X104" s="4"/>
    </row>
    <row r="105" spans="1:24" ht="46" customHeight="1">
      <c r="A105" s="4" t="s">
        <v>540</v>
      </c>
      <c r="B105" s="4" t="s">
        <v>541</v>
      </c>
      <c r="C105" s="4" t="s">
        <v>542</v>
      </c>
      <c r="D105" s="4" t="s">
        <v>324</v>
      </c>
      <c r="E105" s="4" t="s">
        <v>124</v>
      </c>
      <c r="F105" s="4" t="s">
        <v>140</v>
      </c>
      <c r="G105" s="4" t="s">
        <v>200</v>
      </c>
      <c r="H105" s="4" t="s">
        <v>69</v>
      </c>
      <c r="I105" s="4">
        <v>14</v>
      </c>
      <c r="J105" s="4" t="s">
        <v>201</v>
      </c>
      <c r="K105" s="4" t="s">
        <v>143</v>
      </c>
      <c r="L105" s="4"/>
      <c r="M105" s="4"/>
      <c r="N105" s="4"/>
      <c r="O105" s="4"/>
      <c r="P105" s="4"/>
      <c r="Q105" s="4"/>
      <c r="R105" s="4"/>
      <c r="S105" s="4"/>
      <c r="T105" s="14"/>
      <c r="U105" s="4" t="s">
        <v>71</v>
      </c>
      <c r="V105" s="4" t="s">
        <v>71</v>
      </c>
      <c r="W105" s="4" t="str">
        <f t="shared" si="1"/>
        <v>NO</v>
      </c>
      <c r="X105" s="4"/>
    </row>
    <row r="106" spans="1:24" ht="46" customHeight="1">
      <c r="A106" s="4" t="s">
        <v>543</v>
      </c>
      <c r="B106" s="4" t="s">
        <v>544</v>
      </c>
      <c r="C106" s="4" t="s">
        <v>545</v>
      </c>
      <c r="D106" s="4" t="s">
        <v>419</v>
      </c>
      <c r="E106" s="4" t="s">
        <v>152</v>
      </c>
      <c r="F106" s="4" t="s">
        <v>195</v>
      </c>
      <c r="G106" s="4" t="s">
        <v>141</v>
      </c>
      <c r="H106" s="4" t="s">
        <v>79</v>
      </c>
      <c r="I106" s="4">
        <v>8</v>
      </c>
      <c r="J106" s="4" t="s">
        <v>166</v>
      </c>
      <c r="K106" s="4" t="s">
        <v>143</v>
      </c>
      <c r="L106" s="4"/>
      <c r="M106" s="4"/>
      <c r="N106" s="4"/>
      <c r="O106" s="4"/>
      <c r="P106" s="4"/>
      <c r="Q106" s="4"/>
      <c r="R106" s="4"/>
      <c r="S106" s="4"/>
      <c r="T106" s="14"/>
      <c r="U106" s="4" t="s">
        <v>71</v>
      </c>
      <c r="V106" s="4" t="s">
        <v>71</v>
      </c>
      <c r="W106" s="4" t="str">
        <f t="shared" si="1"/>
        <v>NO</v>
      </c>
      <c r="X106" s="4"/>
    </row>
    <row r="107" spans="1:24" ht="46" customHeight="1">
      <c r="A107" s="4" t="s">
        <v>546</v>
      </c>
      <c r="B107" s="4" t="s">
        <v>547</v>
      </c>
      <c r="C107" s="4" t="s">
        <v>548</v>
      </c>
      <c r="D107" s="4" t="s">
        <v>138</v>
      </c>
      <c r="E107" s="4" t="s">
        <v>152</v>
      </c>
      <c r="F107" s="4" t="s">
        <v>183</v>
      </c>
      <c r="G107" s="4" t="s">
        <v>141</v>
      </c>
      <c r="H107" s="4" t="s">
        <v>79</v>
      </c>
      <c r="I107" s="4">
        <v>2</v>
      </c>
      <c r="J107" s="4" t="s">
        <v>166</v>
      </c>
      <c r="K107" s="4" t="s">
        <v>143</v>
      </c>
      <c r="L107" s="4"/>
      <c r="M107" s="4"/>
      <c r="N107" s="4"/>
      <c r="O107" s="4"/>
      <c r="P107" s="4"/>
      <c r="Q107" s="4"/>
      <c r="R107" s="4"/>
      <c r="S107" s="4"/>
      <c r="T107" s="14"/>
      <c r="U107" s="4" t="s">
        <v>71</v>
      </c>
      <c r="V107" s="4" t="s">
        <v>71</v>
      </c>
      <c r="W107" s="4" t="str">
        <f t="shared" si="1"/>
        <v>NO</v>
      </c>
      <c r="X107" s="4"/>
    </row>
    <row r="108" spans="1:24" ht="46" customHeight="1">
      <c r="A108" s="4" t="s">
        <v>549</v>
      </c>
      <c r="B108" s="4" t="s">
        <v>550</v>
      </c>
      <c r="C108" s="4" t="s">
        <v>551</v>
      </c>
      <c r="D108" s="4" t="s">
        <v>138</v>
      </c>
      <c r="E108" s="4" t="s">
        <v>152</v>
      </c>
      <c r="F108" s="4" t="s">
        <v>195</v>
      </c>
      <c r="G108" s="4" t="s">
        <v>141</v>
      </c>
      <c r="H108" s="4" t="s">
        <v>79</v>
      </c>
      <c r="I108" s="4">
        <v>9</v>
      </c>
      <c r="J108" s="4" t="s">
        <v>166</v>
      </c>
      <c r="K108" s="4" t="s">
        <v>143</v>
      </c>
      <c r="L108" s="4"/>
      <c r="M108" s="4"/>
      <c r="N108" s="4"/>
      <c r="O108" s="4"/>
      <c r="P108" s="4"/>
      <c r="Q108" s="4"/>
      <c r="R108" s="4"/>
      <c r="S108" s="4"/>
      <c r="T108" s="14"/>
      <c r="U108" s="4" t="s">
        <v>71</v>
      </c>
      <c r="V108" s="4" t="s">
        <v>71</v>
      </c>
      <c r="W108" s="4" t="str">
        <f t="shared" si="1"/>
        <v>NO</v>
      </c>
      <c r="X108" s="4"/>
    </row>
    <row r="109" spans="1:24" ht="46" customHeight="1">
      <c r="A109" s="4" t="s">
        <v>552</v>
      </c>
      <c r="B109" s="4" t="s">
        <v>553</v>
      </c>
      <c r="C109" s="4" t="s">
        <v>554</v>
      </c>
      <c r="D109" s="4" t="s">
        <v>229</v>
      </c>
      <c r="E109" s="4" t="s">
        <v>152</v>
      </c>
      <c r="F109" s="4" t="s">
        <v>183</v>
      </c>
      <c r="G109" s="4" t="s">
        <v>141</v>
      </c>
      <c r="H109" s="4" t="s">
        <v>79</v>
      </c>
      <c r="I109" s="4">
        <v>3</v>
      </c>
      <c r="J109" s="4" t="s">
        <v>166</v>
      </c>
      <c r="K109" s="4" t="s">
        <v>143</v>
      </c>
      <c r="L109" s="4"/>
      <c r="M109" s="4"/>
      <c r="N109" s="4"/>
      <c r="O109" s="4"/>
      <c r="P109" s="4"/>
      <c r="Q109" s="4"/>
      <c r="R109" s="4"/>
      <c r="S109" s="4"/>
      <c r="T109" s="14"/>
      <c r="U109" s="4" t="s">
        <v>71</v>
      </c>
      <c r="V109" s="4" t="s">
        <v>71</v>
      </c>
      <c r="W109" s="4" t="str">
        <f t="shared" si="1"/>
        <v>NO</v>
      </c>
      <c r="X109" s="4"/>
    </row>
    <row r="110" spans="1:24" ht="46" customHeight="1">
      <c r="A110" s="4" t="s">
        <v>555</v>
      </c>
      <c r="B110" s="4" t="s">
        <v>556</v>
      </c>
      <c r="C110" s="4" t="s">
        <v>557</v>
      </c>
      <c r="D110" s="4" t="s">
        <v>331</v>
      </c>
      <c r="E110" s="4" t="s">
        <v>152</v>
      </c>
      <c r="F110" s="4" t="s">
        <v>153</v>
      </c>
      <c r="G110" s="4" t="s">
        <v>141</v>
      </c>
      <c r="H110" s="4" t="s">
        <v>75</v>
      </c>
      <c r="I110" s="4">
        <v>6</v>
      </c>
      <c r="J110" s="4" t="s">
        <v>166</v>
      </c>
      <c r="K110" s="4" t="s">
        <v>143</v>
      </c>
      <c r="L110" s="4"/>
      <c r="M110" s="4"/>
      <c r="N110" s="4"/>
      <c r="O110" s="4"/>
      <c r="P110" s="4"/>
      <c r="Q110" s="4"/>
      <c r="R110" s="4"/>
      <c r="S110" s="4"/>
      <c r="T110" s="14"/>
      <c r="U110" s="4" t="s">
        <v>71</v>
      </c>
      <c r="V110" s="4" t="s">
        <v>71</v>
      </c>
      <c r="W110" s="4" t="str">
        <f t="shared" si="1"/>
        <v>NO</v>
      </c>
      <c r="X110" s="4"/>
    </row>
    <row r="111" spans="1:24" ht="46" customHeight="1">
      <c r="A111" s="4" t="s">
        <v>558</v>
      </c>
      <c r="B111" s="4" t="s">
        <v>559</v>
      </c>
      <c r="C111" s="4" t="s">
        <v>560</v>
      </c>
      <c r="D111" s="4" t="s">
        <v>224</v>
      </c>
      <c r="E111" s="4" t="s">
        <v>152</v>
      </c>
      <c r="F111" s="4" t="s">
        <v>278</v>
      </c>
      <c r="G111" s="4" t="s">
        <v>141</v>
      </c>
      <c r="H111" s="4" t="s">
        <v>81</v>
      </c>
      <c r="I111" s="4">
        <v>4</v>
      </c>
      <c r="J111" s="4" t="s">
        <v>166</v>
      </c>
      <c r="K111" s="4" t="s">
        <v>143</v>
      </c>
      <c r="L111" s="4"/>
      <c r="M111" s="4"/>
      <c r="N111" s="4"/>
      <c r="O111" s="4"/>
      <c r="P111" s="4"/>
      <c r="Q111" s="4"/>
      <c r="R111" s="4"/>
      <c r="S111" s="4"/>
      <c r="T111" s="14"/>
      <c r="U111" s="4" t="s">
        <v>71</v>
      </c>
      <c r="V111" s="4" t="s">
        <v>71</v>
      </c>
      <c r="W111" s="4" t="str">
        <f t="shared" si="1"/>
        <v>NO</v>
      </c>
      <c r="X111" s="4"/>
    </row>
    <row r="112" spans="1:24" ht="46" customHeight="1">
      <c r="A112" s="4" t="s">
        <v>561</v>
      </c>
      <c r="B112" s="4" t="s">
        <v>562</v>
      </c>
      <c r="C112" s="4" t="s">
        <v>563</v>
      </c>
      <c r="D112" s="4" t="s">
        <v>504</v>
      </c>
      <c r="E112" s="4" t="s">
        <v>152</v>
      </c>
      <c r="F112" s="4" t="s">
        <v>564</v>
      </c>
      <c r="G112" s="4" t="s">
        <v>141</v>
      </c>
      <c r="H112" s="4" t="s">
        <v>77</v>
      </c>
      <c r="I112" s="4">
        <v>3</v>
      </c>
      <c r="J112" s="4" t="s">
        <v>166</v>
      </c>
      <c r="K112" s="4" t="s">
        <v>143</v>
      </c>
      <c r="L112" s="4"/>
      <c r="M112" s="4"/>
      <c r="N112" s="4"/>
      <c r="O112" s="4"/>
      <c r="P112" s="4"/>
      <c r="Q112" s="4"/>
      <c r="R112" s="4"/>
      <c r="S112" s="4"/>
      <c r="T112" s="14"/>
      <c r="U112" s="4" t="s">
        <v>71</v>
      </c>
      <c r="V112" s="4" t="s">
        <v>71</v>
      </c>
      <c r="W112" s="4" t="str">
        <f t="shared" si="1"/>
        <v>NO</v>
      </c>
      <c r="X112" s="4"/>
    </row>
    <row r="113" spans="1:24" ht="46" customHeight="1">
      <c r="A113" s="4" t="s">
        <v>565</v>
      </c>
      <c r="B113" s="4" t="s">
        <v>566</v>
      </c>
      <c r="C113" s="4" t="s">
        <v>567</v>
      </c>
      <c r="D113" s="4" t="s">
        <v>170</v>
      </c>
      <c r="E113" s="4" t="s">
        <v>152</v>
      </c>
      <c r="F113" s="4" t="s">
        <v>568</v>
      </c>
      <c r="G113" s="4" t="s">
        <v>141</v>
      </c>
      <c r="H113" s="4" t="s">
        <v>75</v>
      </c>
      <c r="I113" s="4">
        <v>9</v>
      </c>
      <c r="J113" s="4" t="s">
        <v>166</v>
      </c>
      <c r="K113" s="4" t="s">
        <v>143</v>
      </c>
      <c r="L113" s="4"/>
      <c r="M113" s="4"/>
      <c r="N113" s="4"/>
      <c r="O113" s="4"/>
      <c r="P113" s="4"/>
      <c r="Q113" s="4"/>
      <c r="R113" s="4"/>
      <c r="S113" s="4"/>
      <c r="T113" s="14"/>
      <c r="U113" s="4" t="s">
        <v>71</v>
      </c>
      <c r="V113" s="4" t="s">
        <v>71</v>
      </c>
      <c r="W113" s="4" t="str">
        <f t="shared" si="1"/>
        <v>NO</v>
      </c>
      <c r="X113" s="4"/>
    </row>
    <row r="114" spans="1:24" ht="46" customHeight="1">
      <c r="A114" s="4" t="s">
        <v>569</v>
      </c>
      <c r="B114" s="4" t="s">
        <v>570</v>
      </c>
      <c r="C114" s="4" t="s">
        <v>571</v>
      </c>
      <c r="D114" s="4" t="s">
        <v>572</v>
      </c>
      <c r="E114" s="4" t="s">
        <v>124</v>
      </c>
      <c r="F114" s="4" t="s">
        <v>125</v>
      </c>
      <c r="G114" s="4" t="s">
        <v>200</v>
      </c>
      <c r="H114" s="4" t="s">
        <v>61</v>
      </c>
      <c r="I114" s="4">
        <v>3</v>
      </c>
      <c r="J114" s="4" t="s">
        <v>201</v>
      </c>
      <c r="K114" s="4" t="s">
        <v>143</v>
      </c>
      <c r="L114" s="4"/>
      <c r="M114" s="4"/>
      <c r="N114" s="4"/>
      <c r="O114" s="4"/>
      <c r="P114" s="4"/>
      <c r="Q114" s="4"/>
      <c r="R114" s="4"/>
      <c r="S114" s="4"/>
      <c r="T114" s="14"/>
      <c r="U114" s="4" t="s">
        <v>71</v>
      </c>
      <c r="V114" s="4" t="s">
        <v>71</v>
      </c>
      <c r="W114" s="4" t="str">
        <f t="shared" si="1"/>
        <v>NO</v>
      </c>
      <c r="X114" s="4"/>
    </row>
    <row r="115" spans="1:24" ht="46" customHeight="1">
      <c r="A115" s="4" t="s">
        <v>573</v>
      </c>
      <c r="B115" s="4" t="s">
        <v>574</v>
      </c>
      <c r="C115" s="4" t="s">
        <v>575</v>
      </c>
      <c r="D115" s="4" t="s">
        <v>392</v>
      </c>
      <c r="E115" s="4" t="s">
        <v>124</v>
      </c>
      <c r="F115" s="4" t="s">
        <v>383</v>
      </c>
      <c r="G115" s="4" t="s">
        <v>200</v>
      </c>
      <c r="H115" s="4" t="s">
        <v>58</v>
      </c>
      <c r="I115" s="4">
        <v>5</v>
      </c>
      <c r="J115" s="4" t="s">
        <v>201</v>
      </c>
      <c r="K115" s="4" t="s">
        <v>143</v>
      </c>
      <c r="L115" s="4"/>
      <c r="M115" s="4"/>
      <c r="N115" s="4"/>
      <c r="O115" s="4"/>
      <c r="P115" s="4"/>
      <c r="Q115" s="4"/>
      <c r="R115" s="4"/>
      <c r="S115" s="4"/>
      <c r="T115" s="14"/>
      <c r="U115" s="4" t="s">
        <v>71</v>
      </c>
      <c r="V115" s="4" t="s">
        <v>71</v>
      </c>
      <c r="W115" s="4" t="str">
        <f t="shared" si="1"/>
        <v>NO</v>
      </c>
      <c r="X115" s="4"/>
    </row>
    <row r="116" spans="1:24" ht="46" customHeight="1">
      <c r="A116" s="4" t="s">
        <v>576</v>
      </c>
      <c r="B116" s="4" t="s">
        <v>577</v>
      </c>
      <c r="C116" s="4" t="s">
        <v>578</v>
      </c>
      <c r="D116" s="4" t="s">
        <v>224</v>
      </c>
      <c r="E116" s="4" t="s">
        <v>124</v>
      </c>
      <c r="F116" s="4" t="s">
        <v>383</v>
      </c>
      <c r="G116" s="4" t="s">
        <v>200</v>
      </c>
      <c r="H116" s="4" t="s">
        <v>58</v>
      </c>
      <c r="I116" s="4">
        <v>9</v>
      </c>
      <c r="J116" s="4" t="s">
        <v>201</v>
      </c>
      <c r="K116" s="4" t="s">
        <v>143</v>
      </c>
      <c r="L116" s="4"/>
      <c r="M116" s="4"/>
      <c r="N116" s="4"/>
      <c r="O116" s="4"/>
      <c r="P116" s="4"/>
      <c r="Q116" s="4"/>
      <c r="R116" s="4"/>
      <c r="S116" s="4"/>
      <c r="T116" s="14"/>
      <c r="U116" s="4" t="s">
        <v>71</v>
      </c>
      <c r="V116" s="4" t="s">
        <v>71</v>
      </c>
      <c r="W116" s="4" t="str">
        <f t="shared" si="1"/>
        <v>NO</v>
      </c>
      <c r="X116" s="4"/>
    </row>
    <row r="117" spans="1:24" ht="46" customHeight="1">
      <c r="A117" s="4" t="s">
        <v>579</v>
      </c>
      <c r="B117" s="4" t="s">
        <v>580</v>
      </c>
      <c r="C117" s="4" t="s">
        <v>581</v>
      </c>
      <c r="D117" s="4" t="s">
        <v>582</v>
      </c>
      <c r="E117" s="4" t="s">
        <v>152</v>
      </c>
      <c r="F117" s="4" t="s">
        <v>240</v>
      </c>
      <c r="G117" s="4" t="s">
        <v>141</v>
      </c>
      <c r="H117" s="4" t="s">
        <v>81</v>
      </c>
      <c r="I117" s="4">
        <v>12</v>
      </c>
      <c r="J117" s="4" t="s">
        <v>166</v>
      </c>
      <c r="K117" s="4" t="s">
        <v>143</v>
      </c>
      <c r="L117" s="4"/>
      <c r="M117" s="4"/>
      <c r="N117" s="4"/>
      <c r="O117" s="4"/>
      <c r="P117" s="4"/>
      <c r="Q117" s="4"/>
      <c r="R117" s="4"/>
      <c r="S117" s="4"/>
      <c r="T117" s="14"/>
      <c r="U117" s="4" t="s">
        <v>71</v>
      </c>
      <c r="V117" s="4" t="s">
        <v>71</v>
      </c>
      <c r="W117" s="4" t="str">
        <f t="shared" si="1"/>
        <v>NO</v>
      </c>
      <c r="X117" s="4"/>
    </row>
    <row r="118" spans="1:24" ht="46" customHeight="1">
      <c r="A118" s="4" t="s">
        <v>583</v>
      </c>
      <c r="B118" s="4" t="s">
        <v>584</v>
      </c>
      <c r="C118" s="4" t="s">
        <v>382</v>
      </c>
      <c r="D118" s="4" t="s">
        <v>170</v>
      </c>
      <c r="E118" s="4" t="s">
        <v>152</v>
      </c>
      <c r="F118" s="4" t="s">
        <v>564</v>
      </c>
      <c r="G118" s="4" t="s">
        <v>141</v>
      </c>
      <c r="H118" s="4" t="s">
        <v>77</v>
      </c>
      <c r="I118" s="4">
        <v>4</v>
      </c>
      <c r="J118" s="4" t="s">
        <v>166</v>
      </c>
      <c r="K118" s="4" t="s">
        <v>143</v>
      </c>
      <c r="L118" s="4"/>
      <c r="M118" s="4"/>
      <c r="N118" s="4"/>
      <c r="O118" s="4"/>
      <c r="P118" s="4"/>
      <c r="Q118" s="4"/>
      <c r="R118" s="4"/>
      <c r="S118" s="4"/>
      <c r="T118" s="14"/>
      <c r="U118" s="4" t="s">
        <v>71</v>
      </c>
      <c r="V118" s="4" t="s">
        <v>71</v>
      </c>
      <c r="W118" s="4" t="str">
        <f t="shared" si="1"/>
        <v>NO</v>
      </c>
      <c r="X118" s="4"/>
    </row>
    <row r="119" spans="1:24" ht="46" customHeight="1">
      <c r="A119" s="4" t="s">
        <v>585</v>
      </c>
      <c r="B119" s="4" t="s">
        <v>586</v>
      </c>
      <c r="C119" s="4" t="s">
        <v>587</v>
      </c>
      <c r="D119" s="4" t="s">
        <v>209</v>
      </c>
      <c r="E119" s="4" t="s">
        <v>124</v>
      </c>
      <c r="F119" s="4" t="s">
        <v>140</v>
      </c>
      <c r="G119" s="4" t="s">
        <v>200</v>
      </c>
      <c r="H119" s="4" t="s">
        <v>69</v>
      </c>
      <c r="I119" s="4">
        <v>15</v>
      </c>
      <c r="J119" s="4" t="s">
        <v>201</v>
      </c>
      <c r="K119" s="4" t="s">
        <v>143</v>
      </c>
      <c r="L119" s="4"/>
      <c r="M119" s="4"/>
      <c r="N119" s="4"/>
      <c r="O119" s="4"/>
      <c r="P119" s="4"/>
      <c r="Q119" s="4"/>
      <c r="R119" s="4"/>
      <c r="S119" s="4"/>
      <c r="T119" s="14"/>
      <c r="U119" s="4" t="s">
        <v>71</v>
      </c>
      <c r="V119" s="4" t="s">
        <v>71</v>
      </c>
      <c r="W119" s="4" t="str">
        <f t="shared" si="1"/>
        <v>NO</v>
      </c>
      <c r="X119" s="4"/>
    </row>
    <row r="120" spans="1:24" ht="46" customHeight="1">
      <c r="A120" s="4" t="s">
        <v>588</v>
      </c>
      <c r="B120" s="4" t="s">
        <v>589</v>
      </c>
      <c r="C120" s="4" t="s">
        <v>590</v>
      </c>
      <c r="D120" s="4" t="s">
        <v>484</v>
      </c>
      <c r="E120" s="4" t="s">
        <v>139</v>
      </c>
      <c r="F120" s="4" t="s">
        <v>507</v>
      </c>
      <c r="G120" s="4" t="s">
        <v>141</v>
      </c>
      <c r="H120" s="4" t="s">
        <v>83</v>
      </c>
      <c r="I120" s="4">
        <v>5</v>
      </c>
      <c r="J120" s="4" t="s">
        <v>142</v>
      </c>
      <c r="K120" s="4" t="s">
        <v>143</v>
      </c>
      <c r="L120" s="4"/>
      <c r="M120" s="4"/>
      <c r="N120" s="4"/>
      <c r="O120" s="4"/>
      <c r="P120" s="4"/>
      <c r="Q120" s="4"/>
      <c r="R120" s="4"/>
      <c r="S120" s="4"/>
      <c r="T120" s="14"/>
      <c r="U120" s="4" t="s">
        <v>71</v>
      </c>
      <c r="V120" s="4" t="s">
        <v>71</v>
      </c>
      <c r="W120" s="4" t="str">
        <f t="shared" si="1"/>
        <v>NO</v>
      </c>
      <c r="X120" s="4"/>
    </row>
    <row r="121" spans="1:24" ht="46" customHeight="1">
      <c r="A121" s="4" t="s">
        <v>591</v>
      </c>
      <c r="B121" s="4" t="s">
        <v>592</v>
      </c>
      <c r="C121" s="4" t="s">
        <v>593</v>
      </c>
      <c r="D121" s="4" t="s">
        <v>255</v>
      </c>
      <c r="E121" s="4" t="s">
        <v>139</v>
      </c>
      <c r="F121" s="4" t="s">
        <v>256</v>
      </c>
      <c r="G121" s="4" t="s">
        <v>141</v>
      </c>
      <c r="H121" s="4" t="s">
        <v>83</v>
      </c>
      <c r="I121" s="4">
        <v>11</v>
      </c>
      <c r="J121" s="4" t="s">
        <v>142</v>
      </c>
      <c r="K121" s="4" t="s">
        <v>143</v>
      </c>
      <c r="L121" s="4"/>
      <c r="M121" s="4"/>
      <c r="N121" s="4"/>
      <c r="O121" s="4"/>
      <c r="P121" s="4"/>
      <c r="Q121" s="4"/>
      <c r="R121" s="4"/>
      <c r="S121" s="4"/>
      <c r="T121" s="14"/>
      <c r="U121" s="4" t="s">
        <v>71</v>
      </c>
      <c r="V121" s="4" t="s">
        <v>71</v>
      </c>
      <c r="W121" s="4" t="str">
        <f t="shared" si="1"/>
        <v>NO</v>
      </c>
      <c r="X121" s="4"/>
    </row>
    <row r="122" spans="1:24" ht="46" customHeight="1">
      <c r="A122" s="4" t="s">
        <v>594</v>
      </c>
      <c r="B122" s="4" t="s">
        <v>595</v>
      </c>
      <c r="C122" s="4" t="s">
        <v>596</v>
      </c>
      <c r="D122" s="4" t="s">
        <v>370</v>
      </c>
      <c r="E122" s="4" t="s">
        <v>139</v>
      </c>
      <c r="F122" s="4" t="s">
        <v>256</v>
      </c>
      <c r="G122" s="4" t="s">
        <v>141</v>
      </c>
      <c r="H122" s="4" t="s">
        <v>83</v>
      </c>
      <c r="I122" s="4">
        <v>12</v>
      </c>
      <c r="J122" s="4" t="s">
        <v>142</v>
      </c>
      <c r="K122" s="4" t="s">
        <v>143</v>
      </c>
      <c r="L122" s="4"/>
      <c r="M122" s="4"/>
      <c r="N122" s="4"/>
      <c r="O122" s="4"/>
      <c r="P122" s="4"/>
      <c r="Q122" s="4"/>
      <c r="R122" s="4"/>
      <c r="S122" s="4"/>
      <c r="T122" s="14"/>
      <c r="U122" s="4" t="s">
        <v>71</v>
      </c>
      <c r="V122" s="4" t="s">
        <v>71</v>
      </c>
      <c r="W122" s="4" t="str">
        <f t="shared" si="1"/>
        <v>NO</v>
      </c>
      <c r="X122" s="4"/>
    </row>
    <row r="123" spans="1:24" ht="46" customHeight="1">
      <c r="A123" s="4" t="s">
        <v>597</v>
      </c>
      <c r="B123" s="4" t="s">
        <v>598</v>
      </c>
      <c r="C123" s="4" t="s">
        <v>599</v>
      </c>
      <c r="D123" s="4" t="s">
        <v>235</v>
      </c>
      <c r="E123" s="4" t="s">
        <v>152</v>
      </c>
      <c r="F123" s="4" t="s">
        <v>301</v>
      </c>
      <c r="G123" s="4" t="s">
        <v>141</v>
      </c>
      <c r="H123" s="4" t="s">
        <v>77</v>
      </c>
      <c r="I123" s="4">
        <v>1</v>
      </c>
      <c r="J123" s="4" t="s">
        <v>166</v>
      </c>
      <c r="K123" s="4" t="s">
        <v>143</v>
      </c>
      <c r="L123" s="4"/>
      <c r="M123" s="4"/>
      <c r="N123" s="4"/>
      <c r="O123" s="4"/>
      <c r="P123" s="4"/>
      <c r="Q123" s="4"/>
      <c r="R123" s="4"/>
      <c r="S123" s="4"/>
      <c r="T123" s="14"/>
      <c r="U123" s="4" t="s">
        <v>71</v>
      </c>
      <c r="V123" s="4" t="s">
        <v>71</v>
      </c>
      <c r="W123" s="4" t="str">
        <f t="shared" si="1"/>
        <v>NO</v>
      </c>
      <c r="X123" s="4"/>
    </row>
    <row r="124" spans="1:24" ht="46" customHeight="1">
      <c r="A124" s="4" t="s">
        <v>600</v>
      </c>
      <c r="B124" s="4" t="s">
        <v>601</v>
      </c>
      <c r="C124" s="4" t="s">
        <v>602</v>
      </c>
      <c r="D124" s="4" t="s">
        <v>603</v>
      </c>
      <c r="E124" s="4" t="s">
        <v>139</v>
      </c>
      <c r="F124" s="4" t="s">
        <v>248</v>
      </c>
      <c r="G124" s="4" t="s">
        <v>141</v>
      </c>
      <c r="H124" s="4" t="s">
        <v>86</v>
      </c>
      <c r="I124" s="4">
        <v>8</v>
      </c>
      <c r="J124" s="4" t="s">
        <v>142</v>
      </c>
      <c r="K124" s="4" t="s">
        <v>143</v>
      </c>
      <c r="L124" s="4"/>
      <c r="M124" s="4"/>
      <c r="N124" s="4"/>
      <c r="O124" s="4"/>
      <c r="P124" s="4"/>
      <c r="Q124" s="4"/>
      <c r="R124" s="4"/>
      <c r="S124" s="4"/>
      <c r="T124" s="14"/>
      <c r="U124" s="4" t="s">
        <v>71</v>
      </c>
      <c r="V124" s="4" t="s">
        <v>71</v>
      </c>
      <c r="W124" s="4" t="str">
        <f t="shared" si="1"/>
        <v>NO</v>
      </c>
      <c r="X124" s="4"/>
    </row>
    <row r="125" spans="1:24" ht="46" customHeight="1">
      <c r="A125" s="4" t="s">
        <v>604</v>
      </c>
      <c r="B125" s="4" t="s">
        <v>605</v>
      </c>
      <c r="C125" s="4" t="s">
        <v>606</v>
      </c>
      <c r="D125" s="4" t="s">
        <v>607</v>
      </c>
      <c r="E125" s="4" t="s">
        <v>124</v>
      </c>
      <c r="F125" s="4" t="s">
        <v>125</v>
      </c>
      <c r="G125" s="4" t="s">
        <v>423</v>
      </c>
      <c r="H125" s="4" t="s">
        <v>55</v>
      </c>
      <c r="I125" s="4">
        <v>1</v>
      </c>
      <c r="J125" s="4" t="s">
        <v>185</v>
      </c>
      <c r="K125" s="4" t="s">
        <v>143</v>
      </c>
      <c r="L125" s="4"/>
      <c r="M125" s="4"/>
      <c r="N125" s="4"/>
      <c r="O125" s="4"/>
      <c r="P125" s="4"/>
      <c r="Q125" s="4"/>
      <c r="R125" s="4"/>
      <c r="S125" s="4"/>
      <c r="T125" s="14"/>
      <c r="U125" s="4" t="s">
        <v>71</v>
      </c>
      <c r="V125" s="4" t="s">
        <v>71</v>
      </c>
      <c r="W125" s="4" t="str">
        <f t="shared" si="1"/>
        <v>NO</v>
      </c>
      <c r="X125" s="4"/>
    </row>
    <row r="126" spans="1:24" ht="46" customHeight="1">
      <c r="A126" s="4" t="s">
        <v>608</v>
      </c>
      <c r="B126" s="4" t="s">
        <v>609</v>
      </c>
      <c r="C126" s="4" t="s">
        <v>610</v>
      </c>
      <c r="D126" s="4" t="s">
        <v>324</v>
      </c>
      <c r="E126" s="4" t="s">
        <v>152</v>
      </c>
      <c r="F126" s="4" t="s">
        <v>485</v>
      </c>
      <c r="G126" s="4" t="s">
        <v>141</v>
      </c>
      <c r="H126" s="4" t="s">
        <v>72</v>
      </c>
      <c r="I126" s="4">
        <v>7</v>
      </c>
      <c r="J126" s="4" t="s">
        <v>166</v>
      </c>
      <c r="K126" s="4" t="s">
        <v>143</v>
      </c>
      <c r="L126" s="4"/>
      <c r="M126" s="4"/>
      <c r="N126" s="4"/>
      <c r="O126" s="4"/>
      <c r="P126" s="4"/>
      <c r="Q126" s="4"/>
      <c r="R126" s="4"/>
      <c r="S126" s="4"/>
      <c r="T126" s="14"/>
      <c r="U126" s="4" t="s">
        <v>71</v>
      </c>
      <c r="V126" s="4" t="s">
        <v>71</v>
      </c>
      <c r="W126" s="4" t="str">
        <f t="shared" si="1"/>
        <v>NO</v>
      </c>
      <c r="X126" s="4"/>
    </row>
    <row r="127" spans="1:24" ht="46" customHeight="1">
      <c r="A127" s="4" t="s">
        <v>611</v>
      </c>
      <c r="B127" s="4" t="s">
        <v>612</v>
      </c>
      <c r="C127" s="4" t="s">
        <v>503</v>
      </c>
      <c r="D127" s="4" t="s">
        <v>613</v>
      </c>
      <c r="E127" s="4" t="s">
        <v>152</v>
      </c>
      <c r="F127" s="4" t="s">
        <v>389</v>
      </c>
      <c r="G127" s="4" t="s">
        <v>141</v>
      </c>
      <c r="H127" s="4" t="s">
        <v>77</v>
      </c>
      <c r="I127" s="4">
        <v>13</v>
      </c>
      <c r="J127" s="4" t="s">
        <v>166</v>
      </c>
      <c r="K127" s="4" t="s">
        <v>143</v>
      </c>
      <c r="L127" s="4"/>
      <c r="M127" s="4"/>
      <c r="N127" s="4"/>
      <c r="O127" s="4"/>
      <c r="P127" s="4"/>
      <c r="Q127" s="4"/>
      <c r="R127" s="4"/>
      <c r="S127" s="4"/>
      <c r="T127" s="14"/>
      <c r="U127" s="4" t="s">
        <v>71</v>
      </c>
      <c r="V127" s="4" t="s">
        <v>71</v>
      </c>
      <c r="W127" s="4" t="str">
        <f t="shared" si="1"/>
        <v>NO</v>
      </c>
      <c r="X127" s="4"/>
    </row>
    <row r="128" spans="1:24" ht="46" customHeight="1">
      <c r="A128" s="4" t="s">
        <v>614</v>
      </c>
      <c r="B128" s="4" t="s">
        <v>615</v>
      </c>
      <c r="C128" s="4" t="s">
        <v>616</v>
      </c>
      <c r="D128" s="4" t="s">
        <v>244</v>
      </c>
      <c r="E128" s="4" t="s">
        <v>124</v>
      </c>
      <c r="F128" s="4" t="s">
        <v>248</v>
      </c>
      <c r="G128" s="4" t="s">
        <v>200</v>
      </c>
      <c r="H128" s="4" t="s">
        <v>61</v>
      </c>
      <c r="I128" s="4">
        <v>15</v>
      </c>
      <c r="J128" s="4" t="s">
        <v>201</v>
      </c>
      <c r="K128" s="4" t="s">
        <v>143</v>
      </c>
      <c r="L128" s="4"/>
      <c r="M128" s="4"/>
      <c r="N128" s="4"/>
      <c r="O128" s="4"/>
      <c r="P128" s="4"/>
      <c r="Q128" s="4"/>
      <c r="R128" s="4"/>
      <c r="S128" s="4"/>
      <c r="T128" s="14"/>
      <c r="U128" s="4" t="s">
        <v>71</v>
      </c>
      <c r="V128" s="4" t="s">
        <v>71</v>
      </c>
      <c r="W128" s="4" t="str">
        <f t="shared" si="1"/>
        <v>NO</v>
      </c>
      <c r="X128" s="4"/>
    </row>
    <row r="129" spans="1:24" ht="46" customHeight="1">
      <c r="A129" s="4" t="s">
        <v>617</v>
      </c>
      <c r="B129" s="4" t="s">
        <v>618</v>
      </c>
      <c r="C129" s="4" t="s">
        <v>619</v>
      </c>
      <c r="D129" s="4" t="s">
        <v>370</v>
      </c>
      <c r="E129" s="4" t="s">
        <v>152</v>
      </c>
      <c r="F129" s="4" t="s">
        <v>153</v>
      </c>
      <c r="G129" s="4" t="s">
        <v>141</v>
      </c>
      <c r="H129" s="4" t="s">
        <v>75</v>
      </c>
      <c r="I129" s="4">
        <v>4</v>
      </c>
      <c r="J129" s="4" t="s">
        <v>166</v>
      </c>
      <c r="K129" s="4" t="s">
        <v>143</v>
      </c>
      <c r="L129" s="4"/>
      <c r="M129" s="4"/>
      <c r="N129" s="4"/>
      <c r="O129" s="4"/>
      <c r="P129" s="4"/>
      <c r="Q129" s="4"/>
      <c r="R129" s="4"/>
      <c r="S129" s="4"/>
      <c r="T129" s="14"/>
      <c r="U129" s="4" t="s">
        <v>71</v>
      </c>
      <c r="V129" s="4" t="s">
        <v>71</v>
      </c>
      <c r="W129" s="4" t="str">
        <f t="shared" si="1"/>
        <v>NO</v>
      </c>
      <c r="X129" s="4"/>
    </row>
    <row r="130" spans="1:24" ht="46" customHeight="1">
      <c r="A130" s="4" t="s">
        <v>620</v>
      </c>
      <c r="B130" s="4" t="s">
        <v>621</v>
      </c>
      <c r="C130" s="4" t="s">
        <v>622</v>
      </c>
      <c r="D130" s="4" t="s">
        <v>623</v>
      </c>
      <c r="E130" s="4" t="s">
        <v>139</v>
      </c>
      <c r="F130" s="4" t="s">
        <v>125</v>
      </c>
      <c r="G130" s="4" t="s">
        <v>141</v>
      </c>
      <c r="H130" s="4" t="s">
        <v>83</v>
      </c>
      <c r="I130" s="4">
        <v>9</v>
      </c>
      <c r="J130" s="4" t="s">
        <v>142</v>
      </c>
      <c r="K130" s="4" t="s">
        <v>143</v>
      </c>
      <c r="L130" s="4"/>
      <c r="M130" s="4"/>
      <c r="N130" s="4"/>
      <c r="O130" s="4"/>
      <c r="P130" s="4"/>
      <c r="Q130" s="4"/>
      <c r="R130" s="4"/>
      <c r="S130" s="4"/>
      <c r="T130" s="14"/>
      <c r="U130" s="4" t="s">
        <v>71</v>
      </c>
      <c r="V130" s="4" t="s">
        <v>71</v>
      </c>
      <c r="W130" s="4" t="str">
        <f t="shared" si="1"/>
        <v>NO</v>
      </c>
      <c r="X130" s="4"/>
    </row>
    <row r="131" spans="1:24" ht="46" customHeight="1">
      <c r="A131" s="4" t="s">
        <v>624</v>
      </c>
      <c r="B131" s="4" t="s">
        <v>625</v>
      </c>
      <c r="C131" s="4" t="s">
        <v>626</v>
      </c>
      <c r="D131" s="4" t="s">
        <v>170</v>
      </c>
      <c r="E131" s="4" t="s">
        <v>124</v>
      </c>
      <c r="F131" s="4" t="s">
        <v>383</v>
      </c>
      <c r="G131" s="4" t="s">
        <v>200</v>
      </c>
      <c r="H131" s="4" t="s">
        <v>58</v>
      </c>
      <c r="I131" s="4">
        <v>3</v>
      </c>
      <c r="J131" s="4" t="s">
        <v>201</v>
      </c>
      <c r="K131" s="4" t="s">
        <v>143</v>
      </c>
      <c r="L131" s="4"/>
      <c r="M131" s="4"/>
      <c r="N131" s="4"/>
      <c r="O131" s="4"/>
      <c r="P131" s="4"/>
      <c r="Q131" s="4"/>
      <c r="R131" s="4"/>
      <c r="S131" s="4"/>
      <c r="T131" s="14"/>
      <c r="U131" s="4" t="s">
        <v>71</v>
      </c>
      <c r="V131" s="4" t="s">
        <v>71</v>
      </c>
      <c r="W131" s="4" t="str">
        <f t="shared" si="1"/>
        <v>NO</v>
      </c>
      <c r="X131" s="4"/>
    </row>
    <row r="132" spans="1:24" ht="46" customHeight="1">
      <c r="A132" s="4" t="s">
        <v>627</v>
      </c>
      <c r="B132" s="4" t="s">
        <v>628</v>
      </c>
      <c r="C132" s="4" t="s">
        <v>629</v>
      </c>
      <c r="D132" s="4" t="s">
        <v>170</v>
      </c>
      <c r="E132" s="4" t="s">
        <v>139</v>
      </c>
      <c r="F132" s="4" t="s">
        <v>256</v>
      </c>
      <c r="G132" s="4" t="s">
        <v>141</v>
      </c>
      <c r="H132" s="4" t="s">
        <v>83</v>
      </c>
      <c r="I132" s="4">
        <v>15</v>
      </c>
      <c r="J132" s="4" t="s">
        <v>142</v>
      </c>
      <c r="K132" s="4" t="s">
        <v>143</v>
      </c>
      <c r="L132" s="4"/>
      <c r="M132" s="4"/>
      <c r="N132" s="4"/>
      <c r="O132" s="4"/>
      <c r="P132" s="4"/>
      <c r="Q132" s="4"/>
      <c r="R132" s="4"/>
      <c r="S132" s="4"/>
      <c r="T132" s="14"/>
      <c r="U132" s="4" t="s">
        <v>71</v>
      </c>
      <c r="V132" s="4" t="s">
        <v>71</v>
      </c>
      <c r="W132" s="4" t="str">
        <f t="shared" si="1"/>
        <v>NO</v>
      </c>
      <c r="X132" s="4"/>
    </row>
    <row r="133" spans="1:24" ht="46" customHeight="1">
      <c r="A133" s="4" t="s">
        <v>630</v>
      </c>
      <c r="B133" s="4" t="s">
        <v>631</v>
      </c>
      <c r="C133" s="4" t="s">
        <v>632</v>
      </c>
      <c r="D133" s="4" t="s">
        <v>370</v>
      </c>
      <c r="E133" s="4" t="s">
        <v>152</v>
      </c>
      <c r="F133" s="4" t="s">
        <v>377</v>
      </c>
      <c r="G133" s="4" t="s">
        <v>141</v>
      </c>
      <c r="H133" s="4" t="s">
        <v>72</v>
      </c>
      <c r="I133" s="4">
        <v>5</v>
      </c>
      <c r="J133" s="4" t="s">
        <v>166</v>
      </c>
      <c r="K133" s="4" t="s">
        <v>143</v>
      </c>
      <c r="L133" s="4"/>
      <c r="M133" s="4"/>
      <c r="N133" s="4"/>
      <c r="O133" s="4"/>
      <c r="P133" s="4"/>
      <c r="Q133" s="4"/>
      <c r="R133" s="4"/>
      <c r="S133" s="4"/>
      <c r="T133" s="14"/>
      <c r="U133" s="4" t="s">
        <v>71</v>
      </c>
      <c r="V133" s="4" t="s">
        <v>71</v>
      </c>
      <c r="W133" s="4" t="str">
        <f t="shared" ref="W133:W196" si="2">IF(OR(AND(K133="confirmada",L133&lt;&gt;"",N133&lt;&gt;"",O133&lt;&gt;"",P133&lt;&gt;"",Q133&lt;&gt;"",R133&lt;&gt;"",S133&lt;&gt;"",T133&lt;&gt;"",U133="pasa",V133="aprobada",OR(X133="",X133="—")),AND(K133="revisada_redireccion",Q133&lt;&gt;"",R133&lt;&gt;"",S133&lt;&gt;"",T133&lt;&gt;"",U133="pasa",V133="aprobada",OR(X133="",X133="—"))),"SÍ","NO")</f>
        <v>NO</v>
      </c>
      <c r="X133" s="4"/>
    </row>
    <row r="134" spans="1:24" ht="46" customHeight="1">
      <c r="A134" s="4" t="s">
        <v>633</v>
      </c>
      <c r="B134" s="4" t="s">
        <v>634</v>
      </c>
      <c r="C134" s="4" t="s">
        <v>635</v>
      </c>
      <c r="D134" s="4" t="s">
        <v>138</v>
      </c>
      <c r="E134" s="4" t="s">
        <v>124</v>
      </c>
      <c r="F134" s="4" t="s">
        <v>507</v>
      </c>
      <c r="G134" s="4" t="s">
        <v>200</v>
      </c>
      <c r="H134" s="4" t="s">
        <v>58</v>
      </c>
      <c r="I134" s="4">
        <v>14</v>
      </c>
      <c r="J134" s="4" t="s">
        <v>201</v>
      </c>
      <c r="K134" s="4" t="s">
        <v>143</v>
      </c>
      <c r="L134" s="4"/>
      <c r="M134" s="4"/>
      <c r="N134" s="4"/>
      <c r="O134" s="4"/>
      <c r="P134" s="4"/>
      <c r="Q134" s="4"/>
      <c r="R134" s="4"/>
      <c r="S134" s="4"/>
      <c r="T134" s="14"/>
      <c r="U134" s="4" t="s">
        <v>71</v>
      </c>
      <c r="V134" s="4" t="s">
        <v>71</v>
      </c>
      <c r="W134" s="4" t="str">
        <f t="shared" si="2"/>
        <v>NO</v>
      </c>
      <c r="X134" s="4"/>
    </row>
    <row r="135" spans="1:24" ht="46" customHeight="1">
      <c r="A135" s="4" t="s">
        <v>636</v>
      </c>
      <c r="B135" s="4" t="s">
        <v>637</v>
      </c>
      <c r="C135" s="4" t="s">
        <v>638</v>
      </c>
      <c r="D135" s="4" t="s">
        <v>572</v>
      </c>
      <c r="E135" s="4" t="s">
        <v>139</v>
      </c>
      <c r="F135" s="4" t="s">
        <v>248</v>
      </c>
      <c r="G135" s="4" t="s">
        <v>141</v>
      </c>
      <c r="H135" s="4" t="s">
        <v>86</v>
      </c>
      <c r="I135" s="4">
        <v>4</v>
      </c>
      <c r="J135" s="4" t="s">
        <v>142</v>
      </c>
      <c r="K135" s="4" t="s">
        <v>143</v>
      </c>
      <c r="L135" s="4"/>
      <c r="M135" s="4"/>
      <c r="N135" s="4"/>
      <c r="O135" s="4"/>
      <c r="P135" s="4"/>
      <c r="Q135" s="4"/>
      <c r="R135" s="4"/>
      <c r="S135" s="4"/>
      <c r="T135" s="14"/>
      <c r="U135" s="4" t="s">
        <v>71</v>
      </c>
      <c r="V135" s="4" t="s">
        <v>71</v>
      </c>
      <c r="W135" s="4" t="str">
        <f t="shared" si="2"/>
        <v>NO</v>
      </c>
      <c r="X135" s="4"/>
    </row>
    <row r="136" spans="1:24" ht="46" customHeight="1">
      <c r="A136" s="4" t="s">
        <v>639</v>
      </c>
      <c r="B136" s="4" t="s">
        <v>640</v>
      </c>
      <c r="C136" s="4" t="s">
        <v>641</v>
      </c>
      <c r="D136" s="4" t="s">
        <v>209</v>
      </c>
      <c r="E136" s="4" t="s">
        <v>124</v>
      </c>
      <c r="F136" s="4" t="s">
        <v>248</v>
      </c>
      <c r="G136" s="4" t="s">
        <v>200</v>
      </c>
      <c r="H136" s="4" t="s">
        <v>61</v>
      </c>
      <c r="I136" s="4">
        <v>17</v>
      </c>
      <c r="J136" s="4" t="s">
        <v>201</v>
      </c>
      <c r="K136" s="4" t="s">
        <v>143</v>
      </c>
      <c r="L136" s="4"/>
      <c r="M136" s="4"/>
      <c r="N136" s="4"/>
      <c r="O136" s="4"/>
      <c r="P136" s="4"/>
      <c r="Q136" s="4"/>
      <c r="R136" s="4"/>
      <c r="S136" s="4"/>
      <c r="T136" s="14"/>
      <c r="U136" s="4" t="s">
        <v>71</v>
      </c>
      <c r="V136" s="4" t="s">
        <v>71</v>
      </c>
      <c r="W136" s="4" t="str">
        <f t="shared" si="2"/>
        <v>NO</v>
      </c>
      <c r="X136" s="4"/>
    </row>
    <row r="137" spans="1:24" ht="46" customHeight="1">
      <c r="A137" s="4" t="s">
        <v>642</v>
      </c>
      <c r="B137" s="4" t="s">
        <v>643</v>
      </c>
      <c r="C137" s="4" t="s">
        <v>644</v>
      </c>
      <c r="D137" s="4" t="s">
        <v>229</v>
      </c>
      <c r="E137" s="4" t="s">
        <v>124</v>
      </c>
      <c r="F137" s="4" t="s">
        <v>256</v>
      </c>
      <c r="G137" s="4" t="s">
        <v>200</v>
      </c>
      <c r="H137" s="4" t="s">
        <v>61</v>
      </c>
      <c r="I137" s="4">
        <v>8</v>
      </c>
      <c r="J137" s="4" t="s">
        <v>201</v>
      </c>
      <c r="K137" s="4" t="s">
        <v>143</v>
      </c>
      <c r="L137" s="4"/>
      <c r="M137" s="4"/>
      <c r="N137" s="4"/>
      <c r="O137" s="4"/>
      <c r="P137" s="4"/>
      <c r="Q137" s="4"/>
      <c r="R137" s="4"/>
      <c r="S137" s="4"/>
      <c r="T137" s="14"/>
      <c r="U137" s="4" t="s">
        <v>71</v>
      </c>
      <c r="V137" s="4" t="s">
        <v>71</v>
      </c>
      <c r="W137" s="4" t="str">
        <f t="shared" si="2"/>
        <v>NO</v>
      </c>
      <c r="X137" s="4"/>
    </row>
    <row r="138" spans="1:24" ht="46" customHeight="1">
      <c r="A138" s="4" t="s">
        <v>645</v>
      </c>
      <c r="B138" s="4" t="s">
        <v>646</v>
      </c>
      <c r="C138" s="4" t="s">
        <v>137</v>
      </c>
      <c r="D138" s="4" t="s">
        <v>366</v>
      </c>
      <c r="E138" s="4" t="s">
        <v>124</v>
      </c>
      <c r="F138" s="4" t="s">
        <v>248</v>
      </c>
      <c r="G138" s="4" t="s">
        <v>200</v>
      </c>
      <c r="H138" s="4" t="s">
        <v>69</v>
      </c>
      <c r="I138" s="4">
        <v>2</v>
      </c>
      <c r="J138" s="4" t="s">
        <v>201</v>
      </c>
      <c r="K138" s="4" t="s">
        <v>143</v>
      </c>
      <c r="L138" s="4"/>
      <c r="M138" s="4"/>
      <c r="N138" s="4"/>
      <c r="O138" s="4"/>
      <c r="P138" s="4"/>
      <c r="Q138" s="4"/>
      <c r="R138" s="4"/>
      <c r="S138" s="4"/>
      <c r="T138" s="14"/>
      <c r="U138" s="4" t="s">
        <v>71</v>
      </c>
      <c r="V138" s="4" t="s">
        <v>71</v>
      </c>
      <c r="W138" s="4" t="str">
        <f t="shared" si="2"/>
        <v>NO</v>
      </c>
      <c r="X138" s="4"/>
    </row>
    <row r="139" spans="1:24" ht="46" customHeight="1">
      <c r="A139" s="4" t="s">
        <v>647</v>
      </c>
      <c r="B139" s="4" t="s">
        <v>648</v>
      </c>
      <c r="C139" s="4" t="s">
        <v>649</v>
      </c>
      <c r="D139" s="4" t="s">
        <v>331</v>
      </c>
      <c r="E139" s="4" t="s">
        <v>139</v>
      </c>
      <c r="F139" s="4" t="s">
        <v>125</v>
      </c>
      <c r="G139" s="4" t="s">
        <v>141</v>
      </c>
      <c r="H139" s="4" t="s">
        <v>83</v>
      </c>
      <c r="I139" s="4">
        <v>7</v>
      </c>
      <c r="J139" s="4" t="s">
        <v>142</v>
      </c>
      <c r="K139" s="4" t="s">
        <v>143</v>
      </c>
      <c r="L139" s="4"/>
      <c r="M139" s="4"/>
      <c r="N139" s="4"/>
      <c r="O139" s="4"/>
      <c r="P139" s="4"/>
      <c r="Q139" s="4"/>
      <c r="R139" s="4"/>
      <c r="S139" s="4"/>
      <c r="T139" s="14"/>
      <c r="U139" s="4" t="s">
        <v>71</v>
      </c>
      <c r="V139" s="4" t="s">
        <v>71</v>
      </c>
      <c r="W139" s="4" t="str">
        <f t="shared" si="2"/>
        <v>NO</v>
      </c>
      <c r="X139" s="4"/>
    </row>
    <row r="140" spans="1:24" ht="46" customHeight="1">
      <c r="A140" s="4" t="s">
        <v>650</v>
      </c>
      <c r="B140" s="4" t="s">
        <v>651</v>
      </c>
      <c r="C140" s="4" t="s">
        <v>652</v>
      </c>
      <c r="D140" s="4" t="s">
        <v>151</v>
      </c>
      <c r="E140" s="4" t="s">
        <v>139</v>
      </c>
      <c r="F140" s="4" t="s">
        <v>190</v>
      </c>
      <c r="G140" s="4" t="s">
        <v>141</v>
      </c>
      <c r="H140" s="4" t="s">
        <v>88</v>
      </c>
      <c r="I140" s="4">
        <v>5</v>
      </c>
      <c r="J140" s="4" t="s">
        <v>142</v>
      </c>
      <c r="K140" s="4" t="s">
        <v>143</v>
      </c>
      <c r="L140" s="4"/>
      <c r="M140" s="4"/>
      <c r="N140" s="4"/>
      <c r="O140" s="4"/>
      <c r="P140" s="4"/>
      <c r="Q140" s="4"/>
      <c r="R140" s="4"/>
      <c r="S140" s="4"/>
      <c r="T140" s="14"/>
      <c r="U140" s="4" t="s">
        <v>71</v>
      </c>
      <c r="V140" s="4" t="s">
        <v>71</v>
      </c>
      <c r="W140" s="4" t="str">
        <f t="shared" si="2"/>
        <v>NO</v>
      </c>
      <c r="X140" s="4"/>
    </row>
    <row r="141" spans="1:24" ht="46" customHeight="1">
      <c r="A141" s="4" t="s">
        <v>653</v>
      </c>
      <c r="B141" s="4" t="s">
        <v>654</v>
      </c>
      <c r="C141" s="4" t="s">
        <v>655</v>
      </c>
      <c r="D141" s="4" t="s">
        <v>273</v>
      </c>
      <c r="E141" s="4" t="s">
        <v>139</v>
      </c>
      <c r="F141" s="4" t="s">
        <v>140</v>
      </c>
      <c r="G141" s="4" t="s">
        <v>141</v>
      </c>
      <c r="H141" s="4" t="s">
        <v>90</v>
      </c>
      <c r="I141" s="4">
        <v>13</v>
      </c>
      <c r="J141" s="4" t="s">
        <v>142</v>
      </c>
      <c r="K141" s="4" t="s">
        <v>143</v>
      </c>
      <c r="L141" s="4"/>
      <c r="M141" s="4"/>
      <c r="N141" s="4"/>
      <c r="O141" s="4"/>
      <c r="P141" s="4"/>
      <c r="Q141" s="4"/>
      <c r="R141" s="4"/>
      <c r="S141" s="4"/>
      <c r="T141" s="14"/>
      <c r="U141" s="4" t="s">
        <v>71</v>
      </c>
      <c r="V141" s="4" t="s">
        <v>71</v>
      </c>
      <c r="W141" s="4" t="str">
        <f t="shared" si="2"/>
        <v>NO</v>
      </c>
      <c r="X141" s="4"/>
    </row>
    <row r="142" spans="1:24" ht="46" customHeight="1">
      <c r="A142" s="4" t="s">
        <v>656</v>
      </c>
      <c r="B142" s="4" t="s">
        <v>657</v>
      </c>
      <c r="C142" s="4" t="s">
        <v>658</v>
      </c>
      <c r="D142" s="4" t="s">
        <v>454</v>
      </c>
      <c r="E142" s="4" t="s">
        <v>124</v>
      </c>
      <c r="F142" s="4" t="s">
        <v>256</v>
      </c>
      <c r="G142" s="4" t="s">
        <v>200</v>
      </c>
      <c r="H142" s="4" t="s">
        <v>61</v>
      </c>
      <c r="I142" s="4">
        <v>7</v>
      </c>
      <c r="J142" s="4" t="s">
        <v>201</v>
      </c>
      <c r="K142" s="4" t="s">
        <v>143</v>
      </c>
      <c r="L142" s="4"/>
      <c r="M142" s="4"/>
      <c r="N142" s="4"/>
      <c r="O142" s="4"/>
      <c r="P142" s="4"/>
      <c r="Q142" s="4"/>
      <c r="R142" s="4"/>
      <c r="S142" s="4"/>
      <c r="T142" s="14"/>
      <c r="U142" s="4" t="s">
        <v>71</v>
      </c>
      <c r="V142" s="4" t="s">
        <v>71</v>
      </c>
      <c r="W142" s="4" t="str">
        <f t="shared" si="2"/>
        <v>NO</v>
      </c>
      <c r="X142" s="4"/>
    </row>
    <row r="143" spans="1:24" ht="46" customHeight="1">
      <c r="A143" s="4" t="s">
        <v>659</v>
      </c>
      <c r="B143" s="4" t="s">
        <v>660</v>
      </c>
      <c r="C143" s="4" t="s">
        <v>661</v>
      </c>
      <c r="D143" s="4" t="s">
        <v>170</v>
      </c>
      <c r="E143" s="4" t="s">
        <v>139</v>
      </c>
      <c r="F143" s="4" t="s">
        <v>248</v>
      </c>
      <c r="G143" s="4" t="s">
        <v>141</v>
      </c>
      <c r="H143" s="4" t="s">
        <v>86</v>
      </c>
      <c r="I143" s="4">
        <v>9</v>
      </c>
      <c r="J143" s="4" t="s">
        <v>142</v>
      </c>
      <c r="K143" s="4" t="s">
        <v>143</v>
      </c>
      <c r="L143" s="4"/>
      <c r="M143" s="4"/>
      <c r="N143" s="4"/>
      <c r="O143" s="4"/>
      <c r="P143" s="4"/>
      <c r="Q143" s="4"/>
      <c r="R143" s="4"/>
      <c r="S143" s="4"/>
      <c r="T143" s="14"/>
      <c r="U143" s="4" t="s">
        <v>71</v>
      </c>
      <c r="V143" s="4" t="s">
        <v>71</v>
      </c>
      <c r="W143" s="4" t="str">
        <f t="shared" si="2"/>
        <v>NO</v>
      </c>
      <c r="X143" s="4"/>
    </row>
    <row r="144" spans="1:24" ht="46" customHeight="1">
      <c r="A144" s="4" t="s">
        <v>662</v>
      </c>
      <c r="B144" s="4" t="s">
        <v>663</v>
      </c>
      <c r="C144" s="4" t="s">
        <v>664</v>
      </c>
      <c r="D144" s="4" t="s">
        <v>370</v>
      </c>
      <c r="E144" s="4" t="s">
        <v>152</v>
      </c>
      <c r="F144" s="4" t="s">
        <v>665</v>
      </c>
      <c r="G144" s="4" t="s">
        <v>141</v>
      </c>
      <c r="H144" s="4" t="s">
        <v>79</v>
      </c>
      <c r="I144" s="4">
        <v>4</v>
      </c>
      <c r="J144" s="4" t="s">
        <v>166</v>
      </c>
      <c r="K144" s="4" t="s">
        <v>143</v>
      </c>
      <c r="L144" s="4"/>
      <c r="M144" s="4"/>
      <c r="N144" s="4"/>
      <c r="O144" s="4"/>
      <c r="P144" s="4"/>
      <c r="Q144" s="4"/>
      <c r="R144" s="4"/>
      <c r="S144" s="4"/>
      <c r="T144" s="14"/>
      <c r="U144" s="4" t="s">
        <v>71</v>
      </c>
      <c r="V144" s="4" t="s">
        <v>71</v>
      </c>
      <c r="W144" s="4" t="str">
        <f t="shared" si="2"/>
        <v>NO</v>
      </c>
      <c r="X144" s="4"/>
    </row>
    <row r="145" spans="1:24" ht="46" customHeight="1">
      <c r="A145" s="4" t="s">
        <v>666</v>
      </c>
      <c r="B145" s="4" t="s">
        <v>667</v>
      </c>
      <c r="C145" s="4" t="s">
        <v>668</v>
      </c>
      <c r="D145" s="4" t="s">
        <v>229</v>
      </c>
      <c r="E145" s="4" t="s">
        <v>124</v>
      </c>
      <c r="F145" s="4" t="s">
        <v>248</v>
      </c>
      <c r="G145" s="4" t="s">
        <v>200</v>
      </c>
      <c r="H145" s="4" t="s">
        <v>61</v>
      </c>
      <c r="I145" s="4">
        <v>13</v>
      </c>
      <c r="J145" s="4" t="s">
        <v>201</v>
      </c>
      <c r="K145" s="4" t="s">
        <v>143</v>
      </c>
      <c r="L145" s="4"/>
      <c r="M145" s="4"/>
      <c r="N145" s="4"/>
      <c r="O145" s="4"/>
      <c r="P145" s="4"/>
      <c r="Q145" s="4"/>
      <c r="R145" s="4"/>
      <c r="S145" s="4"/>
      <c r="T145" s="14"/>
      <c r="U145" s="4" t="s">
        <v>71</v>
      </c>
      <c r="V145" s="4" t="s">
        <v>71</v>
      </c>
      <c r="W145" s="4" t="str">
        <f t="shared" si="2"/>
        <v>NO</v>
      </c>
      <c r="X145" s="4"/>
    </row>
    <row r="146" spans="1:24" ht="46" customHeight="1">
      <c r="A146" s="4" t="s">
        <v>669</v>
      </c>
      <c r="B146" s="4" t="s">
        <v>670</v>
      </c>
      <c r="C146" s="4" t="s">
        <v>671</v>
      </c>
      <c r="D146" s="4" t="s">
        <v>357</v>
      </c>
      <c r="E146" s="4" t="s">
        <v>268</v>
      </c>
      <c r="F146" s="4"/>
      <c r="G146" s="4" t="s">
        <v>141</v>
      </c>
      <c r="H146" s="4" t="s">
        <v>92</v>
      </c>
      <c r="I146" s="4">
        <v>13</v>
      </c>
      <c r="J146" s="4" t="s">
        <v>269</v>
      </c>
      <c r="K146" s="4" t="s">
        <v>143</v>
      </c>
      <c r="L146" s="4"/>
      <c r="M146" s="4"/>
      <c r="N146" s="4"/>
      <c r="O146" s="4"/>
      <c r="P146" s="4"/>
      <c r="Q146" s="4"/>
      <c r="R146" s="4"/>
      <c r="S146" s="4"/>
      <c r="T146" s="14"/>
      <c r="U146" s="4" t="s">
        <v>71</v>
      </c>
      <c r="V146" s="4" t="s">
        <v>71</v>
      </c>
      <c r="W146" s="4" t="str">
        <f t="shared" si="2"/>
        <v>NO</v>
      </c>
      <c r="X146" s="4"/>
    </row>
    <row r="147" spans="1:24" ht="46" customHeight="1">
      <c r="A147" s="4" t="s">
        <v>672</v>
      </c>
      <c r="B147" s="4" t="s">
        <v>673</v>
      </c>
      <c r="C147" s="4" t="s">
        <v>674</v>
      </c>
      <c r="D147" s="4" t="s">
        <v>675</v>
      </c>
      <c r="E147" s="4" t="s">
        <v>139</v>
      </c>
      <c r="F147" s="4" t="s">
        <v>140</v>
      </c>
      <c r="G147" s="4" t="s">
        <v>141</v>
      </c>
      <c r="H147" s="4" t="s">
        <v>88</v>
      </c>
      <c r="I147" s="4">
        <v>15</v>
      </c>
      <c r="J147" s="4" t="s">
        <v>142</v>
      </c>
      <c r="K147" s="4" t="s">
        <v>143</v>
      </c>
      <c r="L147" s="4"/>
      <c r="M147" s="4"/>
      <c r="N147" s="4"/>
      <c r="O147" s="4"/>
      <c r="P147" s="4"/>
      <c r="Q147" s="4"/>
      <c r="R147" s="4"/>
      <c r="S147" s="4"/>
      <c r="T147" s="14"/>
      <c r="U147" s="4" t="s">
        <v>71</v>
      </c>
      <c r="V147" s="4" t="s">
        <v>71</v>
      </c>
      <c r="W147" s="4" t="str">
        <f t="shared" si="2"/>
        <v>NO</v>
      </c>
      <c r="X147" s="4"/>
    </row>
    <row r="148" spans="1:24" ht="46" customHeight="1">
      <c r="A148" s="4" t="s">
        <v>676</v>
      </c>
      <c r="B148" s="4" t="s">
        <v>677</v>
      </c>
      <c r="C148" s="4" t="s">
        <v>435</v>
      </c>
      <c r="D148" s="4" t="s">
        <v>370</v>
      </c>
      <c r="E148" s="4" t="s">
        <v>124</v>
      </c>
      <c r="F148" s="4" t="s">
        <v>125</v>
      </c>
      <c r="G148" s="4" t="s">
        <v>200</v>
      </c>
      <c r="H148" s="4" t="s">
        <v>58</v>
      </c>
      <c r="I148" s="4">
        <v>17</v>
      </c>
      <c r="J148" s="4" t="s">
        <v>201</v>
      </c>
      <c r="K148" s="4" t="s">
        <v>143</v>
      </c>
      <c r="L148" s="4"/>
      <c r="M148" s="4"/>
      <c r="N148" s="4"/>
      <c r="O148" s="4"/>
      <c r="P148" s="4"/>
      <c r="Q148" s="4"/>
      <c r="R148" s="4"/>
      <c r="S148" s="4"/>
      <c r="T148" s="14"/>
      <c r="U148" s="4" t="s">
        <v>71</v>
      </c>
      <c r="V148" s="4" t="s">
        <v>71</v>
      </c>
      <c r="W148" s="4" t="str">
        <f t="shared" si="2"/>
        <v>NO</v>
      </c>
      <c r="X148" s="4"/>
    </row>
    <row r="149" spans="1:24" ht="46" customHeight="1">
      <c r="A149" s="4" t="s">
        <v>678</v>
      </c>
      <c r="B149" s="4" t="s">
        <v>679</v>
      </c>
      <c r="C149" s="4" t="s">
        <v>680</v>
      </c>
      <c r="D149" s="4" t="s">
        <v>681</v>
      </c>
      <c r="E149" s="4" t="s">
        <v>139</v>
      </c>
      <c r="F149" s="4" t="s">
        <v>190</v>
      </c>
      <c r="G149" s="4" t="s">
        <v>141</v>
      </c>
      <c r="H149" s="4" t="s">
        <v>88</v>
      </c>
      <c r="I149" s="4">
        <v>3</v>
      </c>
      <c r="J149" s="4" t="s">
        <v>142</v>
      </c>
      <c r="K149" s="4" t="s">
        <v>143</v>
      </c>
      <c r="L149" s="4"/>
      <c r="M149" s="4"/>
      <c r="N149" s="4"/>
      <c r="O149" s="4"/>
      <c r="P149" s="4"/>
      <c r="Q149" s="4"/>
      <c r="R149" s="4"/>
      <c r="S149" s="4"/>
      <c r="T149" s="14"/>
      <c r="U149" s="4" t="s">
        <v>71</v>
      </c>
      <c r="V149" s="4" t="s">
        <v>71</v>
      </c>
      <c r="W149" s="4" t="str">
        <f t="shared" si="2"/>
        <v>NO</v>
      </c>
      <c r="X149" s="4"/>
    </row>
    <row r="150" spans="1:24" ht="46" customHeight="1">
      <c r="A150" s="4" t="s">
        <v>682</v>
      </c>
      <c r="B150" s="4" t="s">
        <v>683</v>
      </c>
      <c r="C150" s="4" t="s">
        <v>684</v>
      </c>
      <c r="D150" s="4" t="s">
        <v>439</v>
      </c>
      <c r="E150" s="4" t="s">
        <v>152</v>
      </c>
      <c r="F150" s="4" t="s">
        <v>165</v>
      </c>
      <c r="G150" s="4" t="s">
        <v>141</v>
      </c>
      <c r="H150" s="4" t="s">
        <v>72</v>
      </c>
      <c r="I150" s="4">
        <v>15</v>
      </c>
      <c r="J150" s="4" t="s">
        <v>166</v>
      </c>
      <c r="K150" s="4" t="s">
        <v>143</v>
      </c>
      <c r="L150" s="4"/>
      <c r="M150" s="4"/>
      <c r="N150" s="4"/>
      <c r="O150" s="4"/>
      <c r="P150" s="4"/>
      <c r="Q150" s="4"/>
      <c r="R150" s="4"/>
      <c r="S150" s="4"/>
      <c r="T150" s="14"/>
      <c r="U150" s="4" t="s">
        <v>71</v>
      </c>
      <c r="V150" s="4" t="s">
        <v>71</v>
      </c>
      <c r="W150" s="4" t="str">
        <f t="shared" si="2"/>
        <v>NO</v>
      </c>
      <c r="X150" s="4"/>
    </row>
    <row r="151" spans="1:24" ht="46" customHeight="1">
      <c r="A151" s="4" t="s">
        <v>685</v>
      </c>
      <c r="B151" s="4" t="s">
        <v>686</v>
      </c>
      <c r="C151" s="4" t="s">
        <v>687</v>
      </c>
      <c r="D151" s="4" t="s">
        <v>370</v>
      </c>
      <c r="E151" s="4" t="s">
        <v>152</v>
      </c>
      <c r="F151" s="4" t="s">
        <v>688</v>
      </c>
      <c r="G151" s="4" t="s">
        <v>141</v>
      </c>
      <c r="H151" s="4" t="s">
        <v>77</v>
      </c>
      <c r="I151" s="4">
        <v>15</v>
      </c>
      <c r="J151" s="4" t="s">
        <v>166</v>
      </c>
      <c r="K151" s="4" t="s">
        <v>143</v>
      </c>
      <c r="L151" s="4"/>
      <c r="M151" s="4"/>
      <c r="N151" s="4"/>
      <c r="O151" s="4"/>
      <c r="P151" s="4"/>
      <c r="Q151" s="4"/>
      <c r="R151" s="4"/>
      <c r="S151" s="4"/>
      <c r="T151" s="14"/>
      <c r="U151" s="4" t="s">
        <v>71</v>
      </c>
      <c r="V151" s="4" t="s">
        <v>71</v>
      </c>
      <c r="W151" s="4" t="str">
        <f t="shared" si="2"/>
        <v>NO</v>
      </c>
      <c r="X151" s="4"/>
    </row>
    <row r="152" spans="1:24" ht="46" customHeight="1">
      <c r="A152" s="4" t="s">
        <v>689</v>
      </c>
      <c r="B152" s="4" t="s">
        <v>690</v>
      </c>
      <c r="C152" s="4" t="s">
        <v>691</v>
      </c>
      <c r="D152" s="4" t="s">
        <v>692</v>
      </c>
      <c r="E152" s="4" t="s">
        <v>139</v>
      </c>
      <c r="F152" s="4" t="s">
        <v>140</v>
      </c>
      <c r="G152" s="4" t="s">
        <v>141</v>
      </c>
      <c r="H152" s="4" t="s">
        <v>90</v>
      </c>
      <c r="I152" s="4">
        <v>2</v>
      </c>
      <c r="J152" s="4" t="s">
        <v>142</v>
      </c>
      <c r="K152" s="4" t="s">
        <v>143</v>
      </c>
      <c r="L152" s="4"/>
      <c r="M152" s="4"/>
      <c r="N152" s="4"/>
      <c r="O152" s="4"/>
      <c r="P152" s="4"/>
      <c r="Q152" s="4"/>
      <c r="R152" s="4"/>
      <c r="S152" s="4"/>
      <c r="T152" s="14"/>
      <c r="U152" s="4" t="s">
        <v>71</v>
      </c>
      <c r="V152" s="4" t="s">
        <v>71</v>
      </c>
      <c r="W152" s="4" t="str">
        <f t="shared" si="2"/>
        <v>NO</v>
      </c>
      <c r="X152" s="4"/>
    </row>
    <row r="153" spans="1:24" ht="46" customHeight="1">
      <c r="A153" s="4" t="s">
        <v>693</v>
      </c>
      <c r="B153" s="4" t="s">
        <v>694</v>
      </c>
      <c r="C153" s="4" t="s">
        <v>695</v>
      </c>
      <c r="D153" s="4" t="s">
        <v>305</v>
      </c>
      <c r="E153" s="4" t="s">
        <v>139</v>
      </c>
      <c r="F153" s="4" t="s">
        <v>140</v>
      </c>
      <c r="G153" s="4" t="s">
        <v>141</v>
      </c>
      <c r="H153" s="4" t="s">
        <v>90</v>
      </c>
      <c r="I153" s="4">
        <v>7</v>
      </c>
      <c r="J153" s="4" t="s">
        <v>142</v>
      </c>
      <c r="K153" s="4" t="s">
        <v>143</v>
      </c>
      <c r="L153" s="4"/>
      <c r="M153" s="4"/>
      <c r="N153" s="4"/>
      <c r="O153" s="4"/>
      <c r="P153" s="4"/>
      <c r="Q153" s="4"/>
      <c r="R153" s="4"/>
      <c r="S153" s="4"/>
      <c r="T153" s="14"/>
      <c r="U153" s="4" t="s">
        <v>71</v>
      </c>
      <c r="V153" s="4" t="s">
        <v>71</v>
      </c>
      <c r="W153" s="4" t="str">
        <f t="shared" si="2"/>
        <v>NO</v>
      </c>
      <c r="X153" s="4"/>
    </row>
    <row r="154" spans="1:24" ht="46" customHeight="1">
      <c r="A154" s="4" t="s">
        <v>696</v>
      </c>
      <c r="B154" s="4" t="s">
        <v>697</v>
      </c>
      <c r="C154" s="4" t="s">
        <v>698</v>
      </c>
      <c r="D154" s="4" t="s">
        <v>419</v>
      </c>
      <c r="E154" s="4" t="s">
        <v>139</v>
      </c>
      <c r="F154" s="4" t="s">
        <v>248</v>
      </c>
      <c r="G154" s="4" t="s">
        <v>141</v>
      </c>
      <c r="H154" s="4" t="s">
        <v>86</v>
      </c>
      <c r="I154" s="4">
        <v>3</v>
      </c>
      <c r="J154" s="4" t="s">
        <v>142</v>
      </c>
      <c r="K154" s="4" t="s">
        <v>143</v>
      </c>
      <c r="L154" s="4"/>
      <c r="M154" s="4"/>
      <c r="N154" s="4"/>
      <c r="O154" s="4"/>
      <c r="P154" s="4"/>
      <c r="Q154" s="4"/>
      <c r="R154" s="4"/>
      <c r="S154" s="4"/>
      <c r="T154" s="14"/>
      <c r="U154" s="4" t="s">
        <v>71</v>
      </c>
      <c r="V154" s="4" t="s">
        <v>71</v>
      </c>
      <c r="W154" s="4" t="str">
        <f t="shared" si="2"/>
        <v>NO</v>
      </c>
      <c r="X154" s="4"/>
    </row>
    <row r="155" spans="1:24" ht="46" customHeight="1">
      <c r="A155" s="4" t="s">
        <v>699</v>
      </c>
      <c r="B155" s="4" t="s">
        <v>700</v>
      </c>
      <c r="C155" s="4" t="s">
        <v>701</v>
      </c>
      <c r="D155" s="4" t="s">
        <v>277</v>
      </c>
      <c r="E155" s="4" t="s">
        <v>152</v>
      </c>
      <c r="F155" s="4" t="s">
        <v>702</v>
      </c>
      <c r="G155" s="4" t="s">
        <v>141</v>
      </c>
      <c r="H155" s="4" t="s">
        <v>75</v>
      </c>
      <c r="I155" s="4">
        <v>8</v>
      </c>
      <c r="J155" s="4" t="s">
        <v>166</v>
      </c>
      <c r="K155" s="4" t="s">
        <v>143</v>
      </c>
      <c r="L155" s="4"/>
      <c r="M155" s="4"/>
      <c r="N155" s="4"/>
      <c r="O155" s="4"/>
      <c r="P155" s="4"/>
      <c r="Q155" s="4"/>
      <c r="R155" s="4"/>
      <c r="S155" s="4"/>
      <c r="T155" s="14"/>
      <c r="U155" s="4" t="s">
        <v>71</v>
      </c>
      <c r="V155" s="4" t="s">
        <v>71</v>
      </c>
      <c r="W155" s="4" t="str">
        <f t="shared" si="2"/>
        <v>NO</v>
      </c>
      <c r="X155" s="4"/>
    </row>
    <row r="156" spans="1:24" ht="46" customHeight="1">
      <c r="A156" s="4" t="s">
        <v>703</v>
      </c>
      <c r="B156" s="4" t="s">
        <v>704</v>
      </c>
      <c r="C156" s="4" t="s">
        <v>705</v>
      </c>
      <c r="D156" s="4" t="s">
        <v>484</v>
      </c>
      <c r="E156" s="4" t="s">
        <v>152</v>
      </c>
      <c r="F156" s="4" t="s">
        <v>706</v>
      </c>
      <c r="G156" s="4" t="s">
        <v>141</v>
      </c>
      <c r="H156" s="4" t="s">
        <v>81</v>
      </c>
      <c r="I156" s="4">
        <v>7</v>
      </c>
      <c r="J156" s="4" t="s">
        <v>166</v>
      </c>
      <c r="K156" s="4" t="s">
        <v>143</v>
      </c>
      <c r="L156" s="4"/>
      <c r="M156" s="4"/>
      <c r="N156" s="4"/>
      <c r="O156" s="4"/>
      <c r="P156" s="4"/>
      <c r="Q156" s="4"/>
      <c r="R156" s="4"/>
      <c r="S156" s="4"/>
      <c r="T156" s="14"/>
      <c r="U156" s="4" t="s">
        <v>71</v>
      </c>
      <c r="V156" s="4" t="s">
        <v>71</v>
      </c>
      <c r="W156" s="4" t="str">
        <f t="shared" si="2"/>
        <v>NO</v>
      </c>
      <c r="X156" s="4"/>
    </row>
    <row r="157" spans="1:24" ht="46" customHeight="1">
      <c r="A157" s="4" t="s">
        <v>707</v>
      </c>
      <c r="B157" s="4" t="s">
        <v>708</v>
      </c>
      <c r="C157" s="4" t="s">
        <v>709</v>
      </c>
      <c r="D157" s="4" t="s">
        <v>692</v>
      </c>
      <c r="E157" s="4" t="s">
        <v>139</v>
      </c>
      <c r="F157" s="4" t="s">
        <v>190</v>
      </c>
      <c r="G157" s="4" t="s">
        <v>141</v>
      </c>
      <c r="H157" s="4" t="s">
        <v>88</v>
      </c>
      <c r="I157" s="4">
        <v>6</v>
      </c>
      <c r="J157" s="4" t="s">
        <v>142</v>
      </c>
      <c r="K157" s="4" t="s">
        <v>143</v>
      </c>
      <c r="L157" s="4"/>
      <c r="M157" s="4"/>
      <c r="N157" s="4"/>
      <c r="O157" s="4"/>
      <c r="P157" s="4"/>
      <c r="Q157" s="4"/>
      <c r="R157" s="4"/>
      <c r="S157" s="4"/>
      <c r="T157" s="14"/>
      <c r="U157" s="4" t="s">
        <v>71</v>
      </c>
      <c r="V157" s="4" t="s">
        <v>71</v>
      </c>
      <c r="W157" s="4" t="str">
        <f t="shared" si="2"/>
        <v>NO</v>
      </c>
      <c r="X157" s="4"/>
    </row>
    <row r="158" spans="1:24" ht="46" customHeight="1">
      <c r="A158" s="4" t="s">
        <v>710</v>
      </c>
      <c r="B158" s="4" t="s">
        <v>711</v>
      </c>
      <c r="C158" s="4" t="s">
        <v>712</v>
      </c>
      <c r="D158" s="4" t="s">
        <v>692</v>
      </c>
      <c r="E158" s="4" t="s">
        <v>124</v>
      </c>
      <c r="F158" s="4" t="s">
        <v>140</v>
      </c>
      <c r="G158" s="4" t="s">
        <v>200</v>
      </c>
      <c r="H158" s="4" t="s">
        <v>69</v>
      </c>
      <c r="I158" s="4">
        <v>16</v>
      </c>
      <c r="J158" s="4" t="s">
        <v>201</v>
      </c>
      <c r="K158" s="4" t="s">
        <v>143</v>
      </c>
      <c r="L158" s="4"/>
      <c r="M158" s="4"/>
      <c r="N158" s="4"/>
      <c r="O158" s="4"/>
      <c r="P158" s="4"/>
      <c r="Q158" s="4"/>
      <c r="R158" s="4"/>
      <c r="S158" s="4"/>
      <c r="T158" s="14"/>
      <c r="U158" s="4" t="s">
        <v>71</v>
      </c>
      <c r="V158" s="4" t="s">
        <v>71</v>
      </c>
      <c r="W158" s="4" t="str">
        <f t="shared" si="2"/>
        <v>NO</v>
      </c>
      <c r="X158" s="4"/>
    </row>
    <row r="159" spans="1:24" ht="46" customHeight="1">
      <c r="A159" s="4" t="s">
        <v>713</v>
      </c>
      <c r="B159" s="4" t="s">
        <v>714</v>
      </c>
      <c r="C159" s="4" t="s">
        <v>715</v>
      </c>
      <c r="D159" s="4" t="s">
        <v>607</v>
      </c>
      <c r="E159" s="4" t="s">
        <v>139</v>
      </c>
      <c r="F159" s="4" t="s">
        <v>389</v>
      </c>
      <c r="G159" s="4" t="s">
        <v>141</v>
      </c>
      <c r="H159" s="4" t="s">
        <v>86</v>
      </c>
      <c r="I159" s="4">
        <v>1</v>
      </c>
      <c r="J159" s="4" t="s">
        <v>142</v>
      </c>
      <c r="K159" s="4" t="s">
        <v>143</v>
      </c>
      <c r="L159" s="4"/>
      <c r="M159" s="4"/>
      <c r="N159" s="4"/>
      <c r="O159" s="4"/>
      <c r="P159" s="4"/>
      <c r="Q159" s="4"/>
      <c r="R159" s="4"/>
      <c r="S159" s="4"/>
      <c r="T159" s="14"/>
      <c r="U159" s="4" t="s">
        <v>71</v>
      </c>
      <c r="V159" s="4" t="s">
        <v>71</v>
      </c>
      <c r="W159" s="4" t="str">
        <f t="shared" si="2"/>
        <v>NO</v>
      </c>
      <c r="X159" s="4"/>
    </row>
    <row r="160" spans="1:24" ht="46" customHeight="1">
      <c r="A160" s="4" t="s">
        <v>716</v>
      </c>
      <c r="B160" s="4" t="s">
        <v>717</v>
      </c>
      <c r="C160" s="4" t="s">
        <v>718</v>
      </c>
      <c r="D160" s="4" t="s">
        <v>255</v>
      </c>
      <c r="E160" s="4" t="s">
        <v>152</v>
      </c>
      <c r="F160" s="4" t="s">
        <v>719</v>
      </c>
      <c r="G160" s="4" t="s">
        <v>141</v>
      </c>
      <c r="H160" s="4" t="s">
        <v>77</v>
      </c>
      <c r="I160" s="4">
        <v>6</v>
      </c>
      <c r="J160" s="4" t="s">
        <v>166</v>
      </c>
      <c r="K160" s="4" t="s">
        <v>143</v>
      </c>
      <c r="L160" s="4"/>
      <c r="M160" s="4"/>
      <c r="N160" s="4"/>
      <c r="O160" s="4"/>
      <c r="P160" s="4"/>
      <c r="Q160" s="4"/>
      <c r="R160" s="4"/>
      <c r="S160" s="4"/>
      <c r="T160" s="14"/>
      <c r="U160" s="4" t="s">
        <v>71</v>
      </c>
      <c r="V160" s="4" t="s">
        <v>71</v>
      </c>
      <c r="W160" s="4" t="str">
        <f t="shared" si="2"/>
        <v>NO</v>
      </c>
      <c r="X160" s="4"/>
    </row>
    <row r="161" spans="1:24" ht="46" customHeight="1">
      <c r="A161" s="4" t="s">
        <v>720</v>
      </c>
      <c r="B161" s="4" t="s">
        <v>721</v>
      </c>
      <c r="C161" s="4" t="s">
        <v>722</v>
      </c>
      <c r="D161" s="4" t="s">
        <v>331</v>
      </c>
      <c r="E161" s="4" t="s">
        <v>139</v>
      </c>
      <c r="F161" s="4" t="s">
        <v>140</v>
      </c>
      <c r="G161" s="4" t="s">
        <v>141</v>
      </c>
      <c r="H161" s="4" t="s">
        <v>90</v>
      </c>
      <c r="I161" s="4">
        <v>4</v>
      </c>
      <c r="J161" s="4" t="s">
        <v>142</v>
      </c>
      <c r="K161" s="4" t="s">
        <v>143</v>
      </c>
      <c r="L161" s="4"/>
      <c r="M161" s="4"/>
      <c r="N161" s="4"/>
      <c r="O161" s="4"/>
      <c r="P161" s="4"/>
      <c r="Q161" s="4"/>
      <c r="R161" s="4"/>
      <c r="S161" s="4"/>
      <c r="T161" s="14"/>
      <c r="U161" s="4" t="s">
        <v>71</v>
      </c>
      <c r="V161" s="4" t="s">
        <v>71</v>
      </c>
      <c r="W161" s="4" t="str">
        <f t="shared" si="2"/>
        <v>NO</v>
      </c>
      <c r="X161" s="4"/>
    </row>
    <row r="162" spans="1:24" ht="46" customHeight="1">
      <c r="A162" s="4" t="s">
        <v>723</v>
      </c>
      <c r="B162" s="4" t="s">
        <v>724</v>
      </c>
      <c r="C162" s="4" t="s">
        <v>725</v>
      </c>
      <c r="D162" s="4" t="s">
        <v>373</v>
      </c>
      <c r="E162" s="4" t="s">
        <v>139</v>
      </c>
      <c r="F162" s="4" t="s">
        <v>140</v>
      </c>
      <c r="G162" s="4" t="s">
        <v>141</v>
      </c>
      <c r="H162" s="4" t="s">
        <v>90</v>
      </c>
      <c r="I162" s="4">
        <v>5</v>
      </c>
      <c r="J162" s="4" t="s">
        <v>142</v>
      </c>
      <c r="K162" s="4" t="s">
        <v>143</v>
      </c>
      <c r="L162" s="4"/>
      <c r="M162" s="4"/>
      <c r="N162" s="4"/>
      <c r="O162" s="4"/>
      <c r="P162" s="4"/>
      <c r="Q162" s="4"/>
      <c r="R162" s="4"/>
      <c r="S162" s="4"/>
      <c r="T162" s="14"/>
      <c r="U162" s="4" t="s">
        <v>71</v>
      </c>
      <c r="V162" s="4" t="s">
        <v>71</v>
      </c>
      <c r="W162" s="4" t="str">
        <f t="shared" si="2"/>
        <v>NO</v>
      </c>
      <c r="X162" s="4"/>
    </row>
    <row r="163" spans="1:24" ht="46" customHeight="1">
      <c r="A163" s="4" t="s">
        <v>726</v>
      </c>
      <c r="B163" s="4" t="s">
        <v>727</v>
      </c>
      <c r="C163" s="4" t="s">
        <v>728</v>
      </c>
      <c r="D163" s="4" t="s">
        <v>439</v>
      </c>
      <c r="E163" s="4" t="s">
        <v>152</v>
      </c>
      <c r="F163" s="4" t="s">
        <v>278</v>
      </c>
      <c r="G163" s="4" t="s">
        <v>141</v>
      </c>
      <c r="H163" s="4" t="s">
        <v>81</v>
      </c>
      <c r="I163" s="4">
        <v>3</v>
      </c>
      <c r="J163" s="4" t="s">
        <v>166</v>
      </c>
      <c r="K163" s="4" t="s">
        <v>143</v>
      </c>
      <c r="L163" s="4"/>
      <c r="M163" s="4"/>
      <c r="N163" s="4"/>
      <c r="O163" s="4"/>
      <c r="P163" s="4"/>
      <c r="Q163" s="4"/>
      <c r="R163" s="4"/>
      <c r="S163" s="4"/>
      <c r="T163" s="14"/>
      <c r="U163" s="4" t="s">
        <v>71</v>
      </c>
      <c r="V163" s="4" t="s">
        <v>71</v>
      </c>
      <c r="W163" s="4" t="str">
        <f t="shared" si="2"/>
        <v>NO</v>
      </c>
      <c r="X163" s="4"/>
    </row>
    <row r="164" spans="1:24" ht="46" customHeight="1">
      <c r="A164" s="4" t="s">
        <v>729</v>
      </c>
      <c r="B164" s="4" t="s">
        <v>730</v>
      </c>
      <c r="C164" s="4" t="s">
        <v>510</v>
      </c>
      <c r="D164" s="4" t="s">
        <v>373</v>
      </c>
      <c r="E164" s="4" t="s">
        <v>139</v>
      </c>
      <c r="F164" s="4" t="s">
        <v>248</v>
      </c>
      <c r="G164" s="4" t="s">
        <v>141</v>
      </c>
      <c r="H164" s="4" t="s">
        <v>86</v>
      </c>
      <c r="I164" s="4">
        <v>12</v>
      </c>
      <c r="J164" s="4" t="s">
        <v>142</v>
      </c>
      <c r="K164" s="4" t="s">
        <v>143</v>
      </c>
      <c r="L164" s="4"/>
      <c r="M164" s="4"/>
      <c r="N164" s="4"/>
      <c r="O164" s="4"/>
      <c r="P164" s="4"/>
      <c r="Q164" s="4"/>
      <c r="R164" s="4"/>
      <c r="S164" s="4"/>
      <c r="T164" s="14"/>
      <c r="U164" s="4" t="s">
        <v>71</v>
      </c>
      <c r="V164" s="4" t="s">
        <v>71</v>
      </c>
      <c r="W164" s="4" t="str">
        <f t="shared" si="2"/>
        <v>NO</v>
      </c>
      <c r="X164" s="4"/>
    </row>
    <row r="165" spans="1:24" ht="46" customHeight="1">
      <c r="A165" s="4" t="s">
        <v>731</v>
      </c>
      <c r="B165" s="4" t="s">
        <v>732</v>
      </c>
      <c r="C165" s="4" t="s">
        <v>193</v>
      </c>
      <c r="D165" s="4" t="s">
        <v>733</v>
      </c>
      <c r="E165" s="4" t="s">
        <v>139</v>
      </c>
      <c r="F165" s="4" t="s">
        <v>190</v>
      </c>
      <c r="G165" s="4" t="s">
        <v>141</v>
      </c>
      <c r="H165" s="4" t="s">
        <v>88</v>
      </c>
      <c r="I165" s="4">
        <v>4</v>
      </c>
      <c r="J165" s="4" t="s">
        <v>142</v>
      </c>
      <c r="K165" s="4" t="s">
        <v>143</v>
      </c>
      <c r="L165" s="4"/>
      <c r="M165" s="4"/>
      <c r="N165" s="4"/>
      <c r="O165" s="4"/>
      <c r="P165" s="4"/>
      <c r="Q165" s="4"/>
      <c r="R165" s="4"/>
      <c r="S165" s="4"/>
      <c r="T165" s="14"/>
      <c r="U165" s="4" t="s">
        <v>71</v>
      </c>
      <c r="V165" s="4" t="s">
        <v>71</v>
      </c>
      <c r="W165" s="4" t="str">
        <f t="shared" si="2"/>
        <v>NO</v>
      </c>
      <c r="X165" s="4"/>
    </row>
    <row r="166" spans="1:24" ht="46" customHeight="1">
      <c r="A166" s="4" t="s">
        <v>734</v>
      </c>
      <c r="B166" s="4" t="s">
        <v>735</v>
      </c>
      <c r="C166" s="4" t="s">
        <v>736</v>
      </c>
      <c r="D166" s="4" t="s">
        <v>613</v>
      </c>
      <c r="E166" s="4" t="s">
        <v>139</v>
      </c>
      <c r="F166" s="4" t="s">
        <v>248</v>
      </c>
      <c r="G166" s="4" t="s">
        <v>141</v>
      </c>
      <c r="H166" s="4" t="s">
        <v>86</v>
      </c>
      <c r="I166" s="4">
        <v>7</v>
      </c>
      <c r="J166" s="4" t="s">
        <v>142</v>
      </c>
      <c r="K166" s="4" t="s">
        <v>143</v>
      </c>
      <c r="L166" s="4"/>
      <c r="M166" s="4"/>
      <c r="N166" s="4"/>
      <c r="O166" s="4"/>
      <c r="P166" s="4"/>
      <c r="Q166" s="4"/>
      <c r="R166" s="4"/>
      <c r="S166" s="4"/>
      <c r="T166" s="14"/>
      <c r="U166" s="4" t="s">
        <v>71</v>
      </c>
      <c r="V166" s="4" t="s">
        <v>71</v>
      </c>
      <c r="W166" s="4" t="str">
        <f t="shared" si="2"/>
        <v>NO</v>
      </c>
      <c r="X166" s="4"/>
    </row>
    <row r="167" spans="1:24" ht="46" customHeight="1">
      <c r="A167" s="4" t="s">
        <v>737</v>
      </c>
      <c r="B167" s="4" t="s">
        <v>738</v>
      </c>
      <c r="C167" s="4" t="s">
        <v>739</v>
      </c>
      <c r="D167" s="4" t="s">
        <v>740</v>
      </c>
      <c r="E167" s="4" t="s">
        <v>139</v>
      </c>
      <c r="F167" s="4" t="s">
        <v>248</v>
      </c>
      <c r="G167" s="4" t="s">
        <v>141</v>
      </c>
      <c r="H167" s="4" t="s">
        <v>86</v>
      </c>
      <c r="I167" s="4">
        <v>10</v>
      </c>
      <c r="J167" s="4" t="s">
        <v>142</v>
      </c>
      <c r="K167" s="4" t="s">
        <v>143</v>
      </c>
      <c r="L167" s="4"/>
      <c r="M167" s="4"/>
      <c r="N167" s="4"/>
      <c r="O167" s="4"/>
      <c r="P167" s="4"/>
      <c r="Q167" s="4"/>
      <c r="R167" s="4"/>
      <c r="S167" s="4"/>
      <c r="T167" s="14"/>
      <c r="U167" s="4" t="s">
        <v>71</v>
      </c>
      <c r="V167" s="4" t="s">
        <v>71</v>
      </c>
      <c r="W167" s="4" t="str">
        <f t="shared" si="2"/>
        <v>NO</v>
      </c>
      <c r="X167" s="4"/>
    </row>
    <row r="168" spans="1:24" ht="46" customHeight="1">
      <c r="A168" s="4" t="s">
        <v>741</v>
      </c>
      <c r="B168" s="4" t="s">
        <v>742</v>
      </c>
      <c r="C168" s="4" t="s">
        <v>743</v>
      </c>
      <c r="D168" s="4" t="s">
        <v>536</v>
      </c>
      <c r="E168" s="4" t="s">
        <v>124</v>
      </c>
      <c r="F168" s="4" t="s">
        <v>140</v>
      </c>
      <c r="G168" s="4" t="s">
        <v>200</v>
      </c>
      <c r="H168" s="4" t="s">
        <v>69</v>
      </c>
      <c r="I168" s="4">
        <v>11</v>
      </c>
      <c r="J168" s="4" t="s">
        <v>201</v>
      </c>
      <c r="K168" s="4" t="s">
        <v>143</v>
      </c>
      <c r="L168" s="4"/>
      <c r="M168" s="4"/>
      <c r="N168" s="4"/>
      <c r="O168" s="4"/>
      <c r="P168" s="4"/>
      <c r="Q168" s="4"/>
      <c r="R168" s="4"/>
      <c r="S168" s="4"/>
      <c r="T168" s="14"/>
      <c r="U168" s="4" t="s">
        <v>71</v>
      </c>
      <c r="V168" s="4" t="s">
        <v>71</v>
      </c>
      <c r="W168" s="4" t="str">
        <f t="shared" si="2"/>
        <v>NO</v>
      </c>
      <c r="X168" s="4"/>
    </row>
    <row r="169" spans="1:24" ht="46" customHeight="1">
      <c r="A169" s="4" t="s">
        <v>744</v>
      </c>
      <c r="B169" s="4" t="s">
        <v>745</v>
      </c>
      <c r="C169" s="4" t="s">
        <v>746</v>
      </c>
      <c r="D169" s="4" t="s">
        <v>439</v>
      </c>
      <c r="E169" s="4" t="s">
        <v>152</v>
      </c>
      <c r="F169" s="4" t="s">
        <v>389</v>
      </c>
      <c r="G169" s="4" t="s">
        <v>141</v>
      </c>
      <c r="H169" s="4" t="s">
        <v>77</v>
      </c>
      <c r="I169" s="4">
        <v>11</v>
      </c>
      <c r="J169" s="4" t="s">
        <v>166</v>
      </c>
      <c r="K169" s="4" t="s">
        <v>143</v>
      </c>
      <c r="L169" s="4"/>
      <c r="M169" s="4"/>
      <c r="N169" s="4"/>
      <c r="O169" s="4"/>
      <c r="P169" s="4"/>
      <c r="Q169" s="4"/>
      <c r="R169" s="4"/>
      <c r="S169" s="4"/>
      <c r="T169" s="14"/>
      <c r="U169" s="4" t="s">
        <v>71</v>
      </c>
      <c r="V169" s="4" t="s">
        <v>71</v>
      </c>
      <c r="W169" s="4" t="str">
        <f t="shared" si="2"/>
        <v>NO</v>
      </c>
      <c r="X169" s="4"/>
    </row>
    <row r="170" spans="1:24" ht="46" customHeight="1">
      <c r="A170" s="4" t="s">
        <v>747</v>
      </c>
      <c r="B170" s="4" t="s">
        <v>748</v>
      </c>
      <c r="C170" s="4" t="s">
        <v>749</v>
      </c>
      <c r="D170" s="4" t="s">
        <v>750</v>
      </c>
      <c r="E170" s="4" t="s">
        <v>139</v>
      </c>
      <c r="F170" s="4" t="s">
        <v>140</v>
      </c>
      <c r="G170" s="4" t="s">
        <v>141</v>
      </c>
      <c r="H170" s="4" t="s">
        <v>90</v>
      </c>
      <c r="I170" s="4">
        <v>9</v>
      </c>
      <c r="J170" s="4" t="s">
        <v>142</v>
      </c>
      <c r="K170" s="4" t="s">
        <v>143</v>
      </c>
      <c r="L170" s="4"/>
      <c r="M170" s="4"/>
      <c r="N170" s="4"/>
      <c r="O170" s="4"/>
      <c r="P170" s="4"/>
      <c r="Q170" s="4"/>
      <c r="R170" s="4"/>
      <c r="S170" s="4"/>
      <c r="T170" s="14"/>
      <c r="U170" s="4" t="s">
        <v>71</v>
      </c>
      <c r="V170" s="4" t="s">
        <v>71</v>
      </c>
      <c r="W170" s="4" t="str">
        <f t="shared" si="2"/>
        <v>NO</v>
      </c>
      <c r="X170" s="4"/>
    </row>
    <row r="171" spans="1:24" ht="46" customHeight="1">
      <c r="A171" s="4" t="s">
        <v>751</v>
      </c>
      <c r="B171" s="4" t="s">
        <v>752</v>
      </c>
      <c r="C171" s="4" t="s">
        <v>715</v>
      </c>
      <c r="D171" s="4" t="s">
        <v>623</v>
      </c>
      <c r="E171" s="4" t="s">
        <v>124</v>
      </c>
      <c r="F171" s="4" t="s">
        <v>248</v>
      </c>
      <c r="G171" s="4" t="s">
        <v>200</v>
      </c>
      <c r="H171" s="4" t="s">
        <v>69</v>
      </c>
      <c r="I171" s="4">
        <v>1</v>
      </c>
      <c r="J171" s="4" t="s">
        <v>201</v>
      </c>
      <c r="K171" s="4" t="s">
        <v>143</v>
      </c>
      <c r="L171" s="4"/>
      <c r="M171" s="4"/>
      <c r="N171" s="4"/>
      <c r="O171" s="4"/>
      <c r="P171" s="4"/>
      <c r="Q171" s="4"/>
      <c r="R171" s="4"/>
      <c r="S171" s="4"/>
      <c r="T171" s="14"/>
      <c r="U171" s="4" t="s">
        <v>71</v>
      </c>
      <c r="V171" s="4" t="s">
        <v>71</v>
      </c>
      <c r="W171" s="4" t="str">
        <f t="shared" si="2"/>
        <v>NO</v>
      </c>
      <c r="X171" s="4"/>
    </row>
    <row r="172" spans="1:24" ht="46" customHeight="1">
      <c r="A172" s="4" t="s">
        <v>753</v>
      </c>
      <c r="B172" s="4" t="s">
        <v>754</v>
      </c>
      <c r="C172" s="4" t="s">
        <v>755</v>
      </c>
      <c r="D172" s="4" t="s">
        <v>224</v>
      </c>
      <c r="E172" s="4" t="s">
        <v>152</v>
      </c>
      <c r="F172" s="4" t="s">
        <v>195</v>
      </c>
      <c r="G172" s="4" t="s">
        <v>141</v>
      </c>
      <c r="H172" s="4" t="s">
        <v>79</v>
      </c>
      <c r="I172" s="4">
        <v>10</v>
      </c>
      <c r="J172" s="4" t="s">
        <v>166</v>
      </c>
      <c r="K172" s="4" t="s">
        <v>143</v>
      </c>
      <c r="L172" s="4"/>
      <c r="M172" s="4"/>
      <c r="N172" s="4"/>
      <c r="O172" s="4"/>
      <c r="P172" s="4"/>
      <c r="Q172" s="4"/>
      <c r="R172" s="4"/>
      <c r="S172" s="4"/>
      <c r="T172" s="14"/>
      <c r="U172" s="4" t="s">
        <v>71</v>
      </c>
      <c r="V172" s="4" t="s">
        <v>71</v>
      </c>
      <c r="W172" s="4" t="str">
        <f t="shared" si="2"/>
        <v>NO</v>
      </c>
      <c r="X172" s="4"/>
    </row>
    <row r="173" spans="1:24" ht="46" customHeight="1">
      <c r="A173" s="4" t="s">
        <v>756</v>
      </c>
      <c r="B173" s="4" t="s">
        <v>757</v>
      </c>
      <c r="C173" s="4" t="s">
        <v>758</v>
      </c>
      <c r="D173" s="4" t="s">
        <v>147</v>
      </c>
      <c r="E173" s="4" t="s">
        <v>152</v>
      </c>
      <c r="F173" s="4" t="s">
        <v>325</v>
      </c>
      <c r="G173" s="4" t="s">
        <v>141</v>
      </c>
      <c r="H173" s="4" t="s">
        <v>75</v>
      </c>
      <c r="I173" s="4">
        <v>14</v>
      </c>
      <c r="J173" s="4" t="s">
        <v>166</v>
      </c>
      <c r="K173" s="4" t="s">
        <v>143</v>
      </c>
      <c r="L173" s="4"/>
      <c r="M173" s="4"/>
      <c r="N173" s="4"/>
      <c r="O173" s="4"/>
      <c r="P173" s="4"/>
      <c r="Q173" s="4"/>
      <c r="R173" s="4"/>
      <c r="S173" s="4"/>
      <c r="T173" s="14"/>
      <c r="U173" s="4" t="s">
        <v>71</v>
      </c>
      <c r="V173" s="4" t="s">
        <v>71</v>
      </c>
      <c r="W173" s="4" t="str">
        <f t="shared" si="2"/>
        <v>NO</v>
      </c>
      <c r="X173" s="4"/>
    </row>
    <row r="174" spans="1:24" ht="46" customHeight="1">
      <c r="A174" s="4" t="s">
        <v>759</v>
      </c>
      <c r="B174" s="4" t="s">
        <v>760</v>
      </c>
      <c r="C174" s="4" t="s">
        <v>761</v>
      </c>
      <c r="D174" s="4" t="s">
        <v>692</v>
      </c>
      <c r="E174" s="4" t="s">
        <v>152</v>
      </c>
      <c r="F174" s="4" t="s">
        <v>195</v>
      </c>
      <c r="G174" s="4" t="s">
        <v>141</v>
      </c>
      <c r="H174" s="4" t="s">
        <v>79</v>
      </c>
      <c r="I174" s="4">
        <v>6</v>
      </c>
      <c r="J174" s="4" t="s">
        <v>166</v>
      </c>
      <c r="K174" s="4" t="s">
        <v>143</v>
      </c>
      <c r="L174" s="4"/>
      <c r="M174" s="4"/>
      <c r="N174" s="4"/>
      <c r="O174" s="4"/>
      <c r="P174" s="4"/>
      <c r="Q174" s="4"/>
      <c r="R174" s="4"/>
      <c r="S174" s="4"/>
      <c r="T174" s="14"/>
      <c r="U174" s="4" t="s">
        <v>71</v>
      </c>
      <c r="V174" s="4" t="s">
        <v>71</v>
      </c>
      <c r="W174" s="4" t="str">
        <f t="shared" si="2"/>
        <v>NO</v>
      </c>
      <c r="X174" s="4"/>
    </row>
    <row r="175" spans="1:24" ht="46" customHeight="1">
      <c r="A175" s="4" t="s">
        <v>762</v>
      </c>
      <c r="B175" s="4" t="s">
        <v>763</v>
      </c>
      <c r="C175" s="4" t="s">
        <v>764</v>
      </c>
      <c r="D175" s="4" t="s">
        <v>439</v>
      </c>
      <c r="E175" s="4" t="s">
        <v>268</v>
      </c>
      <c r="F175" s="4"/>
      <c r="G175" s="4" t="s">
        <v>141</v>
      </c>
      <c r="H175" s="4" t="s">
        <v>92</v>
      </c>
      <c r="I175" s="4">
        <v>9</v>
      </c>
      <c r="J175" s="4" t="s">
        <v>269</v>
      </c>
      <c r="K175" s="4" t="s">
        <v>143</v>
      </c>
      <c r="L175" s="4"/>
      <c r="M175" s="4"/>
      <c r="N175" s="4"/>
      <c r="O175" s="4"/>
      <c r="P175" s="4"/>
      <c r="Q175" s="4"/>
      <c r="R175" s="4"/>
      <c r="S175" s="4"/>
      <c r="T175" s="14"/>
      <c r="U175" s="4" t="s">
        <v>71</v>
      </c>
      <c r="V175" s="4" t="s">
        <v>71</v>
      </c>
      <c r="W175" s="4" t="str">
        <f t="shared" si="2"/>
        <v>NO</v>
      </c>
      <c r="X175" s="4"/>
    </row>
    <row r="176" spans="1:24" ht="46" customHeight="1">
      <c r="A176" s="4" t="s">
        <v>765</v>
      </c>
      <c r="B176" s="4" t="s">
        <v>766</v>
      </c>
      <c r="C176" s="4" t="s">
        <v>767</v>
      </c>
      <c r="D176" s="4" t="s">
        <v>484</v>
      </c>
      <c r="E176" s="4" t="s">
        <v>139</v>
      </c>
      <c r="F176" s="4" t="s">
        <v>140</v>
      </c>
      <c r="G176" s="4" t="s">
        <v>141</v>
      </c>
      <c r="H176" s="4" t="s">
        <v>88</v>
      </c>
      <c r="I176" s="4">
        <v>12</v>
      </c>
      <c r="J176" s="4" t="s">
        <v>142</v>
      </c>
      <c r="K176" s="4" t="s">
        <v>143</v>
      </c>
      <c r="L176" s="4"/>
      <c r="M176" s="4"/>
      <c r="N176" s="4"/>
      <c r="O176" s="4"/>
      <c r="P176" s="4"/>
      <c r="Q176" s="4"/>
      <c r="R176" s="4"/>
      <c r="S176" s="4"/>
      <c r="T176" s="14"/>
      <c r="U176" s="4" t="s">
        <v>71</v>
      </c>
      <c r="V176" s="4" t="s">
        <v>71</v>
      </c>
      <c r="W176" s="4" t="str">
        <f t="shared" si="2"/>
        <v>NO</v>
      </c>
      <c r="X176" s="4"/>
    </row>
    <row r="177" spans="1:24" ht="46" customHeight="1">
      <c r="A177" s="4" t="s">
        <v>768</v>
      </c>
      <c r="B177" s="4" t="s">
        <v>769</v>
      </c>
      <c r="C177" s="4" t="s">
        <v>770</v>
      </c>
      <c r="D177" s="4" t="s">
        <v>147</v>
      </c>
      <c r="E177" s="4" t="s">
        <v>139</v>
      </c>
      <c r="F177" s="4" t="s">
        <v>140</v>
      </c>
      <c r="G177" s="4" t="s">
        <v>141</v>
      </c>
      <c r="H177" s="4" t="s">
        <v>88</v>
      </c>
      <c r="I177" s="4">
        <v>14</v>
      </c>
      <c r="J177" s="4" t="s">
        <v>142</v>
      </c>
      <c r="K177" s="4" t="s">
        <v>143</v>
      </c>
      <c r="L177" s="4"/>
      <c r="M177" s="4"/>
      <c r="N177" s="4"/>
      <c r="O177" s="4"/>
      <c r="P177" s="4"/>
      <c r="Q177" s="4"/>
      <c r="R177" s="4"/>
      <c r="S177" s="4"/>
      <c r="T177" s="14"/>
      <c r="U177" s="4" t="s">
        <v>71</v>
      </c>
      <c r="V177" s="4" t="s">
        <v>71</v>
      </c>
      <c r="W177" s="4" t="str">
        <f t="shared" si="2"/>
        <v>NO</v>
      </c>
      <c r="X177" s="4"/>
    </row>
    <row r="178" spans="1:24" ht="46" customHeight="1">
      <c r="A178" s="4" t="s">
        <v>771</v>
      </c>
      <c r="B178" s="4" t="s">
        <v>772</v>
      </c>
      <c r="C178" s="4" t="s">
        <v>773</v>
      </c>
      <c r="D178" s="4" t="s">
        <v>277</v>
      </c>
      <c r="E178" s="4" t="s">
        <v>124</v>
      </c>
      <c r="F178" s="4" t="s">
        <v>190</v>
      </c>
      <c r="G178" s="4" t="s">
        <v>200</v>
      </c>
      <c r="H178" s="4" t="s">
        <v>69</v>
      </c>
      <c r="I178" s="4">
        <v>9</v>
      </c>
      <c r="J178" s="4" t="s">
        <v>201</v>
      </c>
      <c r="K178" s="4" t="s">
        <v>143</v>
      </c>
      <c r="L178" s="4"/>
      <c r="M178" s="4"/>
      <c r="N178" s="4"/>
      <c r="O178" s="4"/>
      <c r="P178" s="4"/>
      <c r="Q178" s="4"/>
      <c r="R178" s="4"/>
      <c r="S178" s="4"/>
      <c r="T178" s="14"/>
      <c r="U178" s="4" t="s">
        <v>71</v>
      </c>
      <c r="V178" s="4" t="s">
        <v>71</v>
      </c>
      <c r="W178" s="4" t="str">
        <f t="shared" si="2"/>
        <v>NO</v>
      </c>
      <c r="X178" s="4"/>
    </row>
    <row r="179" spans="1:24" ht="46" customHeight="1">
      <c r="A179" s="4" t="s">
        <v>774</v>
      </c>
      <c r="B179" s="4" t="s">
        <v>775</v>
      </c>
      <c r="C179" s="4" t="s">
        <v>776</v>
      </c>
      <c r="D179" s="4" t="s">
        <v>170</v>
      </c>
      <c r="E179" s="4" t="s">
        <v>152</v>
      </c>
      <c r="F179" s="4" t="s">
        <v>325</v>
      </c>
      <c r="G179" s="4" t="s">
        <v>141</v>
      </c>
      <c r="H179" s="4" t="s">
        <v>75</v>
      </c>
      <c r="I179" s="4">
        <v>13</v>
      </c>
      <c r="J179" s="4" t="s">
        <v>166</v>
      </c>
      <c r="K179" s="4" t="s">
        <v>143</v>
      </c>
      <c r="L179" s="4"/>
      <c r="M179" s="4"/>
      <c r="N179" s="4"/>
      <c r="O179" s="4"/>
      <c r="P179" s="4"/>
      <c r="Q179" s="4"/>
      <c r="R179" s="4"/>
      <c r="S179" s="4"/>
      <c r="T179" s="14"/>
      <c r="U179" s="4" t="s">
        <v>71</v>
      </c>
      <c r="V179" s="4" t="s">
        <v>71</v>
      </c>
      <c r="W179" s="4" t="str">
        <f t="shared" si="2"/>
        <v>NO</v>
      </c>
      <c r="X179" s="4"/>
    </row>
    <row r="180" spans="1:24" ht="46" customHeight="1">
      <c r="A180" s="4" t="s">
        <v>777</v>
      </c>
      <c r="B180" s="4" t="s">
        <v>778</v>
      </c>
      <c r="C180" s="4" t="s">
        <v>779</v>
      </c>
      <c r="D180" s="4" t="s">
        <v>373</v>
      </c>
      <c r="E180" s="4" t="s">
        <v>139</v>
      </c>
      <c r="F180" s="4" t="s">
        <v>140</v>
      </c>
      <c r="G180" s="4" t="s">
        <v>141</v>
      </c>
      <c r="H180" s="4" t="s">
        <v>90</v>
      </c>
      <c r="I180" s="4">
        <v>10</v>
      </c>
      <c r="J180" s="4" t="s">
        <v>142</v>
      </c>
      <c r="K180" s="4" t="s">
        <v>143</v>
      </c>
      <c r="L180" s="4"/>
      <c r="M180" s="4"/>
      <c r="N180" s="4"/>
      <c r="O180" s="4"/>
      <c r="P180" s="4"/>
      <c r="Q180" s="4"/>
      <c r="R180" s="4"/>
      <c r="S180" s="4"/>
      <c r="T180" s="14"/>
      <c r="U180" s="4" t="s">
        <v>71</v>
      </c>
      <c r="V180" s="4" t="s">
        <v>71</v>
      </c>
      <c r="W180" s="4" t="str">
        <f t="shared" si="2"/>
        <v>NO</v>
      </c>
      <c r="X180" s="4"/>
    </row>
    <row r="181" spans="1:24" ht="46" customHeight="1">
      <c r="A181" s="4" t="s">
        <v>780</v>
      </c>
      <c r="B181" s="4" t="s">
        <v>781</v>
      </c>
      <c r="C181" s="4" t="s">
        <v>782</v>
      </c>
      <c r="D181" s="4" t="s">
        <v>439</v>
      </c>
      <c r="E181" s="4" t="s">
        <v>139</v>
      </c>
      <c r="F181" s="4" t="s">
        <v>140</v>
      </c>
      <c r="G181" s="4" t="s">
        <v>141</v>
      </c>
      <c r="H181" s="4" t="s">
        <v>90</v>
      </c>
      <c r="I181" s="4">
        <v>6</v>
      </c>
      <c r="J181" s="4" t="s">
        <v>142</v>
      </c>
      <c r="K181" s="4" t="s">
        <v>143</v>
      </c>
      <c r="L181" s="4"/>
      <c r="M181" s="4"/>
      <c r="N181" s="4"/>
      <c r="O181" s="4"/>
      <c r="P181" s="4"/>
      <c r="Q181" s="4"/>
      <c r="R181" s="4"/>
      <c r="S181" s="4"/>
      <c r="T181" s="14"/>
      <c r="U181" s="4" t="s">
        <v>71</v>
      </c>
      <c r="V181" s="4" t="s">
        <v>71</v>
      </c>
      <c r="W181" s="4" t="str">
        <f t="shared" si="2"/>
        <v>NO</v>
      </c>
      <c r="X181" s="4"/>
    </row>
    <row r="182" spans="1:24" ht="46" customHeight="1">
      <c r="A182" s="4" t="s">
        <v>783</v>
      </c>
      <c r="B182" s="4" t="s">
        <v>784</v>
      </c>
      <c r="C182" s="4" t="s">
        <v>785</v>
      </c>
      <c r="D182" s="4" t="s">
        <v>786</v>
      </c>
      <c r="E182" s="4" t="s">
        <v>124</v>
      </c>
      <c r="F182" s="4" t="s">
        <v>140</v>
      </c>
      <c r="G182" s="4" t="s">
        <v>200</v>
      </c>
      <c r="H182" s="4" t="s">
        <v>69</v>
      </c>
      <c r="I182" s="4">
        <v>18</v>
      </c>
      <c r="J182" s="4" t="s">
        <v>201</v>
      </c>
      <c r="K182" s="4" t="s">
        <v>143</v>
      </c>
      <c r="L182" s="4"/>
      <c r="M182" s="4"/>
      <c r="N182" s="4"/>
      <c r="O182" s="4"/>
      <c r="P182" s="4"/>
      <c r="Q182" s="4"/>
      <c r="R182" s="4"/>
      <c r="S182" s="4"/>
      <c r="T182" s="14"/>
      <c r="U182" s="4" t="s">
        <v>71</v>
      </c>
      <c r="V182" s="4" t="s">
        <v>71</v>
      </c>
      <c r="W182" s="4" t="str">
        <f t="shared" si="2"/>
        <v>NO</v>
      </c>
      <c r="X182" s="4"/>
    </row>
    <row r="183" spans="1:24" ht="46" customHeight="1">
      <c r="A183" s="4" t="s">
        <v>787</v>
      </c>
      <c r="B183" s="4" t="s">
        <v>788</v>
      </c>
      <c r="C183" s="4" t="s">
        <v>789</v>
      </c>
      <c r="D183" s="4" t="s">
        <v>147</v>
      </c>
      <c r="E183" s="4" t="s">
        <v>124</v>
      </c>
      <c r="F183" s="4" t="s">
        <v>248</v>
      </c>
      <c r="G183" s="4" t="s">
        <v>200</v>
      </c>
      <c r="H183" s="4" t="s">
        <v>61</v>
      </c>
      <c r="I183" s="4">
        <v>18</v>
      </c>
      <c r="J183" s="4" t="s">
        <v>201</v>
      </c>
      <c r="K183" s="4" t="s">
        <v>143</v>
      </c>
      <c r="L183" s="4"/>
      <c r="M183" s="4"/>
      <c r="N183" s="4"/>
      <c r="O183" s="4"/>
      <c r="P183" s="4"/>
      <c r="Q183" s="4"/>
      <c r="R183" s="4"/>
      <c r="S183" s="4"/>
      <c r="T183" s="14"/>
      <c r="U183" s="4" t="s">
        <v>71</v>
      </c>
      <c r="V183" s="4" t="s">
        <v>71</v>
      </c>
      <c r="W183" s="4" t="str">
        <f t="shared" si="2"/>
        <v>NO</v>
      </c>
      <c r="X183" s="4"/>
    </row>
    <row r="184" spans="1:24" ht="46" customHeight="1">
      <c r="A184" s="4" t="s">
        <v>790</v>
      </c>
      <c r="B184" s="4" t="s">
        <v>791</v>
      </c>
      <c r="C184" s="4" t="s">
        <v>792</v>
      </c>
      <c r="D184" s="4" t="s">
        <v>255</v>
      </c>
      <c r="E184" s="4" t="s">
        <v>139</v>
      </c>
      <c r="F184" s="4" t="s">
        <v>190</v>
      </c>
      <c r="G184" s="4" t="s">
        <v>141</v>
      </c>
      <c r="H184" s="4" t="s">
        <v>88</v>
      </c>
      <c r="I184" s="4">
        <v>2</v>
      </c>
      <c r="J184" s="4" t="s">
        <v>142</v>
      </c>
      <c r="K184" s="4" t="s">
        <v>143</v>
      </c>
      <c r="L184" s="4"/>
      <c r="M184" s="4"/>
      <c r="N184" s="4"/>
      <c r="O184" s="4"/>
      <c r="P184" s="4"/>
      <c r="Q184" s="4"/>
      <c r="R184" s="4"/>
      <c r="S184" s="4"/>
      <c r="T184" s="14"/>
      <c r="U184" s="4" t="s">
        <v>71</v>
      </c>
      <c r="V184" s="4" t="s">
        <v>71</v>
      </c>
      <c r="W184" s="4" t="str">
        <f t="shared" si="2"/>
        <v>NO</v>
      </c>
      <c r="X184" s="4"/>
    </row>
    <row r="185" spans="1:24" ht="46" customHeight="1">
      <c r="A185" s="4" t="s">
        <v>793</v>
      </c>
      <c r="B185" s="4" t="s">
        <v>794</v>
      </c>
      <c r="C185" s="4" t="s">
        <v>795</v>
      </c>
      <c r="D185" s="4" t="s">
        <v>224</v>
      </c>
      <c r="E185" s="4" t="s">
        <v>152</v>
      </c>
      <c r="F185" s="4" t="s">
        <v>195</v>
      </c>
      <c r="G185" s="4" t="s">
        <v>141</v>
      </c>
      <c r="H185" s="4" t="s">
        <v>79</v>
      </c>
      <c r="I185" s="4">
        <v>15</v>
      </c>
      <c r="J185" s="4" t="s">
        <v>166</v>
      </c>
      <c r="K185" s="4" t="s">
        <v>143</v>
      </c>
      <c r="L185" s="4"/>
      <c r="M185" s="4"/>
      <c r="N185" s="4"/>
      <c r="O185" s="4"/>
      <c r="P185" s="4"/>
      <c r="Q185" s="4"/>
      <c r="R185" s="4"/>
      <c r="S185" s="4"/>
      <c r="T185" s="14"/>
      <c r="U185" s="4" t="s">
        <v>71</v>
      </c>
      <c r="V185" s="4" t="s">
        <v>71</v>
      </c>
      <c r="W185" s="4" t="str">
        <f t="shared" si="2"/>
        <v>NO</v>
      </c>
      <c r="X185" s="4"/>
    </row>
    <row r="186" spans="1:24" ht="46" customHeight="1">
      <c r="A186" s="4" t="s">
        <v>796</v>
      </c>
      <c r="B186" s="4" t="s">
        <v>797</v>
      </c>
      <c r="C186" s="4" t="s">
        <v>798</v>
      </c>
      <c r="D186" s="4" t="s">
        <v>277</v>
      </c>
      <c r="E186" s="4" t="s">
        <v>152</v>
      </c>
      <c r="F186" s="4" t="s">
        <v>195</v>
      </c>
      <c r="G186" s="4" t="s">
        <v>141</v>
      </c>
      <c r="H186" s="4" t="s">
        <v>79</v>
      </c>
      <c r="I186" s="4">
        <v>12</v>
      </c>
      <c r="J186" s="4" t="s">
        <v>166</v>
      </c>
      <c r="K186" s="4" t="s">
        <v>143</v>
      </c>
      <c r="L186" s="4"/>
      <c r="M186" s="4"/>
      <c r="N186" s="4"/>
      <c r="O186" s="4"/>
      <c r="P186" s="4"/>
      <c r="Q186" s="4"/>
      <c r="R186" s="4"/>
      <c r="S186" s="4"/>
      <c r="T186" s="14"/>
      <c r="U186" s="4" t="s">
        <v>71</v>
      </c>
      <c r="V186" s="4" t="s">
        <v>71</v>
      </c>
      <c r="W186" s="4" t="str">
        <f t="shared" si="2"/>
        <v>NO</v>
      </c>
      <c r="X186" s="4"/>
    </row>
    <row r="187" spans="1:24" ht="46" customHeight="1">
      <c r="A187" s="4" t="s">
        <v>799</v>
      </c>
      <c r="B187" s="4" t="s">
        <v>800</v>
      </c>
      <c r="C187" s="4" t="s">
        <v>801</v>
      </c>
      <c r="D187" s="4" t="s">
        <v>536</v>
      </c>
      <c r="E187" s="4" t="s">
        <v>152</v>
      </c>
      <c r="F187" s="4" t="s">
        <v>336</v>
      </c>
      <c r="G187" s="4" t="s">
        <v>141</v>
      </c>
      <c r="H187" s="4" t="s">
        <v>79</v>
      </c>
      <c r="I187" s="4">
        <v>16</v>
      </c>
      <c r="J187" s="4" t="s">
        <v>166</v>
      </c>
      <c r="K187" s="4" t="s">
        <v>143</v>
      </c>
      <c r="L187" s="4"/>
      <c r="M187" s="4"/>
      <c r="N187" s="4"/>
      <c r="O187" s="4"/>
      <c r="P187" s="4"/>
      <c r="Q187" s="4"/>
      <c r="R187" s="4"/>
      <c r="S187" s="4"/>
      <c r="T187" s="14"/>
      <c r="U187" s="4" t="s">
        <v>71</v>
      </c>
      <c r="V187" s="4" t="s">
        <v>71</v>
      </c>
      <c r="W187" s="4" t="str">
        <f t="shared" si="2"/>
        <v>NO</v>
      </c>
      <c r="X187" s="4"/>
    </row>
    <row r="188" spans="1:24" ht="46" customHeight="1">
      <c r="A188" s="4" t="s">
        <v>802</v>
      </c>
      <c r="B188" s="4" t="s">
        <v>803</v>
      </c>
      <c r="C188" s="4" t="s">
        <v>804</v>
      </c>
      <c r="D188" s="4" t="s">
        <v>373</v>
      </c>
      <c r="E188" s="4" t="s">
        <v>139</v>
      </c>
      <c r="F188" s="4" t="s">
        <v>140</v>
      </c>
      <c r="G188" s="4" t="s">
        <v>141</v>
      </c>
      <c r="H188" s="4" t="s">
        <v>88</v>
      </c>
      <c r="I188" s="4">
        <v>13</v>
      </c>
      <c r="J188" s="4" t="s">
        <v>142</v>
      </c>
      <c r="K188" s="4" t="s">
        <v>143</v>
      </c>
      <c r="L188" s="4"/>
      <c r="M188" s="4"/>
      <c r="N188" s="4"/>
      <c r="O188" s="4"/>
      <c r="P188" s="4"/>
      <c r="Q188" s="4"/>
      <c r="R188" s="4"/>
      <c r="S188" s="4"/>
      <c r="T188" s="14"/>
      <c r="U188" s="4" t="s">
        <v>71</v>
      </c>
      <c r="V188" s="4" t="s">
        <v>71</v>
      </c>
      <c r="W188" s="4" t="str">
        <f t="shared" si="2"/>
        <v>NO</v>
      </c>
      <c r="X188" s="4"/>
    </row>
    <row r="189" spans="1:24" ht="46" customHeight="1">
      <c r="A189" s="4" t="s">
        <v>805</v>
      </c>
      <c r="B189" s="4" t="s">
        <v>806</v>
      </c>
      <c r="C189" s="4" t="s">
        <v>807</v>
      </c>
      <c r="D189" s="4" t="s">
        <v>504</v>
      </c>
      <c r="E189" s="4" t="s">
        <v>139</v>
      </c>
      <c r="F189" s="4" t="s">
        <v>256</v>
      </c>
      <c r="G189" s="4" t="s">
        <v>141</v>
      </c>
      <c r="H189" s="4" t="s">
        <v>83</v>
      </c>
      <c r="I189" s="4">
        <v>14</v>
      </c>
      <c r="J189" s="4" t="s">
        <v>142</v>
      </c>
      <c r="K189" s="4" t="s">
        <v>143</v>
      </c>
      <c r="L189" s="4"/>
      <c r="M189" s="4"/>
      <c r="N189" s="4"/>
      <c r="O189" s="4"/>
      <c r="P189" s="4"/>
      <c r="Q189" s="4"/>
      <c r="R189" s="4"/>
      <c r="S189" s="4"/>
      <c r="T189" s="14"/>
      <c r="U189" s="4" t="s">
        <v>71</v>
      </c>
      <c r="V189" s="4" t="s">
        <v>71</v>
      </c>
      <c r="W189" s="4" t="str">
        <f t="shared" si="2"/>
        <v>NO</v>
      </c>
      <c r="X189" s="4"/>
    </row>
    <row r="190" spans="1:24" ht="46" customHeight="1">
      <c r="A190" s="4" t="s">
        <v>808</v>
      </c>
      <c r="B190" s="4" t="s">
        <v>809</v>
      </c>
      <c r="C190" s="4" t="s">
        <v>810</v>
      </c>
      <c r="D190" s="4" t="s">
        <v>255</v>
      </c>
      <c r="E190" s="4" t="s">
        <v>139</v>
      </c>
      <c r="F190" s="4" t="s">
        <v>140</v>
      </c>
      <c r="G190" s="4" t="s">
        <v>141</v>
      </c>
      <c r="H190" s="4" t="s">
        <v>88</v>
      </c>
      <c r="I190" s="4">
        <v>9</v>
      </c>
      <c r="J190" s="4" t="s">
        <v>142</v>
      </c>
      <c r="K190" s="4" t="s">
        <v>143</v>
      </c>
      <c r="L190" s="4"/>
      <c r="M190" s="4"/>
      <c r="N190" s="4"/>
      <c r="O190" s="4"/>
      <c r="P190" s="4"/>
      <c r="Q190" s="4"/>
      <c r="R190" s="4"/>
      <c r="S190" s="4"/>
      <c r="T190" s="14"/>
      <c r="U190" s="4" t="s">
        <v>71</v>
      </c>
      <c r="V190" s="4" t="s">
        <v>71</v>
      </c>
      <c r="W190" s="4" t="str">
        <f t="shared" si="2"/>
        <v>NO</v>
      </c>
      <c r="X190" s="4"/>
    </row>
    <row r="191" spans="1:24" ht="46" customHeight="1">
      <c r="A191" s="4" t="s">
        <v>811</v>
      </c>
      <c r="B191" s="4" t="s">
        <v>812</v>
      </c>
      <c r="C191" s="4" t="s">
        <v>813</v>
      </c>
      <c r="D191" s="4" t="s">
        <v>603</v>
      </c>
      <c r="E191" s="4" t="s">
        <v>124</v>
      </c>
      <c r="F191" s="4" t="s">
        <v>125</v>
      </c>
      <c r="G191" s="4" t="s">
        <v>200</v>
      </c>
      <c r="H191" s="4" t="s">
        <v>58</v>
      </c>
      <c r="I191" s="4">
        <v>16</v>
      </c>
      <c r="J191" s="4" t="s">
        <v>201</v>
      </c>
      <c r="K191" s="4" t="s">
        <v>143</v>
      </c>
      <c r="L191" s="4"/>
      <c r="M191" s="4"/>
      <c r="N191" s="4"/>
      <c r="O191" s="4"/>
      <c r="P191" s="4"/>
      <c r="Q191" s="4"/>
      <c r="R191" s="4"/>
      <c r="S191" s="4"/>
      <c r="T191" s="14"/>
      <c r="U191" s="4" t="s">
        <v>71</v>
      </c>
      <c r="V191" s="4" t="s">
        <v>71</v>
      </c>
      <c r="W191" s="4" t="str">
        <f t="shared" si="2"/>
        <v>NO</v>
      </c>
      <c r="X191" s="4"/>
    </row>
    <row r="192" spans="1:24" ht="46" customHeight="1">
      <c r="A192" s="4" t="s">
        <v>814</v>
      </c>
      <c r="B192" s="4" t="s">
        <v>815</v>
      </c>
      <c r="C192" s="4" t="s">
        <v>816</v>
      </c>
      <c r="D192" s="4" t="s">
        <v>603</v>
      </c>
      <c r="E192" s="4" t="s">
        <v>139</v>
      </c>
      <c r="F192" s="4" t="s">
        <v>389</v>
      </c>
      <c r="G192" s="4" t="s">
        <v>141</v>
      </c>
      <c r="H192" s="4" t="s">
        <v>86</v>
      </c>
      <c r="I192" s="4">
        <v>2</v>
      </c>
      <c r="J192" s="4" t="s">
        <v>142</v>
      </c>
      <c r="K192" s="4" t="s">
        <v>143</v>
      </c>
      <c r="L192" s="4"/>
      <c r="M192" s="4"/>
      <c r="N192" s="4"/>
      <c r="O192" s="4"/>
      <c r="P192" s="4"/>
      <c r="Q192" s="4"/>
      <c r="R192" s="4"/>
      <c r="S192" s="4"/>
      <c r="T192" s="14"/>
      <c r="U192" s="4" t="s">
        <v>71</v>
      </c>
      <c r="V192" s="4" t="s">
        <v>71</v>
      </c>
      <c r="W192" s="4" t="str">
        <f t="shared" si="2"/>
        <v>NO</v>
      </c>
      <c r="X192" s="4"/>
    </row>
    <row r="193" spans="1:24" ht="46" customHeight="1">
      <c r="A193" s="4" t="s">
        <v>817</v>
      </c>
      <c r="B193" s="4" t="s">
        <v>818</v>
      </c>
      <c r="C193" s="4" t="s">
        <v>819</v>
      </c>
      <c r="D193" s="4" t="s">
        <v>255</v>
      </c>
      <c r="E193" s="4" t="s">
        <v>139</v>
      </c>
      <c r="F193" s="4" t="s">
        <v>248</v>
      </c>
      <c r="G193" s="4" t="s">
        <v>141</v>
      </c>
      <c r="H193" s="4" t="s">
        <v>86</v>
      </c>
      <c r="I193" s="4">
        <v>5</v>
      </c>
      <c r="J193" s="4" t="s">
        <v>142</v>
      </c>
      <c r="K193" s="4" t="s">
        <v>143</v>
      </c>
      <c r="L193" s="4"/>
      <c r="M193" s="4"/>
      <c r="N193" s="4"/>
      <c r="O193" s="4"/>
      <c r="P193" s="4"/>
      <c r="Q193" s="4"/>
      <c r="R193" s="4"/>
      <c r="S193" s="4"/>
      <c r="T193" s="14"/>
      <c r="U193" s="4" t="s">
        <v>71</v>
      </c>
      <c r="V193" s="4" t="s">
        <v>71</v>
      </c>
      <c r="W193" s="4" t="str">
        <f t="shared" si="2"/>
        <v>NO</v>
      </c>
      <c r="X193" s="4"/>
    </row>
    <row r="194" spans="1:24" ht="46" customHeight="1">
      <c r="A194" s="4" t="s">
        <v>820</v>
      </c>
      <c r="B194" s="4" t="s">
        <v>821</v>
      </c>
      <c r="C194" s="4" t="s">
        <v>822</v>
      </c>
      <c r="D194" s="4" t="s">
        <v>692</v>
      </c>
      <c r="E194" s="4" t="s">
        <v>139</v>
      </c>
      <c r="F194" s="4" t="s">
        <v>278</v>
      </c>
      <c r="G194" s="4" t="s">
        <v>141</v>
      </c>
      <c r="H194" s="4" t="s">
        <v>88</v>
      </c>
      <c r="I194" s="4">
        <v>8</v>
      </c>
      <c r="J194" s="4" t="s">
        <v>142</v>
      </c>
      <c r="K194" s="4" t="s">
        <v>143</v>
      </c>
      <c r="L194" s="4"/>
      <c r="M194" s="4"/>
      <c r="N194" s="4"/>
      <c r="O194" s="4"/>
      <c r="P194" s="4"/>
      <c r="Q194" s="4"/>
      <c r="R194" s="4"/>
      <c r="S194" s="4"/>
      <c r="T194" s="14"/>
      <c r="U194" s="4" t="s">
        <v>71</v>
      </c>
      <c r="V194" s="4" t="s">
        <v>71</v>
      </c>
      <c r="W194" s="4" t="str">
        <f t="shared" si="2"/>
        <v>NO</v>
      </c>
      <c r="X194" s="4"/>
    </row>
    <row r="195" spans="1:24" ht="46" customHeight="1">
      <c r="A195" s="4" t="s">
        <v>823</v>
      </c>
      <c r="B195" s="4" t="s">
        <v>824</v>
      </c>
      <c r="C195" s="4" t="s">
        <v>825</v>
      </c>
      <c r="D195" s="4" t="s">
        <v>260</v>
      </c>
      <c r="E195" s="4" t="s">
        <v>139</v>
      </c>
      <c r="F195" s="4" t="s">
        <v>190</v>
      </c>
      <c r="G195" s="4" t="s">
        <v>141</v>
      </c>
      <c r="H195" s="4" t="s">
        <v>88</v>
      </c>
      <c r="I195" s="4">
        <v>1</v>
      </c>
      <c r="J195" s="4" t="s">
        <v>142</v>
      </c>
      <c r="K195" s="4" t="s">
        <v>143</v>
      </c>
      <c r="L195" s="4"/>
      <c r="M195" s="4"/>
      <c r="N195" s="4"/>
      <c r="O195" s="4"/>
      <c r="P195" s="4"/>
      <c r="Q195" s="4"/>
      <c r="R195" s="4"/>
      <c r="S195" s="4"/>
      <c r="T195" s="14"/>
      <c r="U195" s="4" t="s">
        <v>71</v>
      </c>
      <c r="V195" s="4" t="s">
        <v>71</v>
      </c>
      <c r="W195" s="4" t="str">
        <f t="shared" si="2"/>
        <v>NO</v>
      </c>
      <c r="X195" s="4"/>
    </row>
    <row r="196" spans="1:24" ht="46" customHeight="1">
      <c r="A196" s="4" t="s">
        <v>826</v>
      </c>
      <c r="B196" s="4" t="s">
        <v>827</v>
      </c>
      <c r="C196" s="4" t="s">
        <v>828</v>
      </c>
      <c r="D196" s="4" t="s">
        <v>484</v>
      </c>
      <c r="E196" s="4" t="s">
        <v>124</v>
      </c>
      <c r="F196" s="4" t="s">
        <v>383</v>
      </c>
      <c r="G196" s="4" t="s">
        <v>200</v>
      </c>
      <c r="H196" s="4" t="s">
        <v>58</v>
      </c>
      <c r="I196" s="4">
        <v>1</v>
      </c>
      <c r="J196" s="4" t="s">
        <v>201</v>
      </c>
      <c r="K196" s="4" t="s">
        <v>143</v>
      </c>
      <c r="L196" s="4"/>
      <c r="M196" s="4"/>
      <c r="N196" s="4"/>
      <c r="O196" s="4"/>
      <c r="P196" s="4"/>
      <c r="Q196" s="4"/>
      <c r="R196" s="4"/>
      <c r="S196" s="4"/>
      <c r="T196" s="14"/>
      <c r="U196" s="4" t="s">
        <v>71</v>
      </c>
      <c r="V196" s="4" t="s">
        <v>71</v>
      </c>
      <c r="W196" s="4" t="str">
        <f t="shared" si="2"/>
        <v>NO</v>
      </c>
      <c r="X196" s="4"/>
    </row>
    <row r="197" spans="1:24" ht="46" customHeight="1">
      <c r="A197" s="4" t="s">
        <v>829</v>
      </c>
      <c r="B197" s="4" t="s">
        <v>830</v>
      </c>
      <c r="C197" s="4" t="s">
        <v>831</v>
      </c>
      <c r="D197" s="4" t="s">
        <v>484</v>
      </c>
      <c r="E197" s="4" t="s">
        <v>152</v>
      </c>
      <c r="F197" s="4" t="s">
        <v>195</v>
      </c>
      <c r="G197" s="4" t="s">
        <v>141</v>
      </c>
      <c r="H197" s="4" t="s">
        <v>79</v>
      </c>
      <c r="I197" s="4">
        <v>11</v>
      </c>
      <c r="J197" s="4" t="s">
        <v>166</v>
      </c>
      <c r="K197" s="4" t="s">
        <v>143</v>
      </c>
      <c r="L197" s="4"/>
      <c r="M197" s="4"/>
      <c r="N197" s="4"/>
      <c r="O197" s="4"/>
      <c r="P197" s="4"/>
      <c r="Q197" s="4"/>
      <c r="R197" s="4"/>
      <c r="S197" s="4"/>
      <c r="T197" s="14"/>
      <c r="U197" s="4" t="s">
        <v>71</v>
      </c>
      <c r="V197" s="4" t="s">
        <v>71</v>
      </c>
      <c r="W197" s="4" t="str">
        <f t="shared" ref="W197:W260" si="3">IF(OR(AND(K197="confirmada",L197&lt;&gt;"",N197&lt;&gt;"",O197&lt;&gt;"",P197&lt;&gt;"",Q197&lt;&gt;"",R197&lt;&gt;"",S197&lt;&gt;"",T197&lt;&gt;"",U197="pasa",V197="aprobada",OR(X197="",X197="—")),AND(K197="revisada_redireccion",Q197&lt;&gt;"",R197&lt;&gt;"",S197&lt;&gt;"",T197&lt;&gt;"",U197="pasa",V197="aprobada",OR(X197="",X197="—"))),"SÍ","NO")</f>
        <v>NO</v>
      </c>
      <c r="X197" s="4"/>
    </row>
    <row r="198" spans="1:24" ht="46" customHeight="1">
      <c r="A198" s="4" t="s">
        <v>832</v>
      </c>
      <c r="B198" s="4" t="s">
        <v>833</v>
      </c>
      <c r="C198" s="4" t="s">
        <v>834</v>
      </c>
      <c r="D198" s="4" t="s">
        <v>692</v>
      </c>
      <c r="E198" s="4" t="s">
        <v>124</v>
      </c>
      <c r="F198" s="4" t="s">
        <v>383</v>
      </c>
      <c r="G198" s="4" t="s">
        <v>200</v>
      </c>
      <c r="H198" s="4" t="s">
        <v>58</v>
      </c>
      <c r="I198" s="4">
        <v>11</v>
      </c>
      <c r="J198" s="4" t="s">
        <v>201</v>
      </c>
      <c r="K198" s="4" t="s">
        <v>143</v>
      </c>
      <c r="L198" s="4"/>
      <c r="M198" s="4"/>
      <c r="N198" s="4"/>
      <c r="O198" s="4"/>
      <c r="P198" s="4"/>
      <c r="Q198" s="4"/>
      <c r="R198" s="4"/>
      <c r="S198" s="4"/>
      <c r="T198" s="14"/>
      <c r="U198" s="4" t="s">
        <v>71</v>
      </c>
      <c r="V198" s="4" t="s">
        <v>71</v>
      </c>
      <c r="W198" s="4" t="str">
        <f t="shared" si="3"/>
        <v>NO</v>
      </c>
      <c r="X198" s="4"/>
    </row>
    <row r="199" spans="1:24" ht="46" customHeight="1">
      <c r="A199" s="4" t="s">
        <v>835</v>
      </c>
      <c r="B199" s="4" t="s">
        <v>836</v>
      </c>
      <c r="C199" s="4" t="s">
        <v>837</v>
      </c>
      <c r="D199" s="4" t="s">
        <v>209</v>
      </c>
      <c r="E199" s="4" t="s">
        <v>139</v>
      </c>
      <c r="F199" s="4" t="s">
        <v>140</v>
      </c>
      <c r="G199" s="4" t="s">
        <v>141</v>
      </c>
      <c r="H199" s="4" t="s">
        <v>88</v>
      </c>
      <c r="I199" s="4">
        <v>10</v>
      </c>
      <c r="J199" s="4" t="s">
        <v>142</v>
      </c>
      <c r="K199" s="4" t="s">
        <v>143</v>
      </c>
      <c r="L199" s="4"/>
      <c r="M199" s="4"/>
      <c r="N199" s="4"/>
      <c r="O199" s="4"/>
      <c r="P199" s="4"/>
      <c r="Q199" s="4"/>
      <c r="R199" s="4"/>
      <c r="S199" s="4"/>
      <c r="T199" s="14"/>
      <c r="U199" s="4" t="s">
        <v>71</v>
      </c>
      <c r="V199" s="4" t="s">
        <v>71</v>
      </c>
      <c r="W199" s="4" t="str">
        <f t="shared" si="3"/>
        <v>NO</v>
      </c>
      <c r="X199" s="4"/>
    </row>
    <row r="200" spans="1:24" ht="46" customHeight="1">
      <c r="A200" s="4" t="s">
        <v>838</v>
      </c>
      <c r="B200" s="4" t="s">
        <v>839</v>
      </c>
      <c r="C200" s="4" t="s">
        <v>840</v>
      </c>
      <c r="D200" s="4" t="s">
        <v>170</v>
      </c>
      <c r="E200" s="4" t="s">
        <v>139</v>
      </c>
      <c r="F200" s="4" t="s">
        <v>190</v>
      </c>
      <c r="G200" s="4" t="s">
        <v>141</v>
      </c>
      <c r="H200" s="4" t="s">
        <v>86</v>
      </c>
      <c r="I200" s="4">
        <v>15</v>
      </c>
      <c r="J200" s="4" t="s">
        <v>142</v>
      </c>
      <c r="K200" s="4" t="s">
        <v>143</v>
      </c>
      <c r="L200" s="4"/>
      <c r="M200" s="4"/>
      <c r="N200" s="4"/>
      <c r="O200" s="4"/>
      <c r="P200" s="4"/>
      <c r="Q200" s="4"/>
      <c r="R200" s="4"/>
      <c r="S200" s="4"/>
      <c r="T200" s="14"/>
      <c r="U200" s="4" t="s">
        <v>71</v>
      </c>
      <c r="V200" s="4" t="s">
        <v>71</v>
      </c>
      <c r="W200" s="4" t="str">
        <f t="shared" si="3"/>
        <v>NO</v>
      </c>
      <c r="X200" s="4"/>
    </row>
    <row r="201" spans="1:24" ht="46" customHeight="1">
      <c r="A201" s="4" t="s">
        <v>841</v>
      </c>
      <c r="B201" s="4" t="s">
        <v>842</v>
      </c>
      <c r="C201" s="4" t="s">
        <v>843</v>
      </c>
      <c r="D201" s="4" t="s">
        <v>273</v>
      </c>
      <c r="E201" s="4" t="s">
        <v>152</v>
      </c>
      <c r="F201" s="4" t="s">
        <v>278</v>
      </c>
      <c r="G201" s="4" t="s">
        <v>141</v>
      </c>
      <c r="H201" s="4" t="s">
        <v>81</v>
      </c>
      <c r="I201" s="4">
        <v>5</v>
      </c>
      <c r="J201" s="4" t="s">
        <v>166</v>
      </c>
      <c r="K201" s="4" t="s">
        <v>143</v>
      </c>
      <c r="L201" s="4"/>
      <c r="M201" s="4"/>
      <c r="N201" s="4"/>
      <c r="O201" s="4"/>
      <c r="P201" s="4"/>
      <c r="Q201" s="4"/>
      <c r="R201" s="4"/>
      <c r="S201" s="4"/>
      <c r="T201" s="14"/>
      <c r="U201" s="4" t="s">
        <v>71</v>
      </c>
      <c r="V201" s="4" t="s">
        <v>71</v>
      </c>
      <c r="W201" s="4" t="str">
        <f t="shared" si="3"/>
        <v>NO</v>
      </c>
      <c r="X201" s="4"/>
    </row>
    <row r="202" spans="1:24" ht="46" customHeight="1">
      <c r="A202" s="4" t="s">
        <v>844</v>
      </c>
      <c r="B202" s="4" t="s">
        <v>845</v>
      </c>
      <c r="C202" s="4" t="s">
        <v>846</v>
      </c>
      <c r="D202" s="4" t="s">
        <v>847</v>
      </c>
      <c r="E202" s="4" t="s">
        <v>124</v>
      </c>
      <c r="F202" s="4" t="s">
        <v>125</v>
      </c>
      <c r="G202" s="4" t="s">
        <v>423</v>
      </c>
      <c r="H202" s="4" t="s">
        <v>55</v>
      </c>
      <c r="I202" s="4">
        <v>2</v>
      </c>
      <c r="J202" s="4" t="s">
        <v>185</v>
      </c>
      <c r="K202" s="4" t="s">
        <v>143</v>
      </c>
      <c r="L202" s="4"/>
      <c r="M202" s="4"/>
      <c r="N202" s="4"/>
      <c r="O202" s="4"/>
      <c r="P202" s="4"/>
      <c r="Q202" s="4"/>
      <c r="R202" s="4"/>
      <c r="S202" s="4"/>
      <c r="T202" s="14"/>
      <c r="U202" s="4" t="s">
        <v>71</v>
      </c>
      <c r="V202" s="4" t="s">
        <v>71</v>
      </c>
      <c r="W202" s="4" t="str">
        <f t="shared" si="3"/>
        <v>NO</v>
      </c>
      <c r="X202" s="4"/>
    </row>
    <row r="203" spans="1:24" ht="46" customHeight="1">
      <c r="A203" s="4" t="s">
        <v>848</v>
      </c>
      <c r="B203" s="4" t="s">
        <v>849</v>
      </c>
      <c r="C203" s="4" t="s">
        <v>850</v>
      </c>
      <c r="D203" s="4" t="s">
        <v>454</v>
      </c>
      <c r="E203" s="4" t="s">
        <v>152</v>
      </c>
      <c r="F203" s="4" t="s">
        <v>240</v>
      </c>
      <c r="G203" s="4" t="s">
        <v>174</v>
      </c>
      <c r="H203" s="4" t="s">
        <v>55</v>
      </c>
      <c r="I203" s="4">
        <v>10</v>
      </c>
      <c r="J203" s="4" t="s">
        <v>185</v>
      </c>
      <c r="K203" s="4" t="s">
        <v>143</v>
      </c>
      <c r="L203" s="4"/>
      <c r="M203" s="4"/>
      <c r="N203" s="4"/>
      <c r="O203" s="4"/>
      <c r="P203" s="4"/>
      <c r="Q203" s="4"/>
      <c r="R203" s="4"/>
      <c r="S203" s="4"/>
      <c r="T203" s="14"/>
      <c r="U203" s="4" t="s">
        <v>71</v>
      </c>
      <c r="V203" s="4" t="s">
        <v>71</v>
      </c>
      <c r="W203" s="4" t="str">
        <f t="shared" si="3"/>
        <v>NO</v>
      </c>
      <c r="X203" s="4"/>
    </row>
    <row r="204" spans="1:24" ht="46" customHeight="1">
      <c r="A204" s="4" t="s">
        <v>851</v>
      </c>
      <c r="B204" s="4" t="s">
        <v>852</v>
      </c>
      <c r="C204" s="4" t="s">
        <v>853</v>
      </c>
      <c r="D204" s="4" t="s">
        <v>147</v>
      </c>
      <c r="E204" s="4" t="s">
        <v>152</v>
      </c>
      <c r="F204" s="4" t="s">
        <v>854</v>
      </c>
      <c r="G204" s="4" t="s">
        <v>141</v>
      </c>
      <c r="H204" s="4" t="s">
        <v>77</v>
      </c>
      <c r="I204" s="4">
        <v>7</v>
      </c>
      <c r="J204" s="4" t="s">
        <v>166</v>
      </c>
      <c r="K204" s="4" t="s">
        <v>143</v>
      </c>
      <c r="L204" s="4"/>
      <c r="M204" s="4"/>
      <c r="N204" s="4"/>
      <c r="O204" s="4"/>
      <c r="P204" s="4"/>
      <c r="Q204" s="4"/>
      <c r="R204" s="4"/>
      <c r="S204" s="4"/>
      <c r="T204" s="14"/>
      <c r="U204" s="4" t="s">
        <v>71</v>
      </c>
      <c r="V204" s="4" t="s">
        <v>71</v>
      </c>
      <c r="W204" s="4" t="str">
        <f t="shared" si="3"/>
        <v>NO</v>
      </c>
      <c r="X204" s="4"/>
    </row>
    <row r="205" spans="1:24" ht="46" customHeight="1">
      <c r="A205" s="4" t="s">
        <v>855</v>
      </c>
      <c r="B205" s="4" t="s">
        <v>288</v>
      </c>
      <c r="C205" s="4" t="s">
        <v>856</v>
      </c>
      <c r="D205" s="4" t="s">
        <v>290</v>
      </c>
      <c r="E205" s="4" t="s">
        <v>124</v>
      </c>
      <c r="F205" s="4" t="s">
        <v>125</v>
      </c>
      <c r="G205" s="4" t="s">
        <v>291</v>
      </c>
      <c r="H205" s="4" t="s">
        <v>48</v>
      </c>
      <c r="I205" s="4">
        <v>6</v>
      </c>
      <c r="J205" s="4" t="s">
        <v>127</v>
      </c>
      <c r="K205" s="4" t="s">
        <v>857</v>
      </c>
      <c r="L205" s="4"/>
      <c r="M205" s="4"/>
      <c r="N205" s="4"/>
      <c r="O205" s="4" t="s">
        <v>858</v>
      </c>
      <c r="P205" s="4"/>
      <c r="Q205" s="4" t="s">
        <v>859</v>
      </c>
      <c r="R205" s="4" t="s">
        <v>860</v>
      </c>
      <c r="S205" s="4" t="s">
        <v>131</v>
      </c>
      <c r="T205" s="14">
        <v>46242</v>
      </c>
      <c r="U205" s="4" t="s">
        <v>132</v>
      </c>
      <c r="V205" s="4" t="s">
        <v>133</v>
      </c>
      <c r="W205" s="4" t="str">
        <f t="shared" si="3"/>
        <v>SÍ</v>
      </c>
      <c r="X205" s="4" t="s">
        <v>52</v>
      </c>
    </row>
    <row r="206" spans="1:24" ht="46" customHeight="1">
      <c r="A206" s="4" t="s">
        <v>861</v>
      </c>
      <c r="B206" s="4" t="s">
        <v>862</v>
      </c>
      <c r="C206" s="4" t="s">
        <v>863</v>
      </c>
      <c r="D206" s="4" t="s">
        <v>536</v>
      </c>
      <c r="E206" s="4" t="s">
        <v>268</v>
      </c>
      <c r="F206" s="4"/>
      <c r="G206" s="4" t="s">
        <v>141</v>
      </c>
      <c r="H206" s="4" t="s">
        <v>92</v>
      </c>
      <c r="I206" s="4">
        <v>5</v>
      </c>
      <c r="J206" s="4" t="s">
        <v>269</v>
      </c>
      <c r="K206" s="4" t="s">
        <v>143</v>
      </c>
      <c r="L206" s="4"/>
      <c r="M206" s="4"/>
      <c r="N206" s="4"/>
      <c r="O206" s="4"/>
      <c r="P206" s="4"/>
      <c r="Q206" s="4"/>
      <c r="R206" s="4"/>
      <c r="S206" s="4"/>
      <c r="T206" s="14"/>
      <c r="U206" s="4" t="s">
        <v>71</v>
      </c>
      <c r="V206" s="4" t="s">
        <v>71</v>
      </c>
      <c r="W206" s="4" t="str">
        <f t="shared" si="3"/>
        <v>NO</v>
      </c>
      <c r="X206" s="4"/>
    </row>
    <row r="207" spans="1:24" ht="46" customHeight="1">
      <c r="A207" s="4" t="s">
        <v>864</v>
      </c>
      <c r="B207" s="4" t="s">
        <v>865</v>
      </c>
      <c r="C207" s="4" t="s">
        <v>866</v>
      </c>
      <c r="D207" s="4" t="s">
        <v>370</v>
      </c>
      <c r="E207" s="4" t="s">
        <v>152</v>
      </c>
      <c r="F207" s="4" t="s">
        <v>412</v>
      </c>
      <c r="G207" s="4" t="s">
        <v>141</v>
      </c>
      <c r="H207" s="4" t="s">
        <v>72</v>
      </c>
      <c r="I207" s="4">
        <v>10</v>
      </c>
      <c r="J207" s="4" t="s">
        <v>166</v>
      </c>
      <c r="K207" s="4" t="s">
        <v>143</v>
      </c>
      <c r="L207" s="4"/>
      <c r="M207" s="4"/>
      <c r="N207" s="4"/>
      <c r="O207" s="4"/>
      <c r="P207" s="4"/>
      <c r="Q207" s="4"/>
      <c r="R207" s="4"/>
      <c r="S207" s="4"/>
      <c r="T207" s="14"/>
      <c r="U207" s="4" t="s">
        <v>71</v>
      </c>
      <c r="V207" s="4" t="s">
        <v>71</v>
      </c>
      <c r="W207" s="4" t="str">
        <f t="shared" si="3"/>
        <v>NO</v>
      </c>
      <c r="X207" s="4"/>
    </row>
    <row r="208" spans="1:24" ht="46" customHeight="1">
      <c r="A208" s="4" t="s">
        <v>867</v>
      </c>
      <c r="B208" s="4" t="s">
        <v>868</v>
      </c>
      <c r="C208" s="4" t="s">
        <v>869</v>
      </c>
      <c r="D208" s="4" t="s">
        <v>870</v>
      </c>
      <c r="E208" s="4" t="s">
        <v>139</v>
      </c>
      <c r="F208" s="4" t="s">
        <v>125</v>
      </c>
      <c r="G208" s="4" t="s">
        <v>141</v>
      </c>
      <c r="H208" s="4" t="s">
        <v>48</v>
      </c>
      <c r="I208" s="4">
        <v>8</v>
      </c>
      <c r="J208" s="4" t="s">
        <v>127</v>
      </c>
      <c r="K208" s="4" t="s">
        <v>154</v>
      </c>
      <c r="L208" s="4" t="s">
        <v>871</v>
      </c>
      <c r="M208" s="4" t="s">
        <v>292</v>
      </c>
      <c r="N208" s="4" t="s">
        <v>872</v>
      </c>
      <c r="O208" s="4" t="s">
        <v>873</v>
      </c>
      <c r="P208" s="4"/>
      <c r="Q208" s="4" t="s">
        <v>874</v>
      </c>
      <c r="R208" s="4" t="s">
        <v>875</v>
      </c>
      <c r="S208" s="4" t="s">
        <v>131</v>
      </c>
      <c r="T208" s="14">
        <v>46242</v>
      </c>
      <c r="U208" s="4" t="s">
        <v>132</v>
      </c>
      <c r="V208" s="4" t="s">
        <v>133</v>
      </c>
      <c r="W208" s="4" t="str">
        <f t="shared" si="3"/>
        <v>NO</v>
      </c>
      <c r="X208" s="4" t="s">
        <v>876</v>
      </c>
    </row>
    <row r="209" spans="1:24" ht="46" customHeight="1">
      <c r="A209" s="4" t="s">
        <v>877</v>
      </c>
      <c r="B209" s="4" t="s">
        <v>878</v>
      </c>
      <c r="C209" s="4" t="s">
        <v>879</v>
      </c>
      <c r="D209" s="4" t="s">
        <v>880</v>
      </c>
      <c r="E209" s="4" t="s">
        <v>152</v>
      </c>
      <c r="F209" s="4" t="s">
        <v>195</v>
      </c>
      <c r="G209" s="4" t="s">
        <v>141</v>
      </c>
      <c r="H209" s="4" t="s">
        <v>79</v>
      </c>
      <c r="I209" s="4">
        <v>5</v>
      </c>
      <c r="J209" s="4" t="s">
        <v>166</v>
      </c>
      <c r="K209" s="4" t="s">
        <v>143</v>
      </c>
      <c r="L209" s="4"/>
      <c r="M209" s="4"/>
      <c r="N209" s="4"/>
      <c r="O209" s="4"/>
      <c r="P209" s="4"/>
      <c r="Q209" s="4"/>
      <c r="R209" s="4"/>
      <c r="S209" s="4"/>
      <c r="T209" s="14"/>
      <c r="U209" s="4" t="s">
        <v>71</v>
      </c>
      <c r="V209" s="4" t="s">
        <v>71</v>
      </c>
      <c r="W209" s="4" t="str">
        <f t="shared" si="3"/>
        <v>NO</v>
      </c>
      <c r="X209" s="4"/>
    </row>
    <row r="210" spans="1:24" ht="46" customHeight="1">
      <c r="A210" s="4" t="s">
        <v>881</v>
      </c>
      <c r="B210" s="4" t="s">
        <v>882</v>
      </c>
      <c r="C210" s="4" t="s">
        <v>883</v>
      </c>
      <c r="D210" s="4" t="s">
        <v>884</v>
      </c>
      <c r="E210" s="4" t="s">
        <v>139</v>
      </c>
      <c r="F210" s="4" t="s">
        <v>190</v>
      </c>
      <c r="G210" s="4" t="s">
        <v>141</v>
      </c>
      <c r="H210" s="4" t="s">
        <v>88</v>
      </c>
      <c r="I210" s="4">
        <v>7</v>
      </c>
      <c r="J210" s="4" t="s">
        <v>142</v>
      </c>
      <c r="K210" s="4" t="s">
        <v>143</v>
      </c>
      <c r="L210" s="4"/>
      <c r="M210" s="4"/>
      <c r="N210" s="4"/>
      <c r="O210" s="4"/>
      <c r="P210" s="4"/>
      <c r="Q210" s="4"/>
      <c r="R210" s="4"/>
      <c r="S210" s="4"/>
      <c r="T210" s="14"/>
      <c r="U210" s="4" t="s">
        <v>71</v>
      </c>
      <c r="V210" s="4" t="s">
        <v>71</v>
      </c>
      <c r="W210" s="4" t="str">
        <f t="shared" si="3"/>
        <v>NO</v>
      </c>
      <c r="X210" s="4"/>
    </row>
    <row r="211" spans="1:24" ht="46" customHeight="1">
      <c r="A211" s="4" t="s">
        <v>885</v>
      </c>
      <c r="B211" s="4" t="s">
        <v>886</v>
      </c>
      <c r="C211" s="4" t="s">
        <v>887</v>
      </c>
      <c r="D211" s="4" t="s">
        <v>888</v>
      </c>
      <c r="E211" s="4" t="s">
        <v>152</v>
      </c>
      <c r="F211" s="4" t="s">
        <v>485</v>
      </c>
      <c r="G211" s="4" t="s">
        <v>141</v>
      </c>
      <c r="H211" s="4" t="s">
        <v>72</v>
      </c>
      <c r="I211" s="4">
        <v>9</v>
      </c>
      <c r="J211" s="4" t="s">
        <v>166</v>
      </c>
      <c r="K211" s="4" t="s">
        <v>143</v>
      </c>
      <c r="L211" s="4"/>
      <c r="M211" s="4"/>
      <c r="N211" s="4"/>
      <c r="O211" s="4"/>
      <c r="P211" s="4"/>
      <c r="Q211" s="4"/>
      <c r="R211" s="4"/>
      <c r="S211" s="4"/>
      <c r="T211" s="14"/>
      <c r="U211" s="4" t="s">
        <v>71</v>
      </c>
      <c r="V211" s="4" t="s">
        <v>71</v>
      </c>
      <c r="W211" s="4" t="str">
        <f t="shared" si="3"/>
        <v>NO</v>
      </c>
      <c r="X211" s="4"/>
    </row>
    <row r="212" spans="1:24" ht="46" customHeight="1">
      <c r="A212" s="4" t="s">
        <v>889</v>
      </c>
      <c r="B212" s="4" t="s">
        <v>890</v>
      </c>
      <c r="C212" s="4" t="s">
        <v>891</v>
      </c>
      <c r="D212" s="4" t="s">
        <v>892</v>
      </c>
      <c r="E212" s="4" t="s">
        <v>152</v>
      </c>
      <c r="F212" s="4" t="s">
        <v>893</v>
      </c>
      <c r="G212" s="4" t="s">
        <v>141</v>
      </c>
      <c r="H212" s="4" t="s">
        <v>72</v>
      </c>
      <c r="I212" s="4">
        <v>1</v>
      </c>
      <c r="J212" s="4" t="s">
        <v>166</v>
      </c>
      <c r="K212" s="4" t="s">
        <v>143</v>
      </c>
      <c r="L212" s="4"/>
      <c r="M212" s="4"/>
      <c r="N212" s="4"/>
      <c r="O212" s="4"/>
      <c r="P212" s="4"/>
      <c r="Q212" s="4"/>
      <c r="R212" s="4"/>
      <c r="S212" s="4"/>
      <c r="T212" s="14"/>
      <c r="U212" s="4" t="s">
        <v>71</v>
      </c>
      <c r="V212" s="4" t="s">
        <v>71</v>
      </c>
      <c r="W212" s="4" t="str">
        <f t="shared" si="3"/>
        <v>NO</v>
      </c>
      <c r="X212" s="4"/>
    </row>
    <row r="213" spans="1:24" ht="46" customHeight="1">
      <c r="A213" s="4" t="s">
        <v>894</v>
      </c>
      <c r="B213" s="4" t="s">
        <v>895</v>
      </c>
      <c r="C213" s="4" t="s">
        <v>896</v>
      </c>
      <c r="D213" s="4" t="s">
        <v>888</v>
      </c>
      <c r="E213" s="4" t="s">
        <v>152</v>
      </c>
      <c r="F213" s="4" t="s">
        <v>485</v>
      </c>
      <c r="G213" s="4" t="s">
        <v>141</v>
      </c>
      <c r="H213" s="4" t="s">
        <v>72</v>
      </c>
      <c r="I213" s="4">
        <v>6</v>
      </c>
      <c r="J213" s="4" t="s">
        <v>166</v>
      </c>
      <c r="K213" s="4" t="s">
        <v>143</v>
      </c>
      <c r="L213" s="4"/>
      <c r="M213" s="4"/>
      <c r="N213" s="4"/>
      <c r="O213" s="4"/>
      <c r="P213" s="4"/>
      <c r="Q213" s="4"/>
      <c r="R213" s="4"/>
      <c r="S213" s="4"/>
      <c r="T213" s="14"/>
      <c r="U213" s="4" t="s">
        <v>71</v>
      </c>
      <c r="V213" s="4" t="s">
        <v>71</v>
      </c>
      <c r="W213" s="4" t="str">
        <f t="shared" si="3"/>
        <v>NO</v>
      </c>
      <c r="X213" s="4"/>
    </row>
    <row r="214" spans="1:24" ht="46" customHeight="1">
      <c r="A214" s="4" t="s">
        <v>897</v>
      </c>
      <c r="B214" s="4" t="s">
        <v>898</v>
      </c>
      <c r="C214" s="4" t="s">
        <v>899</v>
      </c>
      <c r="D214" s="4" t="s">
        <v>900</v>
      </c>
      <c r="E214" s="4" t="s">
        <v>152</v>
      </c>
      <c r="F214" s="4" t="s">
        <v>195</v>
      </c>
      <c r="G214" s="4" t="s">
        <v>141</v>
      </c>
      <c r="H214" s="4" t="s">
        <v>79</v>
      </c>
      <c r="I214" s="4">
        <v>13</v>
      </c>
      <c r="J214" s="4" t="s">
        <v>166</v>
      </c>
      <c r="K214" s="4" t="s">
        <v>143</v>
      </c>
      <c r="L214" s="4"/>
      <c r="M214" s="4"/>
      <c r="N214" s="4"/>
      <c r="O214" s="4"/>
      <c r="P214" s="4"/>
      <c r="Q214" s="4"/>
      <c r="R214" s="4"/>
      <c r="S214" s="4"/>
      <c r="T214" s="14"/>
      <c r="U214" s="4" t="s">
        <v>71</v>
      </c>
      <c r="V214" s="4" t="s">
        <v>71</v>
      </c>
      <c r="W214" s="4" t="str">
        <f t="shared" si="3"/>
        <v>NO</v>
      </c>
      <c r="X214" s="4"/>
    </row>
    <row r="215" spans="1:24" ht="46" customHeight="1">
      <c r="A215" s="4" t="s">
        <v>901</v>
      </c>
      <c r="B215" s="4" t="s">
        <v>902</v>
      </c>
      <c r="C215" s="4" t="s">
        <v>137</v>
      </c>
      <c r="D215" s="4" t="s">
        <v>903</v>
      </c>
      <c r="E215" s="4" t="s">
        <v>139</v>
      </c>
      <c r="F215" s="4" t="s">
        <v>140</v>
      </c>
      <c r="G215" s="4" t="s">
        <v>141</v>
      </c>
      <c r="H215" s="4" t="s">
        <v>90</v>
      </c>
      <c r="I215" s="4">
        <v>3</v>
      </c>
      <c r="J215" s="4" t="s">
        <v>142</v>
      </c>
      <c r="K215" s="4" t="s">
        <v>143</v>
      </c>
      <c r="L215" s="4"/>
      <c r="M215" s="4"/>
      <c r="N215" s="4"/>
      <c r="O215" s="4"/>
      <c r="P215" s="4"/>
      <c r="Q215" s="4"/>
      <c r="R215" s="4"/>
      <c r="S215" s="4"/>
      <c r="T215" s="14"/>
      <c r="U215" s="4" t="s">
        <v>71</v>
      </c>
      <c r="V215" s="4" t="s">
        <v>71</v>
      </c>
      <c r="W215" s="4" t="str">
        <f t="shared" si="3"/>
        <v>NO</v>
      </c>
      <c r="X215" s="4"/>
    </row>
    <row r="216" spans="1:24" ht="46" customHeight="1">
      <c r="A216" s="4" t="s">
        <v>904</v>
      </c>
      <c r="B216" s="4" t="s">
        <v>905</v>
      </c>
      <c r="C216" s="4" t="s">
        <v>906</v>
      </c>
      <c r="D216" s="4" t="s">
        <v>907</v>
      </c>
      <c r="E216" s="4" t="s">
        <v>124</v>
      </c>
      <c r="F216" s="4" t="s">
        <v>125</v>
      </c>
      <c r="G216" s="4" t="s">
        <v>200</v>
      </c>
      <c r="H216" s="4" t="s">
        <v>58</v>
      </c>
      <c r="I216" s="4">
        <v>15</v>
      </c>
      <c r="J216" s="4" t="s">
        <v>201</v>
      </c>
      <c r="K216" s="4" t="s">
        <v>143</v>
      </c>
      <c r="L216" s="4"/>
      <c r="M216" s="4"/>
      <c r="N216" s="4"/>
      <c r="O216" s="4"/>
      <c r="P216" s="4"/>
      <c r="Q216" s="4"/>
      <c r="R216" s="4"/>
      <c r="S216" s="4"/>
      <c r="T216" s="14"/>
      <c r="U216" s="4" t="s">
        <v>71</v>
      </c>
      <c r="V216" s="4" t="s">
        <v>71</v>
      </c>
      <c r="W216" s="4" t="str">
        <f t="shared" si="3"/>
        <v>NO</v>
      </c>
      <c r="X216" s="4"/>
    </row>
    <row r="217" spans="1:24" ht="46" customHeight="1">
      <c r="A217" s="4" t="s">
        <v>908</v>
      </c>
      <c r="B217" s="4" t="s">
        <v>909</v>
      </c>
      <c r="C217" s="4" t="s">
        <v>910</v>
      </c>
      <c r="D217" s="4" t="s">
        <v>603</v>
      </c>
      <c r="E217" s="4" t="s">
        <v>152</v>
      </c>
      <c r="F217" s="4" t="s">
        <v>389</v>
      </c>
      <c r="G217" s="4" t="s">
        <v>141</v>
      </c>
      <c r="H217" s="4" t="s">
        <v>77</v>
      </c>
      <c r="I217" s="4">
        <v>8</v>
      </c>
      <c r="J217" s="4" t="s">
        <v>166</v>
      </c>
      <c r="K217" s="4" t="s">
        <v>143</v>
      </c>
      <c r="L217" s="4"/>
      <c r="M217" s="4"/>
      <c r="N217" s="4"/>
      <c r="O217" s="4"/>
      <c r="P217" s="4"/>
      <c r="Q217" s="4"/>
      <c r="R217" s="4"/>
      <c r="S217" s="4"/>
      <c r="T217" s="14"/>
      <c r="U217" s="4" t="s">
        <v>71</v>
      </c>
      <c r="V217" s="4" t="s">
        <v>71</v>
      </c>
      <c r="W217" s="4" t="str">
        <f t="shared" si="3"/>
        <v>NO</v>
      </c>
      <c r="X217" s="4"/>
    </row>
    <row r="218" spans="1:24" ht="46" customHeight="1">
      <c r="A218" s="4" t="s">
        <v>911</v>
      </c>
      <c r="B218" s="4" t="s">
        <v>912</v>
      </c>
      <c r="C218" s="4" t="s">
        <v>913</v>
      </c>
      <c r="D218" s="4" t="s">
        <v>419</v>
      </c>
      <c r="E218" s="4" t="s">
        <v>139</v>
      </c>
      <c r="F218" s="4" t="s">
        <v>248</v>
      </c>
      <c r="G218" s="4" t="s">
        <v>141</v>
      </c>
      <c r="H218" s="4" t="s">
        <v>86</v>
      </c>
      <c r="I218" s="4">
        <v>6</v>
      </c>
      <c r="J218" s="4" t="s">
        <v>142</v>
      </c>
      <c r="K218" s="4" t="s">
        <v>143</v>
      </c>
      <c r="L218" s="4"/>
      <c r="M218" s="4"/>
      <c r="N218" s="4"/>
      <c r="O218" s="4"/>
      <c r="P218" s="4"/>
      <c r="Q218" s="4"/>
      <c r="R218" s="4"/>
      <c r="S218" s="4"/>
      <c r="T218" s="14"/>
      <c r="U218" s="4" t="s">
        <v>71</v>
      </c>
      <c r="V218" s="4" t="s">
        <v>71</v>
      </c>
      <c r="W218" s="4" t="str">
        <f t="shared" si="3"/>
        <v>NO</v>
      </c>
      <c r="X218" s="4"/>
    </row>
    <row r="219" spans="1:24" ht="46" customHeight="1">
      <c r="A219" s="4" t="s">
        <v>914</v>
      </c>
      <c r="B219" s="4" t="s">
        <v>915</v>
      </c>
      <c r="C219" s="4" t="s">
        <v>916</v>
      </c>
      <c r="D219" s="4" t="s">
        <v>229</v>
      </c>
      <c r="E219" s="4" t="s">
        <v>268</v>
      </c>
      <c r="F219" s="4"/>
      <c r="G219" s="4" t="s">
        <v>141</v>
      </c>
      <c r="H219" s="4" t="s">
        <v>92</v>
      </c>
      <c r="I219" s="4">
        <v>10</v>
      </c>
      <c r="J219" s="4" t="s">
        <v>269</v>
      </c>
      <c r="K219" s="4" t="s">
        <v>143</v>
      </c>
      <c r="L219" s="4"/>
      <c r="M219" s="4"/>
      <c r="N219" s="4"/>
      <c r="O219" s="4"/>
      <c r="P219" s="4"/>
      <c r="Q219" s="4"/>
      <c r="R219" s="4"/>
      <c r="S219" s="4"/>
      <c r="T219" s="14"/>
      <c r="U219" s="4" t="s">
        <v>71</v>
      </c>
      <c r="V219" s="4" t="s">
        <v>71</v>
      </c>
      <c r="W219" s="4" t="str">
        <f t="shared" si="3"/>
        <v>NO</v>
      </c>
      <c r="X219" s="4"/>
    </row>
    <row r="220" spans="1:24" ht="46" customHeight="1">
      <c r="A220" s="4" t="s">
        <v>917</v>
      </c>
      <c r="B220" s="4" t="s">
        <v>918</v>
      </c>
      <c r="C220" s="4" t="s">
        <v>919</v>
      </c>
      <c r="D220" s="4" t="s">
        <v>484</v>
      </c>
      <c r="E220" s="4" t="s">
        <v>152</v>
      </c>
      <c r="F220" s="4" t="s">
        <v>325</v>
      </c>
      <c r="G220" s="4" t="s">
        <v>141</v>
      </c>
      <c r="H220" s="4" t="s">
        <v>75</v>
      </c>
      <c r="I220" s="4">
        <v>12</v>
      </c>
      <c r="J220" s="4" t="s">
        <v>166</v>
      </c>
      <c r="K220" s="4" t="s">
        <v>143</v>
      </c>
      <c r="L220" s="4"/>
      <c r="M220" s="4"/>
      <c r="N220" s="4"/>
      <c r="O220" s="4"/>
      <c r="P220" s="4"/>
      <c r="Q220" s="4"/>
      <c r="R220" s="4"/>
      <c r="S220" s="4"/>
      <c r="T220" s="14"/>
      <c r="U220" s="4" t="s">
        <v>71</v>
      </c>
      <c r="V220" s="4" t="s">
        <v>71</v>
      </c>
      <c r="W220" s="4" t="str">
        <f t="shared" si="3"/>
        <v>NO</v>
      </c>
      <c r="X220" s="4"/>
    </row>
    <row r="221" spans="1:24" ht="46" customHeight="1">
      <c r="A221" s="4" t="s">
        <v>920</v>
      </c>
      <c r="B221" s="4" t="s">
        <v>921</v>
      </c>
      <c r="C221" s="4" t="s">
        <v>922</v>
      </c>
      <c r="D221" s="4" t="s">
        <v>439</v>
      </c>
      <c r="E221" s="4" t="s">
        <v>139</v>
      </c>
      <c r="F221" s="4" t="s">
        <v>248</v>
      </c>
      <c r="G221" s="4" t="s">
        <v>141</v>
      </c>
      <c r="H221" s="4" t="s">
        <v>86</v>
      </c>
      <c r="I221" s="4">
        <v>14</v>
      </c>
      <c r="J221" s="4" t="s">
        <v>142</v>
      </c>
      <c r="K221" s="4" t="s">
        <v>143</v>
      </c>
      <c r="L221" s="4"/>
      <c r="M221" s="4"/>
      <c r="N221" s="4"/>
      <c r="O221" s="4"/>
      <c r="P221" s="4"/>
      <c r="Q221" s="4"/>
      <c r="R221" s="4"/>
      <c r="S221" s="4"/>
      <c r="T221" s="14"/>
      <c r="U221" s="4" t="s">
        <v>71</v>
      </c>
      <c r="V221" s="4" t="s">
        <v>71</v>
      </c>
      <c r="W221" s="4" t="str">
        <f t="shared" si="3"/>
        <v>NO</v>
      </c>
      <c r="X221" s="4"/>
    </row>
    <row r="222" spans="1:24" ht="46" customHeight="1">
      <c r="A222" s="4" t="s">
        <v>923</v>
      </c>
      <c r="B222" s="4" t="s">
        <v>924</v>
      </c>
      <c r="C222" s="4" t="s">
        <v>925</v>
      </c>
      <c r="D222" s="4" t="s">
        <v>224</v>
      </c>
      <c r="E222" s="4" t="s">
        <v>124</v>
      </c>
      <c r="F222" s="4" t="s">
        <v>125</v>
      </c>
      <c r="G222" s="4" t="s">
        <v>200</v>
      </c>
      <c r="H222" s="4" t="s">
        <v>58</v>
      </c>
      <c r="I222" s="4">
        <v>18</v>
      </c>
      <c r="J222" s="4" t="s">
        <v>201</v>
      </c>
      <c r="K222" s="4" t="s">
        <v>143</v>
      </c>
      <c r="L222" s="4"/>
      <c r="M222" s="4"/>
      <c r="N222" s="4"/>
      <c r="O222" s="4"/>
      <c r="P222" s="4"/>
      <c r="Q222" s="4"/>
      <c r="R222" s="4"/>
      <c r="S222" s="4"/>
      <c r="T222" s="14"/>
      <c r="U222" s="4" t="s">
        <v>71</v>
      </c>
      <c r="V222" s="4" t="s">
        <v>71</v>
      </c>
      <c r="W222" s="4" t="str">
        <f t="shared" si="3"/>
        <v>NO</v>
      </c>
      <c r="X222" s="4"/>
    </row>
    <row r="223" spans="1:24" ht="46" customHeight="1">
      <c r="A223" s="4" t="s">
        <v>926</v>
      </c>
      <c r="B223" s="4" t="s">
        <v>927</v>
      </c>
      <c r="C223" s="4" t="s">
        <v>928</v>
      </c>
      <c r="D223" s="4" t="s">
        <v>255</v>
      </c>
      <c r="E223" s="4" t="s">
        <v>152</v>
      </c>
      <c r="F223" s="4" t="s">
        <v>929</v>
      </c>
      <c r="G223" s="4" t="s">
        <v>141</v>
      </c>
      <c r="H223" s="4" t="s">
        <v>77</v>
      </c>
      <c r="I223" s="4">
        <v>5</v>
      </c>
      <c r="J223" s="4" t="s">
        <v>166</v>
      </c>
      <c r="K223" s="4" t="s">
        <v>143</v>
      </c>
      <c r="L223" s="4"/>
      <c r="M223" s="4"/>
      <c r="N223" s="4"/>
      <c r="O223" s="4"/>
      <c r="P223" s="4"/>
      <c r="Q223" s="4"/>
      <c r="R223" s="4"/>
      <c r="S223" s="4"/>
      <c r="T223" s="14"/>
      <c r="U223" s="4" t="s">
        <v>71</v>
      </c>
      <c r="V223" s="4" t="s">
        <v>71</v>
      </c>
      <c r="W223" s="4" t="str">
        <f t="shared" si="3"/>
        <v>NO</v>
      </c>
      <c r="X223" s="4"/>
    </row>
    <row r="224" spans="1:24" ht="46" customHeight="1">
      <c r="A224" s="4" t="s">
        <v>930</v>
      </c>
      <c r="B224" s="4" t="s">
        <v>931</v>
      </c>
      <c r="C224" s="4" t="s">
        <v>932</v>
      </c>
      <c r="D224" s="4" t="s">
        <v>277</v>
      </c>
      <c r="E224" s="4" t="s">
        <v>152</v>
      </c>
      <c r="F224" s="4" t="s">
        <v>389</v>
      </c>
      <c r="G224" s="4" t="s">
        <v>141</v>
      </c>
      <c r="H224" s="4" t="s">
        <v>77</v>
      </c>
      <c r="I224" s="4">
        <v>12</v>
      </c>
      <c r="J224" s="4" t="s">
        <v>166</v>
      </c>
      <c r="K224" s="4" t="s">
        <v>143</v>
      </c>
      <c r="L224" s="4"/>
      <c r="M224" s="4"/>
      <c r="N224" s="4"/>
      <c r="O224" s="4"/>
      <c r="P224" s="4"/>
      <c r="Q224" s="4"/>
      <c r="R224" s="4"/>
      <c r="S224" s="4"/>
      <c r="T224" s="14"/>
      <c r="U224" s="4" t="s">
        <v>71</v>
      </c>
      <c r="V224" s="4" t="s">
        <v>71</v>
      </c>
      <c r="W224" s="4" t="str">
        <f t="shared" si="3"/>
        <v>NO</v>
      </c>
      <c r="X224" s="4"/>
    </row>
    <row r="225" spans="1:24" ht="46" customHeight="1">
      <c r="A225" s="4" t="s">
        <v>933</v>
      </c>
      <c r="B225" s="4" t="s">
        <v>934</v>
      </c>
      <c r="C225" s="4" t="s">
        <v>935</v>
      </c>
      <c r="D225" s="4" t="s">
        <v>504</v>
      </c>
      <c r="E225" s="4" t="s">
        <v>152</v>
      </c>
      <c r="F225" s="4" t="s">
        <v>389</v>
      </c>
      <c r="G225" s="4" t="s">
        <v>141</v>
      </c>
      <c r="H225" s="4" t="s">
        <v>77</v>
      </c>
      <c r="I225" s="4">
        <v>14</v>
      </c>
      <c r="J225" s="4" t="s">
        <v>166</v>
      </c>
      <c r="K225" s="4" t="s">
        <v>143</v>
      </c>
      <c r="L225" s="4"/>
      <c r="M225" s="4"/>
      <c r="N225" s="4"/>
      <c r="O225" s="4"/>
      <c r="P225" s="4"/>
      <c r="Q225" s="4"/>
      <c r="R225" s="4"/>
      <c r="S225" s="4"/>
      <c r="T225" s="14"/>
      <c r="U225" s="4" t="s">
        <v>71</v>
      </c>
      <c r="V225" s="4" t="s">
        <v>71</v>
      </c>
      <c r="W225" s="4" t="str">
        <f t="shared" si="3"/>
        <v>NO</v>
      </c>
      <c r="X225" s="4"/>
    </row>
    <row r="226" spans="1:24" ht="46" customHeight="1">
      <c r="A226" s="4" t="s">
        <v>936</v>
      </c>
      <c r="B226" s="4" t="s">
        <v>937</v>
      </c>
      <c r="C226" s="4" t="s">
        <v>938</v>
      </c>
      <c r="D226" s="4" t="s">
        <v>170</v>
      </c>
      <c r="E226" s="4" t="s">
        <v>124</v>
      </c>
      <c r="F226" s="4" t="s">
        <v>248</v>
      </c>
      <c r="G226" s="4" t="s">
        <v>200</v>
      </c>
      <c r="H226" s="4" t="s">
        <v>69</v>
      </c>
      <c r="I226" s="4">
        <v>4</v>
      </c>
      <c r="J226" s="4" t="s">
        <v>201</v>
      </c>
      <c r="K226" s="4" t="s">
        <v>143</v>
      </c>
      <c r="L226" s="4"/>
      <c r="M226" s="4"/>
      <c r="N226" s="4"/>
      <c r="O226" s="4"/>
      <c r="P226" s="4"/>
      <c r="Q226" s="4"/>
      <c r="R226" s="4"/>
      <c r="S226" s="4"/>
      <c r="T226" s="14"/>
      <c r="U226" s="4" t="s">
        <v>71</v>
      </c>
      <c r="V226" s="4" t="s">
        <v>71</v>
      </c>
      <c r="W226" s="4" t="str">
        <f t="shared" si="3"/>
        <v>NO</v>
      </c>
      <c r="X226" s="4"/>
    </row>
    <row r="227" spans="1:24" ht="46" customHeight="1">
      <c r="A227" s="4" t="s">
        <v>939</v>
      </c>
      <c r="B227" s="4" t="s">
        <v>940</v>
      </c>
      <c r="C227" s="4" t="s">
        <v>941</v>
      </c>
      <c r="D227" s="4" t="s">
        <v>224</v>
      </c>
      <c r="E227" s="4" t="s">
        <v>124</v>
      </c>
      <c r="F227" s="4" t="s">
        <v>248</v>
      </c>
      <c r="G227" s="4" t="s">
        <v>200</v>
      </c>
      <c r="H227" s="4" t="s">
        <v>69</v>
      </c>
      <c r="I227" s="4">
        <v>3</v>
      </c>
      <c r="J227" s="4" t="s">
        <v>201</v>
      </c>
      <c r="K227" s="4" t="s">
        <v>143</v>
      </c>
      <c r="L227" s="4"/>
      <c r="M227" s="4"/>
      <c r="N227" s="4"/>
      <c r="O227" s="4"/>
      <c r="P227" s="4"/>
      <c r="Q227" s="4"/>
      <c r="R227" s="4"/>
      <c r="S227" s="4"/>
      <c r="T227" s="14"/>
      <c r="U227" s="4" t="s">
        <v>71</v>
      </c>
      <c r="V227" s="4" t="s">
        <v>71</v>
      </c>
      <c r="W227" s="4" t="str">
        <f t="shared" si="3"/>
        <v>NO</v>
      </c>
      <c r="X227" s="4"/>
    </row>
    <row r="228" spans="1:24" ht="46" customHeight="1">
      <c r="A228" s="4" t="s">
        <v>942</v>
      </c>
      <c r="B228" s="4" t="s">
        <v>943</v>
      </c>
      <c r="C228" s="4" t="s">
        <v>944</v>
      </c>
      <c r="D228" s="4" t="s">
        <v>277</v>
      </c>
      <c r="E228" s="4" t="s">
        <v>124</v>
      </c>
      <c r="F228" s="4" t="s">
        <v>140</v>
      </c>
      <c r="G228" s="4" t="s">
        <v>200</v>
      </c>
      <c r="H228" s="4" t="s">
        <v>69</v>
      </c>
      <c r="I228" s="4">
        <v>13</v>
      </c>
      <c r="J228" s="4" t="s">
        <v>201</v>
      </c>
      <c r="K228" s="4" t="s">
        <v>143</v>
      </c>
      <c r="L228" s="4"/>
      <c r="M228" s="4"/>
      <c r="N228" s="4"/>
      <c r="O228" s="4"/>
      <c r="P228" s="4"/>
      <c r="Q228" s="4"/>
      <c r="R228" s="4"/>
      <c r="S228" s="4"/>
      <c r="T228" s="14"/>
      <c r="U228" s="4" t="s">
        <v>71</v>
      </c>
      <c r="V228" s="4" t="s">
        <v>71</v>
      </c>
      <c r="W228" s="4" t="str">
        <f t="shared" si="3"/>
        <v>NO</v>
      </c>
      <c r="X228" s="4"/>
    </row>
    <row r="229" spans="1:24" ht="46" customHeight="1">
      <c r="A229" s="4" t="s">
        <v>945</v>
      </c>
      <c r="B229" s="4" t="s">
        <v>946</v>
      </c>
      <c r="C229" s="4" t="s">
        <v>947</v>
      </c>
      <c r="D229" s="4" t="s">
        <v>613</v>
      </c>
      <c r="E229" s="4" t="s">
        <v>268</v>
      </c>
      <c r="F229" s="4"/>
      <c r="G229" s="4" t="s">
        <v>141</v>
      </c>
      <c r="H229" s="4" t="s">
        <v>92</v>
      </c>
      <c r="I229" s="4">
        <v>1</v>
      </c>
      <c r="J229" s="4" t="s">
        <v>269</v>
      </c>
      <c r="K229" s="4" t="s">
        <v>143</v>
      </c>
      <c r="L229" s="4"/>
      <c r="M229" s="4"/>
      <c r="N229" s="4"/>
      <c r="O229" s="4"/>
      <c r="P229" s="4"/>
      <c r="Q229" s="4"/>
      <c r="R229" s="4"/>
      <c r="S229" s="4"/>
      <c r="T229" s="14"/>
      <c r="U229" s="4" t="s">
        <v>71</v>
      </c>
      <c r="V229" s="4" t="s">
        <v>71</v>
      </c>
      <c r="W229" s="4" t="str">
        <f t="shared" si="3"/>
        <v>NO</v>
      </c>
      <c r="X229" s="4"/>
    </row>
    <row r="230" spans="1:24" ht="46" customHeight="1">
      <c r="A230" s="4" t="s">
        <v>948</v>
      </c>
      <c r="B230" s="4" t="s">
        <v>949</v>
      </c>
      <c r="C230" s="4" t="s">
        <v>950</v>
      </c>
      <c r="D230" s="4" t="s">
        <v>324</v>
      </c>
      <c r="E230" s="4" t="s">
        <v>124</v>
      </c>
      <c r="F230" s="4" t="s">
        <v>383</v>
      </c>
      <c r="G230" s="4" t="s">
        <v>200</v>
      </c>
      <c r="H230" s="4" t="s">
        <v>58</v>
      </c>
      <c r="I230" s="4">
        <v>7</v>
      </c>
      <c r="J230" s="4" t="s">
        <v>201</v>
      </c>
      <c r="K230" s="4" t="s">
        <v>143</v>
      </c>
      <c r="L230" s="4"/>
      <c r="M230" s="4"/>
      <c r="N230" s="4"/>
      <c r="O230" s="4"/>
      <c r="P230" s="4"/>
      <c r="Q230" s="4"/>
      <c r="R230" s="4"/>
      <c r="S230" s="4"/>
      <c r="T230" s="14"/>
      <c r="U230" s="4" t="s">
        <v>71</v>
      </c>
      <c r="V230" s="4" t="s">
        <v>71</v>
      </c>
      <c r="W230" s="4" t="str">
        <f t="shared" si="3"/>
        <v>NO</v>
      </c>
      <c r="X230" s="4"/>
    </row>
    <row r="231" spans="1:24" ht="46" customHeight="1">
      <c r="A231" s="4" t="s">
        <v>951</v>
      </c>
      <c r="B231" s="4" t="s">
        <v>952</v>
      </c>
      <c r="C231" s="4" t="s">
        <v>953</v>
      </c>
      <c r="D231" s="4" t="s">
        <v>613</v>
      </c>
      <c r="E231" s="4" t="s">
        <v>124</v>
      </c>
      <c r="F231" s="4" t="s">
        <v>190</v>
      </c>
      <c r="G231" s="4" t="s">
        <v>200</v>
      </c>
      <c r="H231" s="4" t="s">
        <v>69</v>
      </c>
      <c r="I231" s="4">
        <v>7</v>
      </c>
      <c r="J231" s="4" t="s">
        <v>201</v>
      </c>
      <c r="K231" s="4" t="s">
        <v>143</v>
      </c>
      <c r="L231" s="4"/>
      <c r="M231" s="4"/>
      <c r="N231" s="4"/>
      <c r="O231" s="4"/>
      <c r="P231" s="4"/>
      <c r="Q231" s="4"/>
      <c r="R231" s="4"/>
      <c r="S231" s="4"/>
      <c r="T231" s="14"/>
      <c r="U231" s="4" t="s">
        <v>71</v>
      </c>
      <c r="V231" s="4" t="s">
        <v>71</v>
      </c>
      <c r="W231" s="4" t="str">
        <f t="shared" si="3"/>
        <v>NO</v>
      </c>
      <c r="X231" s="4"/>
    </row>
    <row r="232" spans="1:24" ht="46" customHeight="1">
      <c r="A232" s="4" t="s">
        <v>954</v>
      </c>
      <c r="B232" s="4" t="s">
        <v>955</v>
      </c>
      <c r="C232" s="4" t="s">
        <v>956</v>
      </c>
      <c r="D232" s="4" t="s">
        <v>277</v>
      </c>
      <c r="E232" s="4" t="s">
        <v>124</v>
      </c>
      <c r="F232" s="4" t="s">
        <v>248</v>
      </c>
      <c r="G232" s="4" t="s">
        <v>200</v>
      </c>
      <c r="H232" s="4" t="s">
        <v>61</v>
      </c>
      <c r="I232" s="4">
        <v>10</v>
      </c>
      <c r="J232" s="4" t="s">
        <v>201</v>
      </c>
      <c r="K232" s="4" t="s">
        <v>143</v>
      </c>
      <c r="L232" s="4"/>
      <c r="M232" s="4"/>
      <c r="N232" s="4"/>
      <c r="O232" s="4"/>
      <c r="P232" s="4"/>
      <c r="Q232" s="4"/>
      <c r="R232" s="4"/>
      <c r="S232" s="4"/>
      <c r="T232" s="14"/>
      <c r="U232" s="4" t="s">
        <v>71</v>
      </c>
      <c r="V232" s="4" t="s">
        <v>71</v>
      </c>
      <c r="W232" s="4" t="str">
        <f t="shared" si="3"/>
        <v>NO</v>
      </c>
      <c r="X232" s="4"/>
    </row>
    <row r="233" spans="1:24" ht="46" customHeight="1">
      <c r="A233" s="4" t="s">
        <v>957</v>
      </c>
      <c r="B233" s="4" t="s">
        <v>958</v>
      </c>
      <c r="C233" s="4" t="s">
        <v>959</v>
      </c>
      <c r="D233" s="4" t="s">
        <v>305</v>
      </c>
      <c r="E233" s="4" t="s">
        <v>124</v>
      </c>
      <c r="F233" s="4" t="s">
        <v>248</v>
      </c>
      <c r="G233" s="4" t="s">
        <v>200</v>
      </c>
      <c r="H233" s="4" t="s">
        <v>61</v>
      </c>
      <c r="I233" s="4">
        <v>11</v>
      </c>
      <c r="J233" s="4" t="s">
        <v>201</v>
      </c>
      <c r="K233" s="4" t="s">
        <v>143</v>
      </c>
      <c r="L233" s="4"/>
      <c r="M233" s="4"/>
      <c r="N233" s="4"/>
      <c r="O233" s="4"/>
      <c r="P233" s="4"/>
      <c r="Q233" s="4"/>
      <c r="R233" s="4"/>
      <c r="S233" s="4"/>
      <c r="T233" s="14"/>
      <c r="U233" s="4" t="s">
        <v>71</v>
      </c>
      <c r="V233" s="4" t="s">
        <v>71</v>
      </c>
      <c r="W233" s="4" t="str">
        <f t="shared" si="3"/>
        <v>NO</v>
      </c>
      <c r="X233" s="4"/>
    </row>
    <row r="234" spans="1:24" ht="46" customHeight="1">
      <c r="A234" s="4" t="s">
        <v>960</v>
      </c>
      <c r="B234" s="4" t="s">
        <v>961</v>
      </c>
      <c r="C234" s="4" t="s">
        <v>962</v>
      </c>
      <c r="D234" s="4" t="s">
        <v>199</v>
      </c>
      <c r="E234" s="4" t="s">
        <v>230</v>
      </c>
      <c r="F234" s="4"/>
      <c r="G234" s="4" t="s">
        <v>141</v>
      </c>
      <c r="H234" s="4" t="s">
        <v>48</v>
      </c>
      <c r="I234" s="4">
        <v>10</v>
      </c>
      <c r="J234" s="4" t="s">
        <v>127</v>
      </c>
      <c r="K234" s="4" t="s">
        <v>154</v>
      </c>
      <c r="L234" s="4" t="s">
        <v>292</v>
      </c>
      <c r="M234" s="4"/>
      <c r="N234" s="4" t="s">
        <v>963</v>
      </c>
      <c r="O234" s="4" t="s">
        <v>964</v>
      </c>
      <c r="P234" s="4" t="s">
        <v>965</v>
      </c>
      <c r="Q234" s="4" t="s">
        <v>966</v>
      </c>
      <c r="R234" s="4" t="s">
        <v>967</v>
      </c>
      <c r="S234" s="4" t="s">
        <v>131</v>
      </c>
      <c r="T234" s="14">
        <v>46242</v>
      </c>
      <c r="U234" s="4" t="s">
        <v>132</v>
      </c>
      <c r="V234" s="4" t="s">
        <v>133</v>
      </c>
      <c r="W234" s="4" t="str">
        <f t="shared" si="3"/>
        <v>NO</v>
      </c>
      <c r="X234" s="4" t="s">
        <v>968</v>
      </c>
    </row>
    <row r="235" spans="1:24" ht="46" customHeight="1">
      <c r="A235" s="4" t="s">
        <v>969</v>
      </c>
      <c r="B235" s="4" t="s">
        <v>970</v>
      </c>
      <c r="C235" s="4" t="s">
        <v>971</v>
      </c>
      <c r="D235" s="4" t="s">
        <v>972</v>
      </c>
      <c r="E235" s="4" t="s">
        <v>230</v>
      </c>
      <c r="F235" s="4"/>
      <c r="G235" s="4" t="s">
        <v>141</v>
      </c>
      <c r="H235" s="4" t="s">
        <v>92</v>
      </c>
      <c r="I235" s="4">
        <v>7</v>
      </c>
      <c r="J235" s="4" t="s">
        <v>231</v>
      </c>
      <c r="K235" s="4" t="s">
        <v>143</v>
      </c>
      <c r="L235" s="4"/>
      <c r="M235" s="4"/>
      <c r="N235" s="4"/>
      <c r="O235" s="4"/>
      <c r="P235" s="4"/>
      <c r="Q235" s="4"/>
      <c r="R235" s="4"/>
      <c r="S235" s="4"/>
      <c r="T235" s="14"/>
      <c r="U235" s="4" t="s">
        <v>71</v>
      </c>
      <c r="V235" s="4" t="s">
        <v>71</v>
      </c>
      <c r="W235" s="4" t="str">
        <f t="shared" si="3"/>
        <v>NO</v>
      </c>
      <c r="X235" s="4"/>
    </row>
    <row r="236" spans="1:24" ht="46" customHeight="1">
      <c r="A236" s="4" t="s">
        <v>973</v>
      </c>
      <c r="B236" s="4" t="s">
        <v>974</v>
      </c>
      <c r="C236" s="4" t="s">
        <v>975</v>
      </c>
      <c r="D236" s="4" t="s">
        <v>273</v>
      </c>
      <c r="E236" s="4" t="s">
        <v>139</v>
      </c>
      <c r="F236" s="4" t="s">
        <v>140</v>
      </c>
      <c r="G236" s="4" t="s">
        <v>141</v>
      </c>
      <c r="H236" s="4" t="s">
        <v>48</v>
      </c>
      <c r="I236" s="4">
        <v>9</v>
      </c>
      <c r="J236" s="4" t="s">
        <v>127</v>
      </c>
      <c r="K236" s="4" t="s">
        <v>154</v>
      </c>
      <c r="L236" s="4" t="s">
        <v>976</v>
      </c>
      <c r="M236" s="4" t="s">
        <v>519</v>
      </c>
      <c r="N236" s="4" t="s">
        <v>977</v>
      </c>
      <c r="O236" s="4" t="s">
        <v>978</v>
      </c>
      <c r="P236" s="4" t="s">
        <v>979</v>
      </c>
      <c r="Q236" s="4" t="s">
        <v>980</v>
      </c>
      <c r="R236" s="4" t="s">
        <v>981</v>
      </c>
      <c r="S236" s="4" t="s">
        <v>131</v>
      </c>
      <c r="T236" s="14">
        <v>46242</v>
      </c>
      <c r="U236" s="4" t="s">
        <v>132</v>
      </c>
      <c r="V236" s="4" t="s">
        <v>133</v>
      </c>
      <c r="W236" s="4" t="str">
        <f t="shared" si="3"/>
        <v>NO</v>
      </c>
      <c r="X236" s="4" t="s">
        <v>982</v>
      </c>
    </row>
    <row r="237" spans="1:24" ht="46" customHeight="1">
      <c r="A237" s="5" t="s">
        <v>983</v>
      </c>
      <c r="B237" s="5" t="s">
        <v>984</v>
      </c>
      <c r="C237" s="5" t="s">
        <v>985</v>
      </c>
      <c r="D237" s="5" t="s">
        <v>260</v>
      </c>
      <c r="E237" s="5" t="s">
        <v>139</v>
      </c>
      <c r="F237" s="5" t="s">
        <v>140</v>
      </c>
      <c r="G237" s="5" t="s">
        <v>141</v>
      </c>
      <c r="H237" s="5" t="s">
        <v>90</v>
      </c>
      <c r="I237" s="5">
        <v>12</v>
      </c>
      <c r="J237" s="5" t="s">
        <v>142</v>
      </c>
      <c r="K237" s="5" t="s">
        <v>143</v>
      </c>
      <c r="L237" s="5"/>
      <c r="M237" s="5"/>
      <c r="N237" s="5"/>
      <c r="O237" s="5"/>
      <c r="P237" s="5"/>
      <c r="Q237" s="5"/>
      <c r="R237" s="5"/>
      <c r="S237" s="5"/>
      <c r="T237" s="15"/>
      <c r="U237" s="5" t="s">
        <v>71</v>
      </c>
      <c r="V237" s="5" t="s">
        <v>71</v>
      </c>
      <c r="W237" s="5" t="str">
        <f t="shared" si="3"/>
        <v>NO</v>
      </c>
      <c r="X237" s="5"/>
    </row>
  </sheetData>
  <mergeCells count="2">
    <mergeCell ref="A1:X1"/>
    <mergeCell ref="A2:X2"/>
  </mergeCells>
  <conditionalFormatting sqref="K5:K237">
    <cfRule type="containsText" dxfId="20" priority="3" operator="containsText" text="confirmada"/>
    <cfRule type="containsText" dxfId="19" priority="4" operator="containsText" text="pendiente"/>
  </conditionalFormatting>
  <conditionalFormatting sqref="W5:W237">
    <cfRule type="containsText" dxfId="18" priority="1" operator="containsText" text="SÍ"/>
    <cfRule type="containsText" dxfId="17" priority="2" operator="containsText" text="NO"/>
  </conditionalFormatting>
  <dataValidations count="3">
    <dataValidation type="list" sqref="K5:K237" xr:uid="{00000000-0002-0000-0200-000000000000}">
      <formula1>"sin_iniciar,en_revision,pendiente_revision_con_texto,candidatura_preliminar,confirmada,revisada,revisada_redireccion"</formula1>
    </dataValidation>
    <dataValidation type="list" sqref="U5:U237" xr:uid="{00000000-0002-0000-0200-000002000000}">
      <formula1>"pendiente,pasa,falla"</formula1>
    </dataValidation>
    <dataValidation type="list" sqref="V5:V237" xr:uid="{00000000-0002-0000-0200-000003000000}">
      <formula1>"pendiente,aprobada,devuelta"</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200-000001000000}">
          <x14:formula1>
            <xm:f>Corrientes!$A$5:$A$14</xm:f>
          </x14:formula1>
          <xm:sqref>L5:L237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592"/>
  <sheetViews>
    <sheetView showGridLines="0" workbookViewId="0"/>
  </sheetViews>
  <sheetFormatPr baseColWidth="10" defaultColWidth="8.83203125" defaultRowHeight="14"/>
  <cols>
    <col min="1" max="1" width="13" customWidth="1"/>
    <col min="2" max="5" width="22" customWidth="1"/>
    <col min="6" max="6" width="16" customWidth="1"/>
    <col min="7" max="7" width="58" customWidth="1"/>
    <col min="8" max="10" width="23" customWidth="1"/>
    <col min="11" max="14" width="15" customWidth="1"/>
    <col min="15" max="16" width="17" customWidth="1"/>
    <col min="17" max="17" width="52" customWidth="1"/>
    <col min="18" max="21" width="18" customWidth="1"/>
  </cols>
  <sheetData>
    <row r="1" spans="1:21" ht="30" customHeight="1">
      <c r="A1" s="72" t="s">
        <v>986</v>
      </c>
      <c r="B1" s="72" t="s">
        <v>986</v>
      </c>
      <c r="C1" s="72" t="s">
        <v>986</v>
      </c>
      <c r="D1" s="72" t="s">
        <v>986</v>
      </c>
      <c r="E1" s="72" t="s">
        <v>986</v>
      </c>
      <c r="F1" s="72" t="s">
        <v>986</v>
      </c>
      <c r="G1" s="72" t="s">
        <v>986</v>
      </c>
      <c r="H1" s="72" t="s">
        <v>986</v>
      </c>
      <c r="I1" s="72" t="s">
        <v>986</v>
      </c>
      <c r="J1" s="72" t="s">
        <v>986</v>
      </c>
      <c r="K1" s="72" t="s">
        <v>986</v>
      </c>
      <c r="L1" s="72" t="s">
        <v>986</v>
      </c>
      <c r="M1" s="72" t="s">
        <v>986</v>
      </c>
      <c r="N1" s="72" t="s">
        <v>986</v>
      </c>
      <c r="O1" s="72" t="s">
        <v>986</v>
      </c>
      <c r="P1" s="72" t="s">
        <v>986</v>
      </c>
      <c r="Q1" s="72" t="s">
        <v>986</v>
      </c>
      <c r="R1" s="72" t="s">
        <v>986</v>
      </c>
      <c r="S1" s="72" t="s">
        <v>986</v>
      </c>
      <c r="T1" s="72" t="s">
        <v>986</v>
      </c>
      <c r="U1" s="72" t="s">
        <v>986</v>
      </c>
    </row>
    <row r="2" spans="1:21" ht="30" customHeight="1">
      <c r="A2" s="73" t="s">
        <v>987</v>
      </c>
      <c r="B2" s="73" t="s">
        <v>987</v>
      </c>
      <c r="C2" s="73" t="s">
        <v>987</v>
      </c>
      <c r="D2" s="73" t="s">
        <v>987</v>
      </c>
      <c r="E2" s="73" t="s">
        <v>987</v>
      </c>
      <c r="F2" s="73" t="s">
        <v>987</v>
      </c>
      <c r="G2" s="73" t="s">
        <v>987</v>
      </c>
      <c r="H2" s="73" t="s">
        <v>987</v>
      </c>
      <c r="I2" s="73" t="s">
        <v>987</v>
      </c>
      <c r="J2" s="73" t="s">
        <v>987</v>
      </c>
      <c r="K2" s="73" t="s">
        <v>987</v>
      </c>
      <c r="L2" s="73" t="s">
        <v>987</v>
      </c>
      <c r="M2" s="73" t="s">
        <v>987</v>
      </c>
      <c r="N2" s="73" t="s">
        <v>987</v>
      </c>
      <c r="O2" s="73" t="s">
        <v>987</v>
      </c>
      <c r="P2" s="73" t="s">
        <v>987</v>
      </c>
      <c r="Q2" s="73" t="s">
        <v>987</v>
      </c>
      <c r="R2" s="73" t="s">
        <v>987</v>
      </c>
      <c r="S2" s="73" t="s">
        <v>987</v>
      </c>
      <c r="T2" s="73" t="s">
        <v>987</v>
      </c>
      <c r="U2" s="73" t="s">
        <v>987</v>
      </c>
    </row>
    <row r="4" spans="1:21">
      <c r="A4" s="1" t="s">
        <v>988</v>
      </c>
      <c r="B4" s="12" t="s">
        <v>989</v>
      </c>
      <c r="C4" s="12" t="s">
        <v>990</v>
      </c>
      <c r="D4" s="12" t="s">
        <v>991</v>
      </c>
      <c r="E4" s="12" t="s">
        <v>992</v>
      </c>
      <c r="F4" s="12" t="s">
        <v>993</v>
      </c>
      <c r="G4" s="12" t="s">
        <v>994</v>
      </c>
      <c r="H4" s="12" t="s">
        <v>995</v>
      </c>
      <c r="I4" s="12" t="s">
        <v>996</v>
      </c>
      <c r="J4" s="12" t="s">
        <v>997</v>
      </c>
      <c r="K4" s="12" t="s">
        <v>998</v>
      </c>
      <c r="L4" s="12" t="s">
        <v>999</v>
      </c>
      <c r="M4" s="12" t="s">
        <v>1000</v>
      </c>
      <c r="N4" s="12" t="s">
        <v>1001</v>
      </c>
      <c r="O4" s="12" t="s">
        <v>1002</v>
      </c>
      <c r="P4" s="12" t="s">
        <v>1003</v>
      </c>
      <c r="Q4" s="12" t="s">
        <v>1004</v>
      </c>
      <c r="R4" s="12" t="s">
        <v>1005</v>
      </c>
      <c r="S4" s="12" t="s">
        <v>116</v>
      </c>
      <c r="T4" s="12" t="s">
        <v>1006</v>
      </c>
      <c r="U4" s="2" t="s">
        <v>1007</v>
      </c>
    </row>
    <row r="5" spans="1:21" ht="42" customHeight="1">
      <c r="A5" s="3" t="s">
        <v>1008</v>
      </c>
      <c r="B5" s="3" t="s">
        <v>120</v>
      </c>
      <c r="C5" s="3" t="s">
        <v>135</v>
      </c>
      <c r="D5" s="3" t="s">
        <v>120</v>
      </c>
      <c r="E5" s="3" t="s">
        <v>135</v>
      </c>
      <c r="F5" s="3" t="s">
        <v>1009</v>
      </c>
      <c r="G5" s="3" t="s">
        <v>1010</v>
      </c>
      <c r="H5" s="3" t="s">
        <v>1011</v>
      </c>
      <c r="I5" s="3"/>
      <c r="J5" s="3" t="s">
        <v>1011</v>
      </c>
      <c r="K5" s="3" t="s">
        <v>48</v>
      </c>
      <c r="L5" s="3" t="s">
        <v>90</v>
      </c>
      <c r="M5" s="3" t="s">
        <v>1012</v>
      </c>
      <c r="N5" s="3" t="s">
        <v>90</v>
      </c>
      <c r="O5" s="3" t="s">
        <v>71</v>
      </c>
      <c r="P5" s="3" t="s">
        <v>71</v>
      </c>
      <c r="Q5" s="3"/>
      <c r="R5" s="3" t="s">
        <v>143</v>
      </c>
      <c r="S5" s="3" t="s">
        <v>71</v>
      </c>
      <c r="T5" s="3" t="s">
        <v>71</v>
      </c>
      <c r="U5" s="3" t="str">
        <f t="shared" ref="U5:U68" si="0">IF(AND(R5="revisada",S5="pasa",T5="aprobada",O5&lt;&gt;"pendiente",P5&lt;&gt;"pendiente",OR(J5="por_corroborar",AND(J5="corroborada",Q5&lt;&gt;""))),"SÍ","NO")</f>
        <v>NO</v>
      </c>
    </row>
    <row r="6" spans="1:21" ht="42" customHeight="1">
      <c r="A6" s="4" t="s">
        <v>1013</v>
      </c>
      <c r="B6" s="4" t="s">
        <v>135</v>
      </c>
      <c r="C6" s="4" t="s">
        <v>144</v>
      </c>
      <c r="D6" s="4" t="s">
        <v>135</v>
      </c>
      <c r="E6" s="4" t="s">
        <v>144</v>
      </c>
      <c r="F6" s="4" t="s">
        <v>1009</v>
      </c>
      <c r="G6" s="4" t="s">
        <v>1014</v>
      </c>
      <c r="H6" s="4" t="s">
        <v>1011</v>
      </c>
      <c r="I6" s="4"/>
      <c r="J6" s="4" t="s">
        <v>1011</v>
      </c>
      <c r="K6" s="4" t="s">
        <v>90</v>
      </c>
      <c r="L6" s="4" t="s">
        <v>83</v>
      </c>
      <c r="M6" s="4" t="s">
        <v>1012</v>
      </c>
      <c r="N6" s="4" t="s">
        <v>90</v>
      </c>
      <c r="O6" s="4" t="s">
        <v>71</v>
      </c>
      <c r="P6" s="4" t="s">
        <v>71</v>
      </c>
      <c r="Q6" s="4"/>
      <c r="R6" s="4" t="s">
        <v>143</v>
      </c>
      <c r="S6" s="4" t="s">
        <v>71</v>
      </c>
      <c r="T6" s="4" t="s">
        <v>71</v>
      </c>
      <c r="U6" s="4" t="str">
        <f t="shared" si="0"/>
        <v>NO</v>
      </c>
    </row>
    <row r="7" spans="1:21" ht="42" customHeight="1">
      <c r="A7" s="4" t="s">
        <v>1015</v>
      </c>
      <c r="B7" s="4" t="s">
        <v>120</v>
      </c>
      <c r="C7" s="4" t="s">
        <v>179</v>
      </c>
      <c r="D7" s="4" t="s">
        <v>120</v>
      </c>
      <c r="E7" s="4" t="s">
        <v>179</v>
      </c>
      <c r="F7" s="4" t="s">
        <v>1016</v>
      </c>
      <c r="G7" s="4" t="s">
        <v>1017</v>
      </c>
      <c r="H7" s="4" t="s">
        <v>1018</v>
      </c>
      <c r="I7" s="4"/>
      <c r="J7" s="4" t="s">
        <v>1018</v>
      </c>
      <c r="K7" s="4" t="s">
        <v>48</v>
      </c>
      <c r="L7" s="4" t="s">
        <v>55</v>
      </c>
      <c r="M7" s="4" t="s">
        <v>1012</v>
      </c>
      <c r="N7" s="4" t="s">
        <v>55</v>
      </c>
      <c r="O7" s="4" t="s">
        <v>71</v>
      </c>
      <c r="P7" s="4" t="s">
        <v>71</v>
      </c>
      <c r="Q7" s="4"/>
      <c r="R7" s="4" t="s">
        <v>143</v>
      </c>
      <c r="S7" s="4" t="s">
        <v>71</v>
      </c>
      <c r="T7" s="4" t="s">
        <v>71</v>
      </c>
      <c r="U7" s="4" t="str">
        <f t="shared" si="0"/>
        <v>NO</v>
      </c>
    </row>
    <row r="8" spans="1:21" ht="42" customHeight="1">
      <c r="A8" s="4" t="s">
        <v>1019</v>
      </c>
      <c r="B8" s="4" t="s">
        <v>179</v>
      </c>
      <c r="C8" s="4" t="s">
        <v>186</v>
      </c>
      <c r="D8" s="4" t="s">
        <v>179</v>
      </c>
      <c r="E8" s="4" t="s">
        <v>186</v>
      </c>
      <c r="F8" s="4" t="s">
        <v>1009</v>
      </c>
      <c r="G8" s="4" t="s">
        <v>1020</v>
      </c>
      <c r="H8" s="4" t="s">
        <v>1011</v>
      </c>
      <c r="I8" s="4"/>
      <c r="J8" s="4" t="s">
        <v>1011</v>
      </c>
      <c r="K8" s="4" t="s">
        <v>55</v>
      </c>
      <c r="L8" s="4" t="s">
        <v>55</v>
      </c>
      <c r="M8" s="4" t="s">
        <v>1021</v>
      </c>
      <c r="N8" s="4" t="s">
        <v>55</v>
      </c>
      <c r="O8" s="4" t="s">
        <v>71</v>
      </c>
      <c r="P8" s="4" t="s">
        <v>71</v>
      </c>
      <c r="Q8" s="4"/>
      <c r="R8" s="4" t="s">
        <v>143</v>
      </c>
      <c r="S8" s="4" t="s">
        <v>71</v>
      </c>
      <c r="T8" s="4" t="s">
        <v>71</v>
      </c>
      <c r="U8" s="4" t="str">
        <f t="shared" si="0"/>
        <v>NO</v>
      </c>
    </row>
    <row r="9" spans="1:21" ht="42" customHeight="1">
      <c r="A9" s="4" t="s">
        <v>1022</v>
      </c>
      <c r="B9" s="4" t="s">
        <v>186</v>
      </c>
      <c r="C9" s="4" t="s">
        <v>191</v>
      </c>
      <c r="D9" s="4" t="s">
        <v>186</v>
      </c>
      <c r="E9" s="4" t="s">
        <v>191</v>
      </c>
      <c r="F9" s="4" t="s">
        <v>1009</v>
      </c>
      <c r="G9" s="4" t="s">
        <v>1020</v>
      </c>
      <c r="H9" s="4" t="s">
        <v>1011</v>
      </c>
      <c r="I9" s="4"/>
      <c r="J9" s="4" t="s">
        <v>1011</v>
      </c>
      <c r="K9" s="4" t="s">
        <v>55</v>
      </c>
      <c r="L9" s="4" t="s">
        <v>55</v>
      </c>
      <c r="M9" s="4" t="s">
        <v>1021</v>
      </c>
      <c r="N9" s="4" t="s">
        <v>55</v>
      </c>
      <c r="O9" s="4" t="s">
        <v>71</v>
      </c>
      <c r="P9" s="4" t="s">
        <v>71</v>
      </c>
      <c r="Q9" s="4"/>
      <c r="R9" s="4" t="s">
        <v>143</v>
      </c>
      <c r="S9" s="4" t="s">
        <v>71</v>
      </c>
      <c r="T9" s="4" t="s">
        <v>71</v>
      </c>
      <c r="U9" s="4" t="str">
        <f t="shared" si="0"/>
        <v>NO</v>
      </c>
    </row>
    <row r="10" spans="1:21" ht="42" customHeight="1">
      <c r="A10" s="4" t="s">
        <v>1023</v>
      </c>
      <c r="B10" s="4" t="s">
        <v>186</v>
      </c>
      <c r="C10" s="4" t="s">
        <v>196</v>
      </c>
      <c r="D10" s="4" t="s">
        <v>186</v>
      </c>
      <c r="E10" s="4" t="s">
        <v>196</v>
      </c>
      <c r="F10" s="4" t="s">
        <v>1016</v>
      </c>
      <c r="G10" s="4" t="s">
        <v>1024</v>
      </c>
      <c r="H10" s="4" t="s">
        <v>1018</v>
      </c>
      <c r="I10" s="4"/>
      <c r="J10" s="4" t="s">
        <v>1018</v>
      </c>
      <c r="K10" s="4" t="s">
        <v>55</v>
      </c>
      <c r="L10" s="4" t="s">
        <v>69</v>
      </c>
      <c r="M10" s="4" t="s">
        <v>1012</v>
      </c>
      <c r="N10" s="4" t="s">
        <v>69</v>
      </c>
      <c r="O10" s="4" t="s">
        <v>71</v>
      </c>
      <c r="P10" s="4" t="s">
        <v>71</v>
      </c>
      <c r="Q10" s="4"/>
      <c r="R10" s="4" t="s">
        <v>143</v>
      </c>
      <c r="S10" s="4" t="s">
        <v>71</v>
      </c>
      <c r="T10" s="4" t="s">
        <v>71</v>
      </c>
      <c r="U10" s="4" t="str">
        <f t="shared" si="0"/>
        <v>NO</v>
      </c>
    </row>
    <row r="11" spans="1:21" ht="42" customHeight="1">
      <c r="A11" s="4" t="s">
        <v>1025</v>
      </c>
      <c r="B11" s="4" t="s">
        <v>148</v>
      </c>
      <c r="C11" s="4" t="s">
        <v>161</v>
      </c>
      <c r="D11" s="4" t="s">
        <v>148</v>
      </c>
      <c r="E11" s="4" t="s">
        <v>161</v>
      </c>
      <c r="F11" s="4" t="s">
        <v>1009</v>
      </c>
      <c r="G11" s="4" t="s">
        <v>1026</v>
      </c>
      <c r="H11" s="4" t="s">
        <v>1011</v>
      </c>
      <c r="I11" s="4"/>
      <c r="J11" s="4" t="s">
        <v>1011</v>
      </c>
      <c r="K11" s="4" t="s">
        <v>48</v>
      </c>
      <c r="L11" s="4" t="s">
        <v>72</v>
      </c>
      <c r="M11" s="4" t="s">
        <v>1012</v>
      </c>
      <c r="N11" s="4" t="s">
        <v>72</v>
      </c>
      <c r="O11" s="4" t="s">
        <v>71</v>
      </c>
      <c r="P11" s="4" t="s">
        <v>71</v>
      </c>
      <c r="Q11" s="4"/>
      <c r="R11" s="4" t="s">
        <v>143</v>
      </c>
      <c r="S11" s="4" t="s">
        <v>71</v>
      </c>
      <c r="T11" s="4" t="s">
        <v>71</v>
      </c>
      <c r="U11" s="4" t="str">
        <f t="shared" si="0"/>
        <v>NO</v>
      </c>
    </row>
    <row r="12" spans="1:21" ht="42" customHeight="1">
      <c r="A12" s="4" t="s">
        <v>1027</v>
      </c>
      <c r="B12" s="4" t="s">
        <v>148</v>
      </c>
      <c r="C12" s="4" t="s">
        <v>171</v>
      </c>
      <c r="D12" s="4" t="s">
        <v>148</v>
      </c>
      <c r="E12" s="4" t="s">
        <v>171</v>
      </c>
      <c r="F12" s="4" t="s">
        <v>1016</v>
      </c>
      <c r="G12" s="4" t="s">
        <v>1028</v>
      </c>
      <c r="H12" s="4" t="s">
        <v>1018</v>
      </c>
      <c r="I12" s="4" t="s">
        <v>1029</v>
      </c>
      <c r="J12" s="4" t="s">
        <v>1011</v>
      </c>
      <c r="K12" s="4" t="s">
        <v>48</v>
      </c>
      <c r="L12" s="4" t="s">
        <v>48</v>
      </c>
      <c r="M12" s="4" t="s">
        <v>1021</v>
      </c>
      <c r="N12" s="4" t="s">
        <v>48</v>
      </c>
      <c r="O12" s="4" t="s">
        <v>1030</v>
      </c>
      <c r="P12" s="4" t="s">
        <v>1031</v>
      </c>
      <c r="Q12" s="4"/>
      <c r="R12" s="4" t="s">
        <v>1032</v>
      </c>
      <c r="S12" s="4" t="s">
        <v>132</v>
      </c>
      <c r="T12" s="4" t="s">
        <v>133</v>
      </c>
      <c r="U12" s="4" t="str">
        <f t="shared" si="0"/>
        <v>SÍ</v>
      </c>
    </row>
    <row r="13" spans="1:21" ht="42" customHeight="1">
      <c r="A13" s="4" t="s">
        <v>1033</v>
      </c>
      <c r="B13" s="4" t="s">
        <v>161</v>
      </c>
      <c r="C13" s="4" t="s">
        <v>144</v>
      </c>
      <c r="D13" s="4" t="s">
        <v>161</v>
      </c>
      <c r="E13" s="4" t="s">
        <v>144</v>
      </c>
      <c r="F13" s="4" t="s">
        <v>1009</v>
      </c>
      <c r="G13" s="4" t="s">
        <v>1010</v>
      </c>
      <c r="H13" s="4" t="s">
        <v>1011</v>
      </c>
      <c r="I13" s="4"/>
      <c r="J13" s="4" t="s">
        <v>1011</v>
      </c>
      <c r="K13" s="4" t="s">
        <v>72</v>
      </c>
      <c r="L13" s="4" t="s">
        <v>83</v>
      </c>
      <c r="M13" s="4" t="s">
        <v>1012</v>
      </c>
      <c r="N13" s="4" t="s">
        <v>83</v>
      </c>
      <c r="O13" s="4" t="s">
        <v>71</v>
      </c>
      <c r="P13" s="4" t="s">
        <v>71</v>
      </c>
      <c r="Q13" s="4"/>
      <c r="R13" s="4" t="s">
        <v>143</v>
      </c>
      <c r="S13" s="4" t="s">
        <v>71</v>
      </c>
      <c r="T13" s="4" t="s">
        <v>71</v>
      </c>
      <c r="U13" s="4" t="str">
        <f t="shared" si="0"/>
        <v>NO</v>
      </c>
    </row>
    <row r="14" spans="1:21" ht="42" customHeight="1">
      <c r="A14" s="4" t="s">
        <v>1034</v>
      </c>
      <c r="B14" s="4" t="s">
        <v>161</v>
      </c>
      <c r="C14" s="4" t="s">
        <v>167</v>
      </c>
      <c r="D14" s="4" t="s">
        <v>161</v>
      </c>
      <c r="E14" s="4" t="s">
        <v>167</v>
      </c>
      <c r="F14" s="4" t="s">
        <v>1009</v>
      </c>
      <c r="G14" s="4" t="s">
        <v>1026</v>
      </c>
      <c r="H14" s="4" t="s">
        <v>1011</v>
      </c>
      <c r="I14" s="4"/>
      <c r="J14" s="4" t="s">
        <v>1011</v>
      </c>
      <c r="K14" s="4" t="s">
        <v>72</v>
      </c>
      <c r="L14" s="4" t="s">
        <v>72</v>
      </c>
      <c r="M14" s="4" t="s">
        <v>1021</v>
      </c>
      <c r="N14" s="4" t="s">
        <v>72</v>
      </c>
      <c r="O14" s="4" t="s">
        <v>71</v>
      </c>
      <c r="P14" s="4" t="s">
        <v>71</v>
      </c>
      <c r="Q14" s="4"/>
      <c r="R14" s="4" t="s">
        <v>143</v>
      </c>
      <c r="S14" s="4" t="s">
        <v>71</v>
      </c>
      <c r="T14" s="4" t="s">
        <v>71</v>
      </c>
      <c r="U14" s="4" t="str">
        <f t="shared" si="0"/>
        <v>NO</v>
      </c>
    </row>
    <row r="15" spans="1:21" ht="42" customHeight="1">
      <c r="A15" s="4" t="s">
        <v>1035</v>
      </c>
      <c r="B15" s="4" t="s">
        <v>167</v>
      </c>
      <c r="C15" s="4" t="s">
        <v>221</v>
      </c>
      <c r="D15" s="4" t="s">
        <v>167</v>
      </c>
      <c r="E15" s="4" t="s">
        <v>221</v>
      </c>
      <c r="F15" s="4" t="s">
        <v>1009</v>
      </c>
      <c r="G15" s="4" t="s">
        <v>1026</v>
      </c>
      <c r="H15" s="4" t="s">
        <v>1011</v>
      </c>
      <c r="I15" s="4"/>
      <c r="J15" s="4" t="s">
        <v>1011</v>
      </c>
      <c r="K15" s="4" t="s">
        <v>72</v>
      </c>
      <c r="L15" s="4" t="s">
        <v>77</v>
      </c>
      <c r="M15" s="4" t="s">
        <v>1012</v>
      </c>
      <c r="N15" s="4" t="s">
        <v>77</v>
      </c>
      <c r="O15" s="4" t="s">
        <v>71</v>
      </c>
      <c r="P15" s="4" t="s">
        <v>71</v>
      </c>
      <c r="Q15" s="4"/>
      <c r="R15" s="4" t="s">
        <v>143</v>
      </c>
      <c r="S15" s="4" t="s">
        <v>71</v>
      </c>
      <c r="T15" s="4" t="s">
        <v>71</v>
      </c>
      <c r="U15" s="4" t="str">
        <f t="shared" si="0"/>
        <v>NO</v>
      </c>
    </row>
    <row r="16" spans="1:21" ht="42" customHeight="1">
      <c r="A16" s="4" t="s">
        <v>1036</v>
      </c>
      <c r="B16" s="4" t="s">
        <v>236</v>
      </c>
      <c r="C16" s="4" t="s">
        <v>241</v>
      </c>
      <c r="D16" s="4" t="s">
        <v>236</v>
      </c>
      <c r="E16" s="4" t="s">
        <v>241</v>
      </c>
      <c r="F16" s="4" t="s">
        <v>1009</v>
      </c>
      <c r="G16" s="4" t="s">
        <v>1037</v>
      </c>
      <c r="H16" s="4" t="s">
        <v>1011</v>
      </c>
      <c r="I16" s="4"/>
      <c r="J16" s="4" t="s">
        <v>1011</v>
      </c>
      <c r="K16" s="4" t="s">
        <v>81</v>
      </c>
      <c r="L16" s="4" t="s">
        <v>81</v>
      </c>
      <c r="M16" s="4" t="s">
        <v>1021</v>
      </c>
      <c r="N16" s="4" t="s">
        <v>81</v>
      </c>
      <c r="O16" s="4" t="s">
        <v>71</v>
      </c>
      <c r="P16" s="4" t="s">
        <v>71</v>
      </c>
      <c r="Q16" s="4"/>
      <c r="R16" s="4" t="s">
        <v>143</v>
      </c>
      <c r="S16" s="4" t="s">
        <v>71</v>
      </c>
      <c r="T16" s="4" t="s">
        <v>71</v>
      </c>
      <c r="U16" s="4" t="str">
        <f t="shared" si="0"/>
        <v>NO</v>
      </c>
    </row>
    <row r="17" spans="1:21" ht="42" customHeight="1">
      <c r="A17" s="4" t="s">
        <v>1038</v>
      </c>
      <c r="B17" s="4" t="s">
        <v>245</v>
      </c>
      <c r="C17" s="4" t="s">
        <v>261</v>
      </c>
      <c r="D17" s="4" t="s">
        <v>245</v>
      </c>
      <c r="E17" s="4" t="s">
        <v>261</v>
      </c>
      <c r="F17" s="4" t="s">
        <v>1009</v>
      </c>
      <c r="G17" s="4" t="s">
        <v>1039</v>
      </c>
      <c r="H17" s="4" t="s">
        <v>1011</v>
      </c>
      <c r="I17" s="4"/>
      <c r="J17" s="4" t="s">
        <v>1011</v>
      </c>
      <c r="K17" s="4" t="s">
        <v>86</v>
      </c>
      <c r="L17" s="4" t="s">
        <v>77</v>
      </c>
      <c r="M17" s="4" t="s">
        <v>1012</v>
      </c>
      <c r="N17" s="4" t="s">
        <v>86</v>
      </c>
      <c r="O17" s="4" t="s">
        <v>71</v>
      </c>
      <c r="P17" s="4" t="s">
        <v>71</v>
      </c>
      <c r="Q17" s="4"/>
      <c r="R17" s="4" t="s">
        <v>143</v>
      </c>
      <c r="S17" s="4" t="s">
        <v>71</v>
      </c>
      <c r="T17" s="4" t="s">
        <v>71</v>
      </c>
      <c r="U17" s="4" t="str">
        <f t="shared" si="0"/>
        <v>NO</v>
      </c>
    </row>
    <row r="18" spans="1:21" ht="42" customHeight="1">
      <c r="A18" s="4" t="s">
        <v>1040</v>
      </c>
      <c r="B18" s="4" t="s">
        <v>245</v>
      </c>
      <c r="C18" s="4" t="s">
        <v>252</v>
      </c>
      <c r="D18" s="4" t="s">
        <v>245</v>
      </c>
      <c r="E18" s="4" t="s">
        <v>252</v>
      </c>
      <c r="F18" s="4" t="s">
        <v>1009</v>
      </c>
      <c r="G18" s="4" t="s">
        <v>1014</v>
      </c>
      <c r="H18" s="4" t="s">
        <v>1011</v>
      </c>
      <c r="I18" s="4"/>
      <c r="J18" s="4" t="s">
        <v>1011</v>
      </c>
      <c r="K18" s="4" t="s">
        <v>86</v>
      </c>
      <c r="L18" s="4" t="s">
        <v>83</v>
      </c>
      <c r="M18" s="4" t="s">
        <v>1012</v>
      </c>
      <c r="N18" s="4" t="s">
        <v>86</v>
      </c>
      <c r="O18" s="4" t="s">
        <v>71</v>
      </c>
      <c r="P18" s="4" t="s">
        <v>71</v>
      </c>
      <c r="Q18" s="4"/>
      <c r="R18" s="4" t="s">
        <v>143</v>
      </c>
      <c r="S18" s="4" t="s">
        <v>71</v>
      </c>
      <c r="T18" s="4" t="s">
        <v>71</v>
      </c>
      <c r="U18" s="4" t="str">
        <f t="shared" si="0"/>
        <v>NO</v>
      </c>
    </row>
    <row r="19" spans="1:21" ht="42" customHeight="1">
      <c r="A19" s="4" t="s">
        <v>1041</v>
      </c>
      <c r="B19" s="4" t="s">
        <v>252</v>
      </c>
      <c r="C19" s="4" t="s">
        <v>257</v>
      </c>
      <c r="D19" s="4" t="s">
        <v>252</v>
      </c>
      <c r="E19" s="4" t="s">
        <v>257</v>
      </c>
      <c r="F19" s="4" t="s">
        <v>1009</v>
      </c>
      <c r="G19" s="4" t="s">
        <v>1042</v>
      </c>
      <c r="H19" s="4" t="s">
        <v>1011</v>
      </c>
      <c r="I19" s="4"/>
      <c r="J19" s="4" t="s">
        <v>1011</v>
      </c>
      <c r="K19" s="4" t="s">
        <v>83</v>
      </c>
      <c r="L19" s="4" t="s">
        <v>61</v>
      </c>
      <c r="M19" s="4" t="s">
        <v>1012</v>
      </c>
      <c r="N19" s="4" t="s">
        <v>83</v>
      </c>
      <c r="O19" s="4" t="s">
        <v>71</v>
      </c>
      <c r="P19" s="4" t="s">
        <v>71</v>
      </c>
      <c r="Q19" s="4"/>
      <c r="R19" s="4" t="s">
        <v>143</v>
      </c>
      <c r="S19" s="4" t="s">
        <v>71</v>
      </c>
      <c r="T19" s="4" t="s">
        <v>71</v>
      </c>
      <c r="U19" s="4" t="str">
        <f t="shared" si="0"/>
        <v>NO</v>
      </c>
    </row>
    <row r="20" spans="1:21" ht="42" customHeight="1">
      <c r="A20" s="4" t="s">
        <v>1043</v>
      </c>
      <c r="B20" s="4" t="s">
        <v>265</v>
      </c>
      <c r="C20" s="4" t="s">
        <v>279</v>
      </c>
      <c r="D20" s="4" t="s">
        <v>265</v>
      </c>
      <c r="E20" s="4" t="s">
        <v>279</v>
      </c>
      <c r="F20" s="4" t="s">
        <v>1009</v>
      </c>
      <c r="G20" s="4" t="s">
        <v>1044</v>
      </c>
      <c r="H20" s="4" t="s">
        <v>1011</v>
      </c>
      <c r="I20" s="4"/>
      <c r="J20" s="4" t="s">
        <v>1011</v>
      </c>
      <c r="K20" s="4" t="s">
        <v>92</v>
      </c>
      <c r="L20" s="4" t="s">
        <v>61</v>
      </c>
      <c r="M20" s="4" t="s">
        <v>1012</v>
      </c>
      <c r="N20" s="4" t="s">
        <v>92</v>
      </c>
      <c r="O20" s="4" t="s">
        <v>71</v>
      </c>
      <c r="P20" s="4" t="s">
        <v>71</v>
      </c>
      <c r="Q20" s="4"/>
      <c r="R20" s="4" t="s">
        <v>143</v>
      </c>
      <c r="S20" s="4" t="s">
        <v>71</v>
      </c>
      <c r="T20" s="4" t="s">
        <v>71</v>
      </c>
      <c r="U20" s="4" t="str">
        <f t="shared" si="0"/>
        <v>NO</v>
      </c>
    </row>
    <row r="21" spans="1:21" ht="42" customHeight="1">
      <c r="A21" s="4" t="s">
        <v>1045</v>
      </c>
      <c r="B21" s="4" t="s">
        <v>265</v>
      </c>
      <c r="C21" s="4" t="s">
        <v>144</v>
      </c>
      <c r="D21" s="4" t="s">
        <v>265</v>
      </c>
      <c r="E21" s="4" t="s">
        <v>144</v>
      </c>
      <c r="F21" s="4" t="s">
        <v>1009</v>
      </c>
      <c r="G21" s="4" t="s">
        <v>1014</v>
      </c>
      <c r="H21" s="4" t="s">
        <v>1011</v>
      </c>
      <c r="I21" s="4"/>
      <c r="J21" s="4" t="s">
        <v>1011</v>
      </c>
      <c r="K21" s="4" t="s">
        <v>92</v>
      </c>
      <c r="L21" s="4" t="s">
        <v>83</v>
      </c>
      <c r="M21" s="4" t="s">
        <v>1012</v>
      </c>
      <c r="N21" s="4" t="s">
        <v>92</v>
      </c>
      <c r="O21" s="4" t="s">
        <v>71</v>
      </c>
      <c r="P21" s="4" t="s">
        <v>71</v>
      </c>
      <c r="Q21" s="4"/>
      <c r="R21" s="4" t="s">
        <v>143</v>
      </c>
      <c r="S21" s="4" t="s">
        <v>71</v>
      </c>
      <c r="T21" s="4" t="s">
        <v>71</v>
      </c>
      <c r="U21" s="4" t="str">
        <f t="shared" si="0"/>
        <v>NO</v>
      </c>
    </row>
    <row r="22" spans="1:21" ht="42" customHeight="1">
      <c r="A22" s="4" t="s">
        <v>1046</v>
      </c>
      <c r="B22" s="4" t="s">
        <v>249</v>
      </c>
      <c r="C22" s="4" t="s">
        <v>245</v>
      </c>
      <c r="D22" s="4" t="s">
        <v>249</v>
      </c>
      <c r="E22" s="4" t="s">
        <v>245</v>
      </c>
      <c r="F22" s="4" t="s">
        <v>1009</v>
      </c>
      <c r="G22" s="4" t="s">
        <v>1039</v>
      </c>
      <c r="H22" s="4" t="s">
        <v>1011</v>
      </c>
      <c r="I22" s="4"/>
      <c r="J22" s="4" t="s">
        <v>1011</v>
      </c>
      <c r="K22" s="4" t="s">
        <v>69</v>
      </c>
      <c r="L22" s="4" t="s">
        <v>86</v>
      </c>
      <c r="M22" s="4" t="s">
        <v>1012</v>
      </c>
      <c r="N22" s="4" t="s">
        <v>86</v>
      </c>
      <c r="O22" s="4" t="s">
        <v>71</v>
      </c>
      <c r="P22" s="4" t="s">
        <v>71</v>
      </c>
      <c r="Q22" s="4"/>
      <c r="R22" s="4" t="s">
        <v>143</v>
      </c>
      <c r="S22" s="4" t="s">
        <v>71</v>
      </c>
      <c r="T22" s="4" t="s">
        <v>71</v>
      </c>
      <c r="U22" s="4" t="str">
        <f t="shared" si="0"/>
        <v>NO</v>
      </c>
    </row>
    <row r="23" spans="1:21" ht="42" customHeight="1">
      <c r="A23" s="4" t="s">
        <v>1047</v>
      </c>
      <c r="B23" s="4" t="s">
        <v>210</v>
      </c>
      <c r="C23" s="4" t="s">
        <v>206</v>
      </c>
      <c r="D23" s="4" t="s">
        <v>210</v>
      </c>
      <c r="E23" s="4" t="s">
        <v>206</v>
      </c>
      <c r="F23" s="4" t="s">
        <v>1009</v>
      </c>
      <c r="G23" s="4" t="s">
        <v>1020</v>
      </c>
      <c r="H23" s="4" t="s">
        <v>1011</v>
      </c>
      <c r="I23" s="4"/>
      <c r="J23" s="4" t="s">
        <v>1011</v>
      </c>
      <c r="K23" s="4" t="s">
        <v>48</v>
      </c>
      <c r="L23" s="4" t="s">
        <v>79</v>
      </c>
      <c r="M23" s="4" t="s">
        <v>1012</v>
      </c>
      <c r="N23" s="4" t="s">
        <v>79</v>
      </c>
      <c r="O23" s="4" t="s">
        <v>71</v>
      </c>
      <c r="P23" s="4" t="s">
        <v>71</v>
      </c>
      <c r="Q23" s="4"/>
      <c r="R23" s="4" t="s">
        <v>143</v>
      </c>
      <c r="S23" s="4" t="s">
        <v>71</v>
      </c>
      <c r="T23" s="4" t="s">
        <v>71</v>
      </c>
      <c r="U23" s="4" t="str">
        <f t="shared" si="0"/>
        <v>NO</v>
      </c>
    </row>
    <row r="24" spans="1:21" ht="42" customHeight="1">
      <c r="A24" s="4" t="s">
        <v>1048</v>
      </c>
      <c r="B24" s="4" t="s">
        <v>282</v>
      </c>
      <c r="C24" s="4" t="s">
        <v>265</v>
      </c>
      <c r="D24" s="4" t="s">
        <v>282</v>
      </c>
      <c r="E24" s="4" t="s">
        <v>265</v>
      </c>
      <c r="F24" s="4" t="s">
        <v>1009</v>
      </c>
      <c r="G24" s="4" t="s">
        <v>1044</v>
      </c>
      <c r="H24" s="4" t="s">
        <v>1011</v>
      </c>
      <c r="I24" s="4"/>
      <c r="J24" s="4" t="s">
        <v>1011</v>
      </c>
      <c r="K24" s="4" t="s">
        <v>55</v>
      </c>
      <c r="L24" s="4" t="s">
        <v>92</v>
      </c>
      <c r="M24" s="4" t="s">
        <v>1012</v>
      </c>
      <c r="N24" s="4" t="s">
        <v>92</v>
      </c>
      <c r="O24" s="4" t="s">
        <v>71</v>
      </c>
      <c r="P24" s="4" t="s">
        <v>71</v>
      </c>
      <c r="Q24" s="4"/>
      <c r="R24" s="4" t="s">
        <v>143</v>
      </c>
      <c r="S24" s="4" t="s">
        <v>71</v>
      </c>
      <c r="T24" s="4" t="s">
        <v>71</v>
      </c>
      <c r="U24" s="4" t="str">
        <f t="shared" si="0"/>
        <v>NO</v>
      </c>
    </row>
    <row r="25" spans="1:21" ht="42" customHeight="1">
      <c r="A25" s="4" t="s">
        <v>1049</v>
      </c>
      <c r="B25" s="4" t="s">
        <v>226</v>
      </c>
      <c r="C25" s="4" t="s">
        <v>232</v>
      </c>
      <c r="D25" s="4" t="s">
        <v>226</v>
      </c>
      <c r="E25" s="4" t="s">
        <v>232</v>
      </c>
      <c r="F25" s="4" t="s">
        <v>1009</v>
      </c>
      <c r="G25" s="4" t="s">
        <v>1050</v>
      </c>
      <c r="H25" s="4" t="s">
        <v>1011</v>
      </c>
      <c r="I25" s="4"/>
      <c r="J25" s="4" t="s">
        <v>1011</v>
      </c>
      <c r="K25" s="4" t="s">
        <v>92</v>
      </c>
      <c r="L25" s="4" t="s">
        <v>92</v>
      </c>
      <c r="M25" s="4" t="s">
        <v>1021</v>
      </c>
      <c r="N25" s="4" t="s">
        <v>92</v>
      </c>
      <c r="O25" s="4" t="s">
        <v>71</v>
      </c>
      <c r="P25" s="4" t="s">
        <v>71</v>
      </c>
      <c r="Q25" s="4"/>
      <c r="R25" s="4" t="s">
        <v>143</v>
      </c>
      <c r="S25" s="4" t="s">
        <v>71</v>
      </c>
      <c r="T25" s="4" t="s">
        <v>71</v>
      </c>
      <c r="U25" s="4" t="str">
        <f t="shared" si="0"/>
        <v>NO</v>
      </c>
    </row>
    <row r="26" spans="1:21" ht="42" customHeight="1">
      <c r="A26" s="4" t="s">
        <v>1051</v>
      </c>
      <c r="B26" s="4" t="s">
        <v>206</v>
      </c>
      <c r="C26" s="4" t="s">
        <v>191</v>
      </c>
      <c r="D26" s="4" t="s">
        <v>206</v>
      </c>
      <c r="E26" s="4" t="s">
        <v>191</v>
      </c>
      <c r="F26" s="4" t="s">
        <v>1009</v>
      </c>
      <c r="G26" s="4" t="s">
        <v>1020</v>
      </c>
      <c r="H26" s="4" t="s">
        <v>1011</v>
      </c>
      <c r="I26" s="4"/>
      <c r="J26" s="4" t="s">
        <v>1011</v>
      </c>
      <c r="K26" s="4" t="s">
        <v>79</v>
      </c>
      <c r="L26" s="4" t="s">
        <v>55</v>
      </c>
      <c r="M26" s="4" t="s">
        <v>1012</v>
      </c>
      <c r="N26" s="4" t="s">
        <v>79</v>
      </c>
      <c r="O26" s="4" t="s">
        <v>71</v>
      </c>
      <c r="P26" s="4" t="s">
        <v>71</v>
      </c>
      <c r="Q26" s="4"/>
      <c r="R26" s="4" t="s">
        <v>143</v>
      </c>
      <c r="S26" s="4" t="s">
        <v>71</v>
      </c>
      <c r="T26" s="4" t="s">
        <v>71</v>
      </c>
      <c r="U26" s="4" t="str">
        <f t="shared" si="0"/>
        <v>NO</v>
      </c>
    </row>
    <row r="27" spans="1:21" ht="42" customHeight="1">
      <c r="A27" s="4" t="s">
        <v>1052</v>
      </c>
      <c r="B27" s="4" t="s">
        <v>221</v>
      </c>
      <c r="C27" s="4" t="s">
        <v>210</v>
      </c>
      <c r="D27" s="4" t="s">
        <v>221</v>
      </c>
      <c r="E27" s="4" t="s">
        <v>210</v>
      </c>
      <c r="F27" s="4" t="s">
        <v>1009</v>
      </c>
      <c r="G27" s="4" t="s">
        <v>1020</v>
      </c>
      <c r="H27" s="4" t="s">
        <v>1011</v>
      </c>
      <c r="I27" s="4"/>
      <c r="J27" s="4" t="s">
        <v>1011</v>
      </c>
      <c r="K27" s="4" t="s">
        <v>77</v>
      </c>
      <c r="L27" s="4" t="s">
        <v>48</v>
      </c>
      <c r="M27" s="4" t="s">
        <v>1012</v>
      </c>
      <c r="N27" s="4" t="s">
        <v>77</v>
      </c>
      <c r="O27" s="4" t="s">
        <v>71</v>
      </c>
      <c r="P27" s="4" t="s">
        <v>71</v>
      </c>
      <c r="Q27" s="4"/>
      <c r="R27" s="4" t="s">
        <v>143</v>
      </c>
      <c r="S27" s="4" t="s">
        <v>71</v>
      </c>
      <c r="T27" s="4" t="s">
        <v>71</v>
      </c>
      <c r="U27" s="4" t="str">
        <f t="shared" si="0"/>
        <v>NO</v>
      </c>
    </row>
    <row r="28" spans="1:21" ht="42" customHeight="1">
      <c r="A28" s="4" t="s">
        <v>1053</v>
      </c>
      <c r="B28" s="4" t="s">
        <v>270</v>
      </c>
      <c r="C28" s="4" t="s">
        <v>144</v>
      </c>
      <c r="D28" s="4" t="s">
        <v>270</v>
      </c>
      <c r="E28" s="4" t="s">
        <v>144</v>
      </c>
      <c r="F28" s="4" t="s">
        <v>1016</v>
      </c>
      <c r="G28" s="4" t="s">
        <v>1054</v>
      </c>
      <c r="H28" s="4" t="s">
        <v>1018</v>
      </c>
      <c r="I28" s="4"/>
      <c r="J28" s="4" t="s">
        <v>1018</v>
      </c>
      <c r="K28" s="4" t="s">
        <v>69</v>
      </c>
      <c r="L28" s="4" t="s">
        <v>83</v>
      </c>
      <c r="M28" s="4" t="s">
        <v>1012</v>
      </c>
      <c r="N28" s="4" t="s">
        <v>83</v>
      </c>
      <c r="O28" s="4" t="s">
        <v>71</v>
      </c>
      <c r="P28" s="4" t="s">
        <v>71</v>
      </c>
      <c r="Q28" s="4"/>
      <c r="R28" s="4" t="s">
        <v>143</v>
      </c>
      <c r="S28" s="4" t="s">
        <v>71</v>
      </c>
      <c r="T28" s="4" t="s">
        <v>71</v>
      </c>
      <c r="U28" s="4" t="str">
        <f t="shared" si="0"/>
        <v>NO</v>
      </c>
    </row>
    <row r="29" spans="1:21" ht="42" customHeight="1">
      <c r="A29" s="4" t="s">
        <v>1055</v>
      </c>
      <c r="B29" s="4" t="s">
        <v>270</v>
      </c>
      <c r="C29" s="4" t="s">
        <v>265</v>
      </c>
      <c r="D29" s="4" t="s">
        <v>270</v>
      </c>
      <c r="E29" s="4" t="s">
        <v>265</v>
      </c>
      <c r="F29" s="4" t="s">
        <v>1009</v>
      </c>
      <c r="G29" s="4" t="s">
        <v>1044</v>
      </c>
      <c r="H29" s="4" t="s">
        <v>1011</v>
      </c>
      <c r="I29" s="4"/>
      <c r="J29" s="4" t="s">
        <v>1011</v>
      </c>
      <c r="K29" s="4" t="s">
        <v>69</v>
      </c>
      <c r="L29" s="4" t="s">
        <v>92</v>
      </c>
      <c r="M29" s="4" t="s">
        <v>1012</v>
      </c>
      <c r="N29" s="4" t="s">
        <v>92</v>
      </c>
      <c r="O29" s="4" t="s">
        <v>71</v>
      </c>
      <c r="P29" s="4" t="s">
        <v>71</v>
      </c>
      <c r="Q29" s="4"/>
      <c r="R29" s="4" t="s">
        <v>143</v>
      </c>
      <c r="S29" s="4" t="s">
        <v>71</v>
      </c>
      <c r="T29" s="4" t="s">
        <v>71</v>
      </c>
      <c r="U29" s="4" t="str">
        <f t="shared" si="0"/>
        <v>NO</v>
      </c>
    </row>
    <row r="30" spans="1:21" ht="42" customHeight="1">
      <c r="A30" s="4" t="s">
        <v>1056</v>
      </c>
      <c r="B30" s="4" t="s">
        <v>232</v>
      </c>
      <c r="C30" s="4" t="s">
        <v>120</v>
      </c>
      <c r="D30" s="4" t="s">
        <v>232</v>
      </c>
      <c r="E30" s="4" t="s">
        <v>120</v>
      </c>
      <c r="F30" s="4" t="s">
        <v>1016</v>
      </c>
      <c r="G30" s="4" t="s">
        <v>1057</v>
      </c>
      <c r="H30" s="4" t="s">
        <v>1018</v>
      </c>
      <c r="I30" s="4"/>
      <c r="J30" s="4" t="s">
        <v>1018</v>
      </c>
      <c r="K30" s="4" t="s">
        <v>92</v>
      </c>
      <c r="L30" s="4" t="s">
        <v>48</v>
      </c>
      <c r="M30" s="4" t="s">
        <v>1012</v>
      </c>
      <c r="N30" s="4" t="s">
        <v>92</v>
      </c>
      <c r="O30" s="4" t="s">
        <v>71</v>
      </c>
      <c r="P30" s="4" t="s">
        <v>71</v>
      </c>
      <c r="Q30" s="4"/>
      <c r="R30" s="4" t="s">
        <v>143</v>
      </c>
      <c r="S30" s="4" t="s">
        <v>71</v>
      </c>
      <c r="T30" s="4" t="s">
        <v>71</v>
      </c>
      <c r="U30" s="4" t="str">
        <f t="shared" si="0"/>
        <v>NO</v>
      </c>
    </row>
    <row r="31" spans="1:21" ht="42" customHeight="1">
      <c r="A31" s="4" t="s">
        <v>1058</v>
      </c>
      <c r="B31" s="4" t="s">
        <v>236</v>
      </c>
      <c r="C31" s="4" t="s">
        <v>210</v>
      </c>
      <c r="D31" s="4" t="s">
        <v>236</v>
      </c>
      <c r="E31" s="4" t="s">
        <v>210</v>
      </c>
      <c r="F31" s="4" t="s">
        <v>1009</v>
      </c>
      <c r="G31" s="4" t="s">
        <v>1037</v>
      </c>
      <c r="H31" s="4" t="s">
        <v>1011</v>
      </c>
      <c r="I31" s="4"/>
      <c r="J31" s="4" t="s">
        <v>1011</v>
      </c>
      <c r="K31" s="4" t="s">
        <v>81</v>
      </c>
      <c r="L31" s="4" t="s">
        <v>48</v>
      </c>
      <c r="M31" s="4" t="s">
        <v>1012</v>
      </c>
      <c r="N31" s="4" t="s">
        <v>81</v>
      </c>
      <c r="O31" s="4" t="s">
        <v>71</v>
      </c>
      <c r="P31" s="4" t="s">
        <v>71</v>
      </c>
      <c r="Q31" s="4"/>
      <c r="R31" s="4" t="s">
        <v>143</v>
      </c>
      <c r="S31" s="4" t="s">
        <v>71</v>
      </c>
      <c r="T31" s="4" t="s">
        <v>71</v>
      </c>
      <c r="U31" s="4" t="str">
        <f t="shared" si="0"/>
        <v>NO</v>
      </c>
    </row>
    <row r="32" spans="1:21" ht="42" customHeight="1">
      <c r="A32" s="4" t="s">
        <v>1059</v>
      </c>
      <c r="B32" s="4" t="s">
        <v>261</v>
      </c>
      <c r="C32" s="4" t="s">
        <v>249</v>
      </c>
      <c r="D32" s="4" t="s">
        <v>261</v>
      </c>
      <c r="E32" s="4" t="s">
        <v>249</v>
      </c>
      <c r="F32" s="4" t="s">
        <v>1009</v>
      </c>
      <c r="G32" s="4" t="s">
        <v>1039</v>
      </c>
      <c r="H32" s="4" t="s">
        <v>1011</v>
      </c>
      <c r="I32" s="4"/>
      <c r="J32" s="4" t="s">
        <v>1011</v>
      </c>
      <c r="K32" s="4" t="s">
        <v>77</v>
      </c>
      <c r="L32" s="4" t="s">
        <v>69</v>
      </c>
      <c r="M32" s="4" t="s">
        <v>1012</v>
      </c>
      <c r="N32" s="4" t="s">
        <v>77</v>
      </c>
      <c r="O32" s="4" t="s">
        <v>71</v>
      </c>
      <c r="P32" s="4" t="s">
        <v>71</v>
      </c>
      <c r="Q32" s="4"/>
      <c r="R32" s="4" t="s">
        <v>143</v>
      </c>
      <c r="S32" s="4" t="s">
        <v>71</v>
      </c>
      <c r="T32" s="4" t="s">
        <v>71</v>
      </c>
      <c r="U32" s="4" t="str">
        <f t="shared" si="0"/>
        <v>NO</v>
      </c>
    </row>
    <row r="33" spans="1:21" ht="42" customHeight="1">
      <c r="A33" s="4" t="s">
        <v>1060</v>
      </c>
      <c r="B33" s="4" t="s">
        <v>202</v>
      </c>
      <c r="C33" s="4" t="s">
        <v>186</v>
      </c>
      <c r="D33" s="4" t="s">
        <v>202</v>
      </c>
      <c r="E33" s="4" t="s">
        <v>186</v>
      </c>
      <c r="F33" s="4" t="s">
        <v>1016</v>
      </c>
      <c r="G33" s="4" t="s">
        <v>1061</v>
      </c>
      <c r="H33" s="4" t="s">
        <v>1018</v>
      </c>
      <c r="I33" s="4"/>
      <c r="J33" s="4" t="s">
        <v>1018</v>
      </c>
      <c r="K33" s="4" t="s">
        <v>55</v>
      </c>
      <c r="L33" s="4" t="s">
        <v>55</v>
      </c>
      <c r="M33" s="4" t="s">
        <v>1021</v>
      </c>
      <c r="N33" s="4" t="s">
        <v>55</v>
      </c>
      <c r="O33" s="4" t="s">
        <v>71</v>
      </c>
      <c r="P33" s="4" t="s">
        <v>71</v>
      </c>
      <c r="Q33" s="4"/>
      <c r="R33" s="4" t="s">
        <v>143</v>
      </c>
      <c r="S33" s="4" t="s">
        <v>71</v>
      </c>
      <c r="T33" s="4" t="s">
        <v>71</v>
      </c>
      <c r="U33" s="4" t="str">
        <f t="shared" si="0"/>
        <v>NO</v>
      </c>
    </row>
    <row r="34" spans="1:21" ht="42" customHeight="1">
      <c r="A34" s="4" t="s">
        <v>1062</v>
      </c>
      <c r="B34" s="4" t="s">
        <v>202</v>
      </c>
      <c r="C34" s="4" t="s">
        <v>179</v>
      </c>
      <c r="D34" s="4" t="s">
        <v>202</v>
      </c>
      <c r="E34" s="4" t="s">
        <v>179</v>
      </c>
      <c r="F34" s="4" t="s">
        <v>1009</v>
      </c>
      <c r="G34" s="4" t="s">
        <v>1020</v>
      </c>
      <c r="H34" s="4" t="s">
        <v>1011</v>
      </c>
      <c r="I34" s="4"/>
      <c r="J34" s="4" t="s">
        <v>1011</v>
      </c>
      <c r="K34" s="4" t="s">
        <v>55</v>
      </c>
      <c r="L34" s="4" t="s">
        <v>55</v>
      </c>
      <c r="M34" s="4" t="s">
        <v>1021</v>
      </c>
      <c r="N34" s="4" t="s">
        <v>55</v>
      </c>
      <c r="O34" s="4" t="s">
        <v>71</v>
      </c>
      <c r="P34" s="4" t="s">
        <v>71</v>
      </c>
      <c r="Q34" s="4"/>
      <c r="R34" s="4" t="s">
        <v>143</v>
      </c>
      <c r="S34" s="4" t="s">
        <v>71</v>
      </c>
      <c r="T34" s="4" t="s">
        <v>71</v>
      </c>
      <c r="U34" s="4" t="str">
        <f t="shared" si="0"/>
        <v>NO</v>
      </c>
    </row>
    <row r="35" spans="1:21" ht="42" customHeight="1">
      <c r="A35" s="4" t="s">
        <v>1063</v>
      </c>
      <c r="B35" s="4" t="s">
        <v>202</v>
      </c>
      <c r="C35" s="4" t="s">
        <v>167</v>
      </c>
      <c r="D35" s="4" t="s">
        <v>202</v>
      </c>
      <c r="E35" s="4" t="s">
        <v>167</v>
      </c>
      <c r="F35" s="4" t="s">
        <v>1009</v>
      </c>
      <c r="G35" s="4" t="s">
        <v>1010</v>
      </c>
      <c r="H35" s="4" t="s">
        <v>1011</v>
      </c>
      <c r="I35" s="4"/>
      <c r="J35" s="4" t="s">
        <v>1011</v>
      </c>
      <c r="K35" s="4" t="s">
        <v>55</v>
      </c>
      <c r="L35" s="4" t="s">
        <v>72</v>
      </c>
      <c r="M35" s="4" t="s">
        <v>1012</v>
      </c>
      <c r="N35" s="4" t="s">
        <v>72</v>
      </c>
      <c r="O35" s="4" t="s">
        <v>71</v>
      </c>
      <c r="P35" s="4" t="s">
        <v>71</v>
      </c>
      <c r="Q35" s="4"/>
      <c r="R35" s="4" t="s">
        <v>143</v>
      </c>
      <c r="S35" s="4" t="s">
        <v>71</v>
      </c>
      <c r="T35" s="4" t="s">
        <v>71</v>
      </c>
      <c r="U35" s="4" t="str">
        <f t="shared" si="0"/>
        <v>NO</v>
      </c>
    </row>
    <row r="36" spans="1:21" ht="42" customHeight="1">
      <c r="A36" s="4" t="s">
        <v>1064</v>
      </c>
      <c r="B36" s="4" t="s">
        <v>202</v>
      </c>
      <c r="C36" s="4" t="s">
        <v>191</v>
      </c>
      <c r="D36" s="4" t="s">
        <v>202</v>
      </c>
      <c r="E36" s="4" t="s">
        <v>191</v>
      </c>
      <c r="F36" s="4" t="s">
        <v>1009</v>
      </c>
      <c r="G36" s="4" t="s">
        <v>1020</v>
      </c>
      <c r="H36" s="4" t="s">
        <v>1011</v>
      </c>
      <c r="I36" s="4"/>
      <c r="J36" s="4" t="s">
        <v>1011</v>
      </c>
      <c r="K36" s="4" t="s">
        <v>55</v>
      </c>
      <c r="L36" s="4" t="s">
        <v>55</v>
      </c>
      <c r="M36" s="4" t="s">
        <v>1021</v>
      </c>
      <c r="N36" s="4" t="s">
        <v>55</v>
      </c>
      <c r="O36" s="4" t="s">
        <v>71</v>
      </c>
      <c r="P36" s="4" t="s">
        <v>71</v>
      </c>
      <c r="Q36" s="4"/>
      <c r="R36" s="4" t="s">
        <v>143</v>
      </c>
      <c r="S36" s="4" t="s">
        <v>71</v>
      </c>
      <c r="T36" s="4" t="s">
        <v>71</v>
      </c>
      <c r="U36" s="4" t="str">
        <f t="shared" si="0"/>
        <v>NO</v>
      </c>
    </row>
    <row r="37" spans="1:21" ht="42" customHeight="1">
      <c r="A37" s="4" t="s">
        <v>1065</v>
      </c>
      <c r="B37" s="4" t="s">
        <v>284</v>
      </c>
      <c r="C37" s="4" t="s">
        <v>120</v>
      </c>
      <c r="D37" s="4" t="s">
        <v>284</v>
      </c>
      <c r="E37" s="4" t="s">
        <v>120</v>
      </c>
      <c r="F37" s="4" t="s">
        <v>1009</v>
      </c>
      <c r="G37" s="4" t="s">
        <v>1066</v>
      </c>
      <c r="H37" s="4" t="s">
        <v>1018</v>
      </c>
      <c r="I37" s="4"/>
      <c r="J37" s="4" t="s">
        <v>1018</v>
      </c>
      <c r="K37" s="4" t="s">
        <v>61</v>
      </c>
      <c r="L37" s="4" t="s">
        <v>48</v>
      </c>
      <c r="M37" s="4" t="s">
        <v>1012</v>
      </c>
      <c r="N37" s="4" t="s">
        <v>61</v>
      </c>
      <c r="O37" s="4" t="s">
        <v>71</v>
      </c>
      <c r="P37" s="4" t="s">
        <v>71</v>
      </c>
      <c r="Q37" s="4"/>
      <c r="R37" s="4" t="s">
        <v>143</v>
      </c>
      <c r="S37" s="4" t="s">
        <v>71</v>
      </c>
      <c r="T37" s="4" t="s">
        <v>71</v>
      </c>
      <c r="U37" s="4" t="str">
        <f t="shared" si="0"/>
        <v>NO</v>
      </c>
    </row>
    <row r="38" spans="1:21" ht="42" customHeight="1">
      <c r="A38" s="4" t="s">
        <v>1067</v>
      </c>
      <c r="B38" s="4" t="s">
        <v>284</v>
      </c>
      <c r="C38" s="4" t="s">
        <v>287</v>
      </c>
      <c r="D38" s="4" t="s">
        <v>284</v>
      </c>
      <c r="E38" s="4" t="s">
        <v>287</v>
      </c>
      <c r="F38" s="4" t="s">
        <v>1009</v>
      </c>
      <c r="G38" s="4" t="s">
        <v>1068</v>
      </c>
      <c r="H38" s="4" t="s">
        <v>1011</v>
      </c>
      <c r="I38" s="4"/>
      <c r="J38" s="4" t="s">
        <v>1011</v>
      </c>
      <c r="K38" s="4" t="s">
        <v>61</v>
      </c>
      <c r="L38" s="4" t="s">
        <v>48</v>
      </c>
      <c r="M38" s="4" t="s">
        <v>1012</v>
      </c>
      <c r="N38" s="4" t="s">
        <v>61</v>
      </c>
      <c r="O38" s="4" t="s">
        <v>71</v>
      </c>
      <c r="P38" s="4" t="s">
        <v>71</v>
      </c>
      <c r="Q38" s="4"/>
      <c r="R38" s="4" t="s">
        <v>143</v>
      </c>
      <c r="S38" s="4" t="s">
        <v>71</v>
      </c>
      <c r="T38" s="4" t="s">
        <v>71</v>
      </c>
      <c r="U38" s="4" t="str">
        <f t="shared" si="0"/>
        <v>NO</v>
      </c>
    </row>
    <row r="39" spans="1:21" ht="42" customHeight="1">
      <c r="A39" s="4" t="s">
        <v>1069</v>
      </c>
      <c r="B39" s="4" t="s">
        <v>287</v>
      </c>
      <c r="C39" s="4" t="s">
        <v>297</v>
      </c>
      <c r="D39" s="4" t="s">
        <v>287</v>
      </c>
      <c r="E39" s="4" t="s">
        <v>297</v>
      </c>
      <c r="F39" s="4" t="s">
        <v>1009</v>
      </c>
      <c r="G39" s="4" t="s">
        <v>1068</v>
      </c>
      <c r="H39" s="4" t="s">
        <v>1011</v>
      </c>
      <c r="I39" s="4"/>
      <c r="J39" s="4" t="s">
        <v>1011</v>
      </c>
      <c r="K39" s="4" t="s">
        <v>48</v>
      </c>
      <c r="L39" s="4" t="s">
        <v>75</v>
      </c>
      <c r="M39" s="4" t="s">
        <v>1012</v>
      </c>
      <c r="N39" s="4" t="s">
        <v>75</v>
      </c>
      <c r="O39" s="4" t="s">
        <v>71</v>
      </c>
      <c r="P39" s="4" t="s">
        <v>71</v>
      </c>
      <c r="Q39" s="4"/>
      <c r="R39" s="4" t="s">
        <v>143</v>
      </c>
      <c r="S39" s="4" t="s">
        <v>71</v>
      </c>
      <c r="T39" s="4" t="s">
        <v>71</v>
      </c>
      <c r="U39" s="4" t="str">
        <f t="shared" si="0"/>
        <v>NO</v>
      </c>
    </row>
    <row r="40" spans="1:21" ht="42" customHeight="1">
      <c r="A40" s="4" t="s">
        <v>1070</v>
      </c>
      <c r="B40" s="4" t="s">
        <v>302</v>
      </c>
      <c r="C40" s="4" t="s">
        <v>236</v>
      </c>
      <c r="D40" s="4" t="s">
        <v>302</v>
      </c>
      <c r="E40" s="4" t="s">
        <v>236</v>
      </c>
      <c r="F40" s="4" t="s">
        <v>1009</v>
      </c>
      <c r="G40" s="4" t="s">
        <v>1037</v>
      </c>
      <c r="H40" s="4" t="s">
        <v>1011</v>
      </c>
      <c r="I40" s="4"/>
      <c r="J40" s="4" t="s">
        <v>1011</v>
      </c>
      <c r="K40" s="4" t="s">
        <v>81</v>
      </c>
      <c r="L40" s="4" t="s">
        <v>81</v>
      </c>
      <c r="M40" s="4" t="s">
        <v>1021</v>
      </c>
      <c r="N40" s="4" t="s">
        <v>81</v>
      </c>
      <c r="O40" s="4" t="s">
        <v>71</v>
      </c>
      <c r="P40" s="4" t="s">
        <v>71</v>
      </c>
      <c r="Q40" s="4"/>
      <c r="R40" s="4" t="s">
        <v>143</v>
      </c>
      <c r="S40" s="4" t="s">
        <v>71</v>
      </c>
      <c r="T40" s="4" t="s">
        <v>71</v>
      </c>
      <c r="U40" s="4" t="str">
        <f t="shared" si="0"/>
        <v>NO</v>
      </c>
    </row>
    <row r="41" spans="1:21" ht="42" customHeight="1">
      <c r="A41" s="4" t="s">
        <v>1071</v>
      </c>
      <c r="B41" s="4" t="s">
        <v>302</v>
      </c>
      <c r="C41" s="4" t="s">
        <v>348</v>
      </c>
      <c r="D41" s="4" t="s">
        <v>302</v>
      </c>
      <c r="E41" s="4" t="s">
        <v>348</v>
      </c>
      <c r="F41" s="4" t="s">
        <v>1009</v>
      </c>
      <c r="G41" s="4" t="s">
        <v>1037</v>
      </c>
      <c r="H41" s="4" t="s">
        <v>1011</v>
      </c>
      <c r="I41" s="4"/>
      <c r="J41" s="4" t="s">
        <v>1011</v>
      </c>
      <c r="K41" s="4" t="s">
        <v>81</v>
      </c>
      <c r="L41" s="4" t="s">
        <v>90</v>
      </c>
      <c r="M41" s="4" t="s">
        <v>1012</v>
      </c>
      <c r="N41" s="4" t="s">
        <v>90</v>
      </c>
      <c r="O41" s="4" t="s">
        <v>71</v>
      </c>
      <c r="P41" s="4" t="s">
        <v>71</v>
      </c>
      <c r="Q41" s="4"/>
      <c r="R41" s="4" t="s">
        <v>143</v>
      </c>
      <c r="S41" s="4" t="s">
        <v>71</v>
      </c>
      <c r="T41" s="4" t="s">
        <v>71</v>
      </c>
      <c r="U41" s="4" t="str">
        <f t="shared" si="0"/>
        <v>NO</v>
      </c>
    </row>
    <row r="42" spans="1:21" ht="42" customHeight="1">
      <c r="A42" s="4" t="s">
        <v>1072</v>
      </c>
      <c r="B42" s="4" t="s">
        <v>306</v>
      </c>
      <c r="C42" s="4" t="s">
        <v>148</v>
      </c>
      <c r="D42" s="4" t="s">
        <v>306</v>
      </c>
      <c r="E42" s="4" t="s">
        <v>148</v>
      </c>
      <c r="F42" s="4" t="s">
        <v>1009</v>
      </c>
      <c r="G42" s="4" t="s">
        <v>1073</v>
      </c>
      <c r="H42" s="4" t="s">
        <v>1018</v>
      </c>
      <c r="I42" s="4"/>
      <c r="J42" s="4" t="s">
        <v>1018</v>
      </c>
      <c r="K42" s="4" t="s">
        <v>75</v>
      </c>
      <c r="L42" s="4" t="s">
        <v>48</v>
      </c>
      <c r="M42" s="4" t="s">
        <v>1012</v>
      </c>
      <c r="N42" s="4" t="s">
        <v>75</v>
      </c>
      <c r="O42" s="4" t="s">
        <v>71</v>
      </c>
      <c r="P42" s="4" t="s">
        <v>71</v>
      </c>
      <c r="Q42" s="4"/>
      <c r="R42" s="4" t="s">
        <v>143</v>
      </c>
      <c r="S42" s="4" t="s">
        <v>71</v>
      </c>
      <c r="T42" s="4" t="s">
        <v>71</v>
      </c>
      <c r="U42" s="4" t="str">
        <f t="shared" si="0"/>
        <v>NO</v>
      </c>
    </row>
    <row r="43" spans="1:21" ht="42" customHeight="1">
      <c r="A43" s="4" t="s">
        <v>1074</v>
      </c>
      <c r="B43" s="4" t="s">
        <v>306</v>
      </c>
      <c r="C43" s="4" t="s">
        <v>167</v>
      </c>
      <c r="D43" s="4" t="s">
        <v>306</v>
      </c>
      <c r="E43" s="4" t="s">
        <v>167</v>
      </c>
      <c r="F43" s="4" t="s">
        <v>1009</v>
      </c>
      <c r="G43" s="4" t="s">
        <v>1026</v>
      </c>
      <c r="H43" s="4" t="s">
        <v>1011</v>
      </c>
      <c r="I43" s="4"/>
      <c r="J43" s="4" t="s">
        <v>1011</v>
      </c>
      <c r="K43" s="4" t="s">
        <v>75</v>
      </c>
      <c r="L43" s="4" t="s">
        <v>72</v>
      </c>
      <c r="M43" s="4" t="s">
        <v>1012</v>
      </c>
      <c r="N43" s="4" t="s">
        <v>75</v>
      </c>
      <c r="O43" s="4" t="s">
        <v>71</v>
      </c>
      <c r="P43" s="4" t="s">
        <v>71</v>
      </c>
      <c r="Q43" s="4"/>
      <c r="R43" s="4" t="s">
        <v>143</v>
      </c>
      <c r="S43" s="4" t="s">
        <v>71</v>
      </c>
      <c r="T43" s="4" t="s">
        <v>71</v>
      </c>
      <c r="U43" s="4" t="str">
        <f t="shared" si="0"/>
        <v>NO</v>
      </c>
    </row>
    <row r="44" spans="1:21" ht="42" customHeight="1">
      <c r="A44" s="4" t="s">
        <v>1075</v>
      </c>
      <c r="B44" s="4" t="s">
        <v>306</v>
      </c>
      <c r="C44" s="4" t="s">
        <v>351</v>
      </c>
      <c r="D44" s="4" t="s">
        <v>306</v>
      </c>
      <c r="E44" s="4" t="s">
        <v>351</v>
      </c>
      <c r="F44" s="4" t="s">
        <v>1009</v>
      </c>
      <c r="G44" s="4" t="s">
        <v>1073</v>
      </c>
      <c r="H44" s="4" t="s">
        <v>1018</v>
      </c>
      <c r="I44" s="4"/>
      <c r="J44" s="4" t="s">
        <v>1018</v>
      </c>
      <c r="K44" s="4" t="s">
        <v>75</v>
      </c>
      <c r="L44" s="4" t="s">
        <v>81</v>
      </c>
      <c r="M44" s="4" t="s">
        <v>1012</v>
      </c>
      <c r="N44" s="4" t="s">
        <v>81</v>
      </c>
      <c r="O44" s="4" t="s">
        <v>71</v>
      </c>
      <c r="P44" s="4" t="s">
        <v>71</v>
      </c>
      <c r="Q44" s="4"/>
      <c r="R44" s="4" t="s">
        <v>143</v>
      </c>
      <c r="S44" s="4" t="s">
        <v>71</v>
      </c>
      <c r="T44" s="4" t="s">
        <v>71</v>
      </c>
      <c r="U44" s="4" t="str">
        <f t="shared" si="0"/>
        <v>NO</v>
      </c>
    </row>
    <row r="45" spans="1:21" ht="42" customHeight="1">
      <c r="A45" s="4" t="s">
        <v>1076</v>
      </c>
      <c r="B45" s="4" t="s">
        <v>310</v>
      </c>
      <c r="C45" s="4" t="s">
        <v>344</v>
      </c>
      <c r="D45" s="4" t="s">
        <v>310</v>
      </c>
      <c r="E45" s="4" t="s">
        <v>344</v>
      </c>
      <c r="F45" s="4" t="s">
        <v>1016</v>
      </c>
      <c r="G45" s="4" t="s">
        <v>1077</v>
      </c>
      <c r="H45" s="4" t="s">
        <v>1018</v>
      </c>
      <c r="I45" s="4"/>
      <c r="J45" s="4" t="s">
        <v>1018</v>
      </c>
      <c r="K45" s="4" t="s">
        <v>81</v>
      </c>
      <c r="L45" s="4" t="s">
        <v>81</v>
      </c>
      <c r="M45" s="4" t="s">
        <v>1021</v>
      </c>
      <c r="N45" s="4" t="s">
        <v>81</v>
      </c>
      <c r="O45" s="4" t="s">
        <v>71</v>
      </c>
      <c r="P45" s="4" t="s">
        <v>71</v>
      </c>
      <c r="Q45" s="4"/>
      <c r="R45" s="4" t="s">
        <v>143</v>
      </c>
      <c r="S45" s="4" t="s">
        <v>71</v>
      </c>
      <c r="T45" s="4" t="s">
        <v>71</v>
      </c>
      <c r="U45" s="4" t="str">
        <f t="shared" si="0"/>
        <v>NO</v>
      </c>
    </row>
    <row r="46" spans="1:21" ht="42" customHeight="1">
      <c r="A46" s="4" t="s">
        <v>1078</v>
      </c>
      <c r="B46" s="4" t="s">
        <v>310</v>
      </c>
      <c r="C46" s="4" t="s">
        <v>236</v>
      </c>
      <c r="D46" s="4" t="s">
        <v>310</v>
      </c>
      <c r="E46" s="4" t="s">
        <v>236</v>
      </c>
      <c r="F46" s="4" t="s">
        <v>1009</v>
      </c>
      <c r="G46" s="4" t="s">
        <v>1037</v>
      </c>
      <c r="H46" s="4" t="s">
        <v>1011</v>
      </c>
      <c r="I46" s="4"/>
      <c r="J46" s="4" t="s">
        <v>1011</v>
      </c>
      <c r="K46" s="4" t="s">
        <v>81</v>
      </c>
      <c r="L46" s="4" t="s">
        <v>81</v>
      </c>
      <c r="M46" s="4" t="s">
        <v>1021</v>
      </c>
      <c r="N46" s="4" t="s">
        <v>81</v>
      </c>
      <c r="O46" s="4" t="s">
        <v>71</v>
      </c>
      <c r="P46" s="4" t="s">
        <v>71</v>
      </c>
      <c r="Q46" s="4"/>
      <c r="R46" s="4" t="s">
        <v>143</v>
      </c>
      <c r="S46" s="4" t="s">
        <v>71</v>
      </c>
      <c r="T46" s="4" t="s">
        <v>71</v>
      </c>
      <c r="U46" s="4" t="str">
        <f t="shared" si="0"/>
        <v>NO</v>
      </c>
    </row>
    <row r="47" spans="1:21" ht="42" customHeight="1">
      <c r="A47" s="4" t="s">
        <v>1079</v>
      </c>
      <c r="B47" s="4" t="s">
        <v>314</v>
      </c>
      <c r="C47" s="4" t="s">
        <v>337</v>
      </c>
      <c r="D47" s="4" t="s">
        <v>314</v>
      </c>
      <c r="E47" s="4" t="s">
        <v>337</v>
      </c>
      <c r="F47" s="4" t="s">
        <v>1009</v>
      </c>
      <c r="G47" s="4" t="s">
        <v>1026</v>
      </c>
      <c r="H47" s="4" t="s">
        <v>1011</v>
      </c>
      <c r="I47" s="4"/>
      <c r="J47" s="4" t="s">
        <v>1011</v>
      </c>
      <c r="K47" s="4" t="s">
        <v>79</v>
      </c>
      <c r="L47" s="4" t="s">
        <v>75</v>
      </c>
      <c r="M47" s="4" t="s">
        <v>1012</v>
      </c>
      <c r="N47" s="4" t="s">
        <v>79</v>
      </c>
      <c r="O47" s="4" t="s">
        <v>71</v>
      </c>
      <c r="P47" s="4" t="s">
        <v>71</v>
      </c>
      <c r="Q47" s="4"/>
      <c r="R47" s="4" t="s">
        <v>143</v>
      </c>
      <c r="S47" s="4" t="s">
        <v>71</v>
      </c>
      <c r="T47" s="4" t="s">
        <v>71</v>
      </c>
      <c r="U47" s="4" t="str">
        <f t="shared" si="0"/>
        <v>NO</v>
      </c>
    </row>
    <row r="48" spans="1:21" ht="42" customHeight="1">
      <c r="A48" s="4" t="s">
        <v>1080</v>
      </c>
      <c r="B48" s="4" t="s">
        <v>314</v>
      </c>
      <c r="C48" s="4" t="s">
        <v>171</v>
      </c>
      <c r="D48" s="4" t="s">
        <v>314</v>
      </c>
      <c r="E48" s="4" t="s">
        <v>171</v>
      </c>
      <c r="F48" s="4" t="s">
        <v>1009</v>
      </c>
      <c r="G48" s="4" t="s">
        <v>1026</v>
      </c>
      <c r="H48" s="4" t="s">
        <v>1011</v>
      </c>
      <c r="I48" s="4"/>
      <c r="J48" s="4" t="s">
        <v>1011</v>
      </c>
      <c r="K48" s="4" t="s">
        <v>79</v>
      </c>
      <c r="L48" s="4" t="s">
        <v>48</v>
      </c>
      <c r="M48" s="4" t="s">
        <v>1012</v>
      </c>
      <c r="N48" s="4" t="s">
        <v>79</v>
      </c>
      <c r="O48" s="4" t="s">
        <v>71</v>
      </c>
      <c r="P48" s="4" t="s">
        <v>71</v>
      </c>
      <c r="Q48" s="4"/>
      <c r="R48" s="4" t="s">
        <v>143</v>
      </c>
      <c r="S48" s="4" t="s">
        <v>71</v>
      </c>
      <c r="T48" s="4" t="s">
        <v>71</v>
      </c>
      <c r="U48" s="4" t="str">
        <f t="shared" si="0"/>
        <v>NO</v>
      </c>
    </row>
    <row r="49" spans="1:21" ht="42" customHeight="1">
      <c r="A49" s="4" t="s">
        <v>1081</v>
      </c>
      <c r="B49" s="4" t="s">
        <v>337</v>
      </c>
      <c r="C49" s="4" t="s">
        <v>171</v>
      </c>
      <c r="D49" s="4" t="s">
        <v>337</v>
      </c>
      <c r="E49" s="4" t="s">
        <v>171</v>
      </c>
      <c r="F49" s="4" t="s">
        <v>1009</v>
      </c>
      <c r="G49" s="4" t="s">
        <v>1026</v>
      </c>
      <c r="H49" s="4" t="s">
        <v>1011</v>
      </c>
      <c r="I49" s="4"/>
      <c r="J49" s="4" t="s">
        <v>1011</v>
      </c>
      <c r="K49" s="4" t="s">
        <v>75</v>
      </c>
      <c r="L49" s="4" t="s">
        <v>48</v>
      </c>
      <c r="M49" s="4" t="s">
        <v>1012</v>
      </c>
      <c r="N49" s="4" t="s">
        <v>75</v>
      </c>
      <c r="O49" s="4" t="s">
        <v>71</v>
      </c>
      <c r="P49" s="4" t="s">
        <v>71</v>
      </c>
      <c r="Q49" s="4"/>
      <c r="R49" s="4" t="s">
        <v>143</v>
      </c>
      <c r="S49" s="4" t="s">
        <v>71</v>
      </c>
      <c r="T49" s="4" t="s">
        <v>71</v>
      </c>
      <c r="U49" s="4" t="str">
        <f t="shared" si="0"/>
        <v>NO</v>
      </c>
    </row>
    <row r="50" spans="1:21" ht="42" customHeight="1">
      <c r="A50" s="4" t="s">
        <v>1082</v>
      </c>
      <c r="B50" s="4" t="s">
        <v>337</v>
      </c>
      <c r="C50" s="4" t="s">
        <v>148</v>
      </c>
      <c r="D50" s="4" t="s">
        <v>337</v>
      </c>
      <c r="E50" s="4" t="s">
        <v>148</v>
      </c>
      <c r="F50" s="4" t="s">
        <v>1009</v>
      </c>
      <c r="G50" s="4" t="s">
        <v>1026</v>
      </c>
      <c r="H50" s="4" t="s">
        <v>1011</v>
      </c>
      <c r="I50" s="4"/>
      <c r="J50" s="4" t="s">
        <v>1011</v>
      </c>
      <c r="K50" s="4" t="s">
        <v>75</v>
      </c>
      <c r="L50" s="4" t="s">
        <v>48</v>
      </c>
      <c r="M50" s="4" t="s">
        <v>1012</v>
      </c>
      <c r="N50" s="4" t="s">
        <v>75</v>
      </c>
      <c r="O50" s="4" t="s">
        <v>71</v>
      </c>
      <c r="P50" s="4" t="s">
        <v>71</v>
      </c>
      <c r="Q50" s="4"/>
      <c r="R50" s="4" t="s">
        <v>143</v>
      </c>
      <c r="S50" s="4" t="s">
        <v>71</v>
      </c>
      <c r="T50" s="4" t="s">
        <v>71</v>
      </c>
      <c r="U50" s="4" t="str">
        <f t="shared" si="0"/>
        <v>NO</v>
      </c>
    </row>
    <row r="51" spans="1:21" ht="42" customHeight="1">
      <c r="A51" s="4" t="s">
        <v>1083</v>
      </c>
      <c r="B51" s="4" t="s">
        <v>317</v>
      </c>
      <c r="C51" s="4" t="s">
        <v>344</v>
      </c>
      <c r="D51" s="4" t="s">
        <v>317</v>
      </c>
      <c r="E51" s="4" t="s">
        <v>344</v>
      </c>
      <c r="F51" s="4" t="s">
        <v>1009</v>
      </c>
      <c r="G51" s="4" t="s">
        <v>1037</v>
      </c>
      <c r="H51" s="4" t="s">
        <v>1011</v>
      </c>
      <c r="I51" s="4"/>
      <c r="J51" s="4" t="s">
        <v>1011</v>
      </c>
      <c r="K51" s="4" t="s">
        <v>81</v>
      </c>
      <c r="L51" s="4" t="s">
        <v>81</v>
      </c>
      <c r="M51" s="4" t="s">
        <v>1021</v>
      </c>
      <c r="N51" s="4" t="s">
        <v>81</v>
      </c>
      <c r="O51" s="4" t="s">
        <v>71</v>
      </c>
      <c r="P51" s="4" t="s">
        <v>71</v>
      </c>
      <c r="Q51" s="4"/>
      <c r="R51" s="4" t="s">
        <v>143</v>
      </c>
      <c r="S51" s="4" t="s">
        <v>71</v>
      </c>
      <c r="T51" s="4" t="s">
        <v>71</v>
      </c>
      <c r="U51" s="4" t="str">
        <f t="shared" si="0"/>
        <v>NO</v>
      </c>
    </row>
    <row r="52" spans="1:21" ht="42" customHeight="1">
      <c r="A52" s="4" t="s">
        <v>1084</v>
      </c>
      <c r="B52" s="4" t="s">
        <v>317</v>
      </c>
      <c r="C52" s="4" t="s">
        <v>236</v>
      </c>
      <c r="D52" s="4" t="s">
        <v>317</v>
      </c>
      <c r="E52" s="4" t="s">
        <v>236</v>
      </c>
      <c r="F52" s="4" t="s">
        <v>1009</v>
      </c>
      <c r="G52" s="4" t="s">
        <v>1037</v>
      </c>
      <c r="H52" s="4" t="s">
        <v>1011</v>
      </c>
      <c r="I52" s="4"/>
      <c r="J52" s="4" t="s">
        <v>1011</v>
      </c>
      <c r="K52" s="4" t="s">
        <v>81</v>
      </c>
      <c r="L52" s="4" t="s">
        <v>81</v>
      </c>
      <c r="M52" s="4" t="s">
        <v>1021</v>
      </c>
      <c r="N52" s="4" t="s">
        <v>81</v>
      </c>
      <c r="O52" s="4" t="s">
        <v>71</v>
      </c>
      <c r="P52" s="4" t="s">
        <v>71</v>
      </c>
      <c r="Q52" s="4"/>
      <c r="R52" s="4" t="s">
        <v>143</v>
      </c>
      <c r="S52" s="4" t="s">
        <v>71</v>
      </c>
      <c r="T52" s="4" t="s">
        <v>71</v>
      </c>
      <c r="U52" s="4" t="str">
        <f t="shared" si="0"/>
        <v>NO</v>
      </c>
    </row>
    <row r="53" spans="1:21" ht="42" customHeight="1">
      <c r="A53" s="4" t="s">
        <v>1085</v>
      </c>
      <c r="B53" s="4" t="s">
        <v>317</v>
      </c>
      <c r="C53" s="4" t="s">
        <v>360</v>
      </c>
      <c r="D53" s="4" t="s">
        <v>317</v>
      </c>
      <c r="E53" s="4" t="s">
        <v>360</v>
      </c>
      <c r="F53" s="4" t="s">
        <v>1009</v>
      </c>
      <c r="G53" s="4" t="s">
        <v>1037</v>
      </c>
      <c r="H53" s="4" t="s">
        <v>1011</v>
      </c>
      <c r="I53" s="4"/>
      <c r="J53" s="4" t="s">
        <v>1011</v>
      </c>
      <c r="K53" s="4" t="s">
        <v>81</v>
      </c>
      <c r="L53" s="4" t="s">
        <v>90</v>
      </c>
      <c r="M53" s="4" t="s">
        <v>1012</v>
      </c>
      <c r="N53" s="4" t="s">
        <v>90</v>
      </c>
      <c r="O53" s="4" t="s">
        <v>71</v>
      </c>
      <c r="P53" s="4" t="s">
        <v>71</v>
      </c>
      <c r="Q53" s="4"/>
      <c r="R53" s="4" t="s">
        <v>143</v>
      </c>
      <c r="S53" s="4" t="s">
        <v>71</v>
      </c>
      <c r="T53" s="4" t="s">
        <v>71</v>
      </c>
      <c r="U53" s="4" t="str">
        <f t="shared" si="0"/>
        <v>NO</v>
      </c>
    </row>
    <row r="54" spans="1:21" ht="42" customHeight="1">
      <c r="A54" s="4" t="s">
        <v>1086</v>
      </c>
      <c r="B54" s="4" t="s">
        <v>321</v>
      </c>
      <c r="C54" s="4" t="s">
        <v>354</v>
      </c>
      <c r="D54" s="4" t="s">
        <v>321</v>
      </c>
      <c r="E54" s="4" t="s">
        <v>354</v>
      </c>
      <c r="F54" s="4" t="s">
        <v>1009</v>
      </c>
      <c r="G54" s="4" t="s">
        <v>1010</v>
      </c>
      <c r="H54" s="4" t="s">
        <v>1011</v>
      </c>
      <c r="I54" s="4"/>
      <c r="J54" s="4" t="s">
        <v>1011</v>
      </c>
      <c r="K54" s="4" t="s">
        <v>75</v>
      </c>
      <c r="L54" s="4" t="s">
        <v>75</v>
      </c>
      <c r="M54" s="4" t="s">
        <v>1021</v>
      </c>
      <c r="N54" s="4" t="s">
        <v>75</v>
      </c>
      <c r="O54" s="4" t="s">
        <v>71</v>
      </c>
      <c r="P54" s="4" t="s">
        <v>71</v>
      </c>
      <c r="Q54" s="4"/>
      <c r="R54" s="4" t="s">
        <v>143</v>
      </c>
      <c r="S54" s="4" t="s">
        <v>71</v>
      </c>
      <c r="T54" s="4" t="s">
        <v>71</v>
      </c>
      <c r="U54" s="4" t="str">
        <f t="shared" si="0"/>
        <v>NO</v>
      </c>
    </row>
    <row r="55" spans="1:21" ht="42" customHeight="1">
      <c r="A55" s="4" t="s">
        <v>1087</v>
      </c>
      <c r="B55" s="4" t="s">
        <v>321</v>
      </c>
      <c r="C55" s="4" t="s">
        <v>120</v>
      </c>
      <c r="D55" s="4" t="s">
        <v>321</v>
      </c>
      <c r="E55" s="4" t="s">
        <v>120</v>
      </c>
      <c r="F55" s="4" t="s">
        <v>1009</v>
      </c>
      <c r="G55" s="4" t="s">
        <v>1068</v>
      </c>
      <c r="H55" s="4" t="s">
        <v>1011</v>
      </c>
      <c r="I55" s="4"/>
      <c r="J55" s="4" t="s">
        <v>1011</v>
      </c>
      <c r="K55" s="4" t="s">
        <v>75</v>
      </c>
      <c r="L55" s="4" t="s">
        <v>48</v>
      </c>
      <c r="M55" s="4" t="s">
        <v>1012</v>
      </c>
      <c r="N55" s="4" t="s">
        <v>75</v>
      </c>
      <c r="O55" s="4" t="s">
        <v>71</v>
      </c>
      <c r="P55" s="4" t="s">
        <v>71</v>
      </c>
      <c r="Q55" s="4"/>
      <c r="R55" s="4" t="s">
        <v>143</v>
      </c>
      <c r="S55" s="4" t="s">
        <v>71</v>
      </c>
      <c r="T55" s="4" t="s">
        <v>71</v>
      </c>
      <c r="U55" s="4" t="str">
        <f t="shared" si="0"/>
        <v>NO</v>
      </c>
    </row>
    <row r="56" spans="1:21" ht="42" customHeight="1">
      <c r="A56" s="4" t="s">
        <v>1088</v>
      </c>
      <c r="B56" s="4" t="s">
        <v>326</v>
      </c>
      <c r="C56" s="4" t="s">
        <v>241</v>
      </c>
      <c r="D56" s="4" t="s">
        <v>326</v>
      </c>
      <c r="E56" s="4" t="s">
        <v>241</v>
      </c>
      <c r="F56" s="4" t="s">
        <v>1009</v>
      </c>
      <c r="G56" s="4" t="s">
        <v>1037</v>
      </c>
      <c r="H56" s="4" t="s">
        <v>1011</v>
      </c>
      <c r="I56" s="4"/>
      <c r="J56" s="4" t="s">
        <v>1011</v>
      </c>
      <c r="K56" s="4" t="s">
        <v>81</v>
      </c>
      <c r="L56" s="4" t="s">
        <v>81</v>
      </c>
      <c r="M56" s="4" t="s">
        <v>1021</v>
      </c>
      <c r="N56" s="4" t="s">
        <v>81</v>
      </c>
      <c r="O56" s="4" t="s">
        <v>71</v>
      </c>
      <c r="P56" s="4" t="s">
        <v>71</v>
      </c>
      <c r="Q56" s="4"/>
      <c r="R56" s="4" t="s">
        <v>143</v>
      </c>
      <c r="S56" s="4" t="s">
        <v>71</v>
      </c>
      <c r="T56" s="4" t="s">
        <v>71</v>
      </c>
      <c r="U56" s="4" t="str">
        <f t="shared" si="0"/>
        <v>NO</v>
      </c>
    </row>
    <row r="57" spans="1:21" ht="42" customHeight="1">
      <c r="A57" s="4" t="s">
        <v>1089</v>
      </c>
      <c r="B57" s="4" t="s">
        <v>326</v>
      </c>
      <c r="C57" s="4" t="s">
        <v>332</v>
      </c>
      <c r="D57" s="4" t="s">
        <v>326</v>
      </c>
      <c r="E57" s="4" t="s">
        <v>332</v>
      </c>
      <c r="F57" s="4" t="s">
        <v>1009</v>
      </c>
      <c r="G57" s="4" t="s">
        <v>1037</v>
      </c>
      <c r="H57" s="4" t="s">
        <v>1011</v>
      </c>
      <c r="I57" s="4"/>
      <c r="J57" s="4" t="s">
        <v>1011</v>
      </c>
      <c r="K57" s="4" t="s">
        <v>81</v>
      </c>
      <c r="L57" s="4" t="s">
        <v>81</v>
      </c>
      <c r="M57" s="4" t="s">
        <v>1021</v>
      </c>
      <c r="N57" s="4" t="s">
        <v>81</v>
      </c>
      <c r="O57" s="4" t="s">
        <v>71</v>
      </c>
      <c r="P57" s="4" t="s">
        <v>71</v>
      </c>
      <c r="Q57" s="4"/>
      <c r="R57" s="4" t="s">
        <v>143</v>
      </c>
      <c r="S57" s="4" t="s">
        <v>71</v>
      </c>
      <c r="T57" s="4" t="s">
        <v>71</v>
      </c>
      <c r="U57" s="4" t="str">
        <f t="shared" si="0"/>
        <v>NO</v>
      </c>
    </row>
    <row r="58" spans="1:21" ht="42" customHeight="1">
      <c r="A58" s="4" t="s">
        <v>1090</v>
      </c>
      <c r="B58" s="4" t="s">
        <v>329</v>
      </c>
      <c r="C58" s="4" t="s">
        <v>135</v>
      </c>
      <c r="D58" s="4" t="s">
        <v>329</v>
      </c>
      <c r="E58" s="4" t="s">
        <v>135</v>
      </c>
      <c r="F58" s="4" t="s">
        <v>1009</v>
      </c>
      <c r="G58" s="4" t="s">
        <v>1091</v>
      </c>
      <c r="H58" s="4" t="s">
        <v>1018</v>
      </c>
      <c r="I58" s="4"/>
      <c r="J58" s="4" t="s">
        <v>1018</v>
      </c>
      <c r="K58" s="4" t="s">
        <v>61</v>
      </c>
      <c r="L58" s="4" t="s">
        <v>90</v>
      </c>
      <c r="M58" s="4" t="s">
        <v>1012</v>
      </c>
      <c r="N58" s="4" t="s">
        <v>90</v>
      </c>
      <c r="O58" s="4" t="s">
        <v>71</v>
      </c>
      <c r="P58" s="4" t="s">
        <v>71</v>
      </c>
      <c r="Q58" s="4"/>
      <c r="R58" s="4" t="s">
        <v>143</v>
      </c>
      <c r="S58" s="4" t="s">
        <v>71</v>
      </c>
      <c r="T58" s="4" t="s">
        <v>71</v>
      </c>
      <c r="U58" s="4" t="str">
        <f t="shared" si="0"/>
        <v>NO</v>
      </c>
    </row>
    <row r="59" spans="1:21" ht="42" customHeight="1">
      <c r="A59" s="4" t="s">
        <v>1092</v>
      </c>
      <c r="B59" s="4" t="s">
        <v>329</v>
      </c>
      <c r="C59" s="4" t="s">
        <v>265</v>
      </c>
      <c r="D59" s="4" t="s">
        <v>329</v>
      </c>
      <c r="E59" s="4" t="s">
        <v>265</v>
      </c>
      <c r="F59" s="4" t="s">
        <v>1009</v>
      </c>
      <c r="G59" s="4" t="s">
        <v>1044</v>
      </c>
      <c r="H59" s="4" t="s">
        <v>1011</v>
      </c>
      <c r="I59" s="4"/>
      <c r="J59" s="4" t="s">
        <v>1011</v>
      </c>
      <c r="K59" s="4" t="s">
        <v>61</v>
      </c>
      <c r="L59" s="4" t="s">
        <v>92</v>
      </c>
      <c r="M59" s="4" t="s">
        <v>1012</v>
      </c>
      <c r="N59" s="4" t="s">
        <v>92</v>
      </c>
      <c r="O59" s="4" t="s">
        <v>71</v>
      </c>
      <c r="P59" s="4" t="s">
        <v>71</v>
      </c>
      <c r="Q59" s="4"/>
      <c r="R59" s="4" t="s">
        <v>143</v>
      </c>
      <c r="S59" s="4" t="s">
        <v>71</v>
      </c>
      <c r="T59" s="4" t="s">
        <v>71</v>
      </c>
      <c r="U59" s="4" t="str">
        <f t="shared" si="0"/>
        <v>NO</v>
      </c>
    </row>
    <row r="60" spans="1:21" ht="42" customHeight="1">
      <c r="A60" s="4" t="s">
        <v>1093</v>
      </c>
      <c r="B60" s="4" t="s">
        <v>332</v>
      </c>
      <c r="C60" s="4" t="s">
        <v>167</v>
      </c>
      <c r="D60" s="4" t="s">
        <v>332</v>
      </c>
      <c r="E60" s="4" t="s">
        <v>167</v>
      </c>
      <c r="F60" s="4" t="s">
        <v>1009</v>
      </c>
      <c r="G60" s="4" t="s">
        <v>1026</v>
      </c>
      <c r="H60" s="4" t="s">
        <v>1011</v>
      </c>
      <c r="I60" s="4"/>
      <c r="J60" s="4" t="s">
        <v>1011</v>
      </c>
      <c r="K60" s="4" t="s">
        <v>81</v>
      </c>
      <c r="L60" s="4" t="s">
        <v>72</v>
      </c>
      <c r="M60" s="4" t="s">
        <v>1012</v>
      </c>
      <c r="N60" s="4" t="s">
        <v>81</v>
      </c>
      <c r="O60" s="4" t="s">
        <v>71</v>
      </c>
      <c r="P60" s="4" t="s">
        <v>71</v>
      </c>
      <c r="Q60" s="4"/>
      <c r="R60" s="4" t="s">
        <v>143</v>
      </c>
      <c r="S60" s="4" t="s">
        <v>71</v>
      </c>
      <c r="T60" s="4" t="s">
        <v>71</v>
      </c>
      <c r="U60" s="4" t="str">
        <f t="shared" si="0"/>
        <v>NO</v>
      </c>
    </row>
    <row r="61" spans="1:21" ht="42" customHeight="1">
      <c r="A61" s="4" t="s">
        <v>1094</v>
      </c>
      <c r="B61" s="4" t="s">
        <v>332</v>
      </c>
      <c r="C61" s="4" t="s">
        <v>354</v>
      </c>
      <c r="D61" s="4" t="s">
        <v>332</v>
      </c>
      <c r="E61" s="4" t="s">
        <v>354</v>
      </c>
      <c r="F61" s="4" t="s">
        <v>1009</v>
      </c>
      <c r="G61" s="4" t="s">
        <v>1037</v>
      </c>
      <c r="H61" s="4" t="s">
        <v>1011</v>
      </c>
      <c r="I61" s="4"/>
      <c r="J61" s="4" t="s">
        <v>1011</v>
      </c>
      <c r="K61" s="4" t="s">
        <v>81</v>
      </c>
      <c r="L61" s="4" t="s">
        <v>75</v>
      </c>
      <c r="M61" s="4" t="s">
        <v>1012</v>
      </c>
      <c r="N61" s="4" t="s">
        <v>81</v>
      </c>
      <c r="O61" s="4" t="s">
        <v>71</v>
      </c>
      <c r="P61" s="4" t="s">
        <v>71</v>
      </c>
      <c r="Q61" s="4"/>
      <c r="R61" s="4" t="s">
        <v>143</v>
      </c>
      <c r="S61" s="4" t="s">
        <v>71</v>
      </c>
      <c r="T61" s="4" t="s">
        <v>71</v>
      </c>
      <c r="U61" s="4" t="str">
        <f t="shared" si="0"/>
        <v>NO</v>
      </c>
    </row>
    <row r="62" spans="1:21" ht="42" customHeight="1">
      <c r="A62" s="4" t="s">
        <v>1095</v>
      </c>
      <c r="B62" s="4" t="s">
        <v>340</v>
      </c>
      <c r="C62" s="4" t="s">
        <v>148</v>
      </c>
      <c r="D62" s="4" t="s">
        <v>340</v>
      </c>
      <c r="E62" s="4" t="s">
        <v>148</v>
      </c>
      <c r="F62" s="4" t="s">
        <v>1009</v>
      </c>
      <c r="G62" s="4" t="s">
        <v>1026</v>
      </c>
      <c r="H62" s="4" t="s">
        <v>1011</v>
      </c>
      <c r="I62" s="4"/>
      <c r="J62" s="4" t="s">
        <v>1011</v>
      </c>
      <c r="K62" s="4" t="s">
        <v>75</v>
      </c>
      <c r="L62" s="4" t="s">
        <v>48</v>
      </c>
      <c r="M62" s="4" t="s">
        <v>1012</v>
      </c>
      <c r="N62" s="4" t="s">
        <v>75</v>
      </c>
      <c r="O62" s="4" t="s">
        <v>71</v>
      </c>
      <c r="P62" s="4" t="s">
        <v>71</v>
      </c>
      <c r="Q62" s="4"/>
      <c r="R62" s="4" t="s">
        <v>143</v>
      </c>
      <c r="S62" s="4" t="s">
        <v>71</v>
      </c>
      <c r="T62" s="4" t="s">
        <v>71</v>
      </c>
      <c r="U62" s="4" t="str">
        <f t="shared" si="0"/>
        <v>NO</v>
      </c>
    </row>
    <row r="63" spans="1:21" ht="42" customHeight="1">
      <c r="A63" s="4" t="s">
        <v>1096</v>
      </c>
      <c r="B63" s="4" t="s">
        <v>340</v>
      </c>
      <c r="C63" s="4" t="s">
        <v>351</v>
      </c>
      <c r="D63" s="4" t="s">
        <v>340</v>
      </c>
      <c r="E63" s="4" t="s">
        <v>351</v>
      </c>
      <c r="F63" s="4" t="s">
        <v>1009</v>
      </c>
      <c r="G63" s="4" t="s">
        <v>1026</v>
      </c>
      <c r="H63" s="4" t="s">
        <v>1011</v>
      </c>
      <c r="I63" s="4"/>
      <c r="J63" s="4" t="s">
        <v>1011</v>
      </c>
      <c r="K63" s="4" t="s">
        <v>75</v>
      </c>
      <c r="L63" s="4" t="s">
        <v>81</v>
      </c>
      <c r="M63" s="4" t="s">
        <v>1012</v>
      </c>
      <c r="N63" s="4" t="s">
        <v>81</v>
      </c>
      <c r="O63" s="4" t="s">
        <v>71</v>
      </c>
      <c r="P63" s="4" t="s">
        <v>71</v>
      </c>
      <c r="Q63" s="4"/>
      <c r="R63" s="4" t="s">
        <v>143</v>
      </c>
      <c r="S63" s="4" t="s">
        <v>71</v>
      </c>
      <c r="T63" s="4" t="s">
        <v>71</v>
      </c>
      <c r="U63" s="4" t="str">
        <f t="shared" si="0"/>
        <v>NO</v>
      </c>
    </row>
    <row r="64" spans="1:21" ht="42" customHeight="1">
      <c r="A64" s="4" t="s">
        <v>1097</v>
      </c>
      <c r="B64" s="4" t="s">
        <v>340</v>
      </c>
      <c r="C64" s="4" t="s">
        <v>360</v>
      </c>
      <c r="D64" s="4" t="s">
        <v>340</v>
      </c>
      <c r="E64" s="4" t="s">
        <v>360</v>
      </c>
      <c r="F64" s="4" t="s">
        <v>1016</v>
      </c>
      <c r="G64" s="4" t="s">
        <v>1098</v>
      </c>
      <c r="H64" s="4" t="s">
        <v>1011</v>
      </c>
      <c r="I64" s="4"/>
      <c r="J64" s="4" t="s">
        <v>1011</v>
      </c>
      <c r="K64" s="4" t="s">
        <v>75</v>
      </c>
      <c r="L64" s="4" t="s">
        <v>90</v>
      </c>
      <c r="M64" s="4" t="s">
        <v>1012</v>
      </c>
      <c r="N64" s="4" t="s">
        <v>90</v>
      </c>
      <c r="O64" s="4" t="s">
        <v>71</v>
      </c>
      <c r="P64" s="4" t="s">
        <v>71</v>
      </c>
      <c r="Q64" s="4"/>
      <c r="R64" s="4" t="s">
        <v>143</v>
      </c>
      <c r="S64" s="4" t="s">
        <v>71</v>
      </c>
      <c r="T64" s="4" t="s">
        <v>71</v>
      </c>
      <c r="U64" s="4" t="str">
        <f t="shared" si="0"/>
        <v>NO</v>
      </c>
    </row>
    <row r="65" spans="1:21" ht="42" customHeight="1">
      <c r="A65" s="4" t="s">
        <v>1099</v>
      </c>
      <c r="B65" s="4" t="s">
        <v>348</v>
      </c>
      <c r="C65" s="4" t="s">
        <v>358</v>
      </c>
      <c r="D65" s="4" t="s">
        <v>348</v>
      </c>
      <c r="E65" s="4" t="s">
        <v>358</v>
      </c>
      <c r="F65" s="4" t="s">
        <v>1009</v>
      </c>
      <c r="G65" s="4" t="s">
        <v>1100</v>
      </c>
      <c r="H65" s="4" t="s">
        <v>1018</v>
      </c>
      <c r="I65" s="4"/>
      <c r="J65" s="4" t="s">
        <v>1018</v>
      </c>
      <c r="K65" s="4" t="s">
        <v>90</v>
      </c>
      <c r="L65" s="4" t="s">
        <v>90</v>
      </c>
      <c r="M65" s="4" t="s">
        <v>1021</v>
      </c>
      <c r="N65" s="4" t="s">
        <v>90</v>
      </c>
      <c r="O65" s="4" t="s">
        <v>71</v>
      </c>
      <c r="P65" s="4" t="s">
        <v>71</v>
      </c>
      <c r="Q65" s="4"/>
      <c r="R65" s="4" t="s">
        <v>143</v>
      </c>
      <c r="S65" s="4" t="s">
        <v>71</v>
      </c>
      <c r="T65" s="4" t="s">
        <v>71</v>
      </c>
      <c r="U65" s="4" t="str">
        <f t="shared" si="0"/>
        <v>NO</v>
      </c>
    </row>
    <row r="66" spans="1:21" ht="42" customHeight="1">
      <c r="A66" s="4" t="s">
        <v>1101</v>
      </c>
      <c r="B66" s="4" t="s">
        <v>358</v>
      </c>
      <c r="C66" s="4" t="s">
        <v>179</v>
      </c>
      <c r="D66" s="4" t="s">
        <v>358</v>
      </c>
      <c r="E66" s="4" t="s">
        <v>179</v>
      </c>
      <c r="F66" s="4" t="s">
        <v>1009</v>
      </c>
      <c r="G66" s="4" t="s">
        <v>1010</v>
      </c>
      <c r="H66" s="4" t="s">
        <v>1011</v>
      </c>
      <c r="I66" s="4"/>
      <c r="J66" s="4" t="s">
        <v>1011</v>
      </c>
      <c r="K66" s="4" t="s">
        <v>90</v>
      </c>
      <c r="L66" s="4" t="s">
        <v>55</v>
      </c>
      <c r="M66" s="4" t="s">
        <v>1012</v>
      </c>
      <c r="N66" s="4" t="s">
        <v>90</v>
      </c>
      <c r="O66" s="4" t="s">
        <v>71</v>
      </c>
      <c r="P66" s="4" t="s">
        <v>71</v>
      </c>
      <c r="Q66" s="4"/>
      <c r="R66" s="4" t="s">
        <v>143</v>
      </c>
      <c r="S66" s="4" t="s">
        <v>71</v>
      </c>
      <c r="T66" s="4" t="s">
        <v>71</v>
      </c>
      <c r="U66" s="4" t="str">
        <f t="shared" si="0"/>
        <v>NO</v>
      </c>
    </row>
    <row r="67" spans="1:21" ht="42" customHeight="1">
      <c r="A67" s="4" t="s">
        <v>1102</v>
      </c>
      <c r="B67" s="4" t="s">
        <v>358</v>
      </c>
      <c r="C67" s="4" t="s">
        <v>236</v>
      </c>
      <c r="D67" s="4" t="s">
        <v>358</v>
      </c>
      <c r="E67" s="4" t="s">
        <v>236</v>
      </c>
      <c r="F67" s="4" t="s">
        <v>1009</v>
      </c>
      <c r="G67" s="4" t="s">
        <v>1037</v>
      </c>
      <c r="H67" s="4" t="s">
        <v>1011</v>
      </c>
      <c r="I67" s="4"/>
      <c r="J67" s="4" t="s">
        <v>1011</v>
      </c>
      <c r="K67" s="4" t="s">
        <v>90</v>
      </c>
      <c r="L67" s="4" t="s">
        <v>81</v>
      </c>
      <c r="M67" s="4" t="s">
        <v>1012</v>
      </c>
      <c r="N67" s="4" t="s">
        <v>90</v>
      </c>
      <c r="O67" s="4" t="s">
        <v>71</v>
      </c>
      <c r="P67" s="4" t="s">
        <v>71</v>
      </c>
      <c r="Q67" s="4"/>
      <c r="R67" s="4" t="s">
        <v>143</v>
      </c>
      <c r="S67" s="4" t="s">
        <v>71</v>
      </c>
      <c r="T67" s="4" t="s">
        <v>71</v>
      </c>
      <c r="U67" s="4" t="str">
        <f t="shared" si="0"/>
        <v>NO</v>
      </c>
    </row>
    <row r="68" spans="1:21" ht="42" customHeight="1">
      <c r="A68" s="4" t="s">
        <v>1103</v>
      </c>
      <c r="B68" s="4" t="s">
        <v>354</v>
      </c>
      <c r="C68" s="4" t="s">
        <v>148</v>
      </c>
      <c r="D68" s="4" t="s">
        <v>354</v>
      </c>
      <c r="E68" s="4" t="s">
        <v>148</v>
      </c>
      <c r="F68" s="4" t="s">
        <v>1009</v>
      </c>
      <c r="G68" s="4" t="s">
        <v>1026</v>
      </c>
      <c r="H68" s="4" t="s">
        <v>1011</v>
      </c>
      <c r="I68" s="4"/>
      <c r="J68" s="4" t="s">
        <v>1011</v>
      </c>
      <c r="K68" s="4" t="s">
        <v>75</v>
      </c>
      <c r="L68" s="4" t="s">
        <v>48</v>
      </c>
      <c r="M68" s="4" t="s">
        <v>1012</v>
      </c>
      <c r="N68" s="4" t="s">
        <v>75</v>
      </c>
      <c r="O68" s="4" t="s">
        <v>71</v>
      </c>
      <c r="P68" s="4" t="s">
        <v>71</v>
      </c>
      <c r="Q68" s="4"/>
      <c r="R68" s="4" t="s">
        <v>143</v>
      </c>
      <c r="S68" s="4" t="s">
        <v>71</v>
      </c>
      <c r="T68" s="4" t="s">
        <v>71</v>
      </c>
      <c r="U68" s="4" t="str">
        <f t="shared" si="0"/>
        <v>NO</v>
      </c>
    </row>
    <row r="69" spans="1:21" ht="42" customHeight="1">
      <c r="A69" s="4" t="s">
        <v>1104</v>
      </c>
      <c r="B69" s="4" t="s">
        <v>360</v>
      </c>
      <c r="C69" s="4" t="s">
        <v>135</v>
      </c>
      <c r="D69" s="4" t="s">
        <v>360</v>
      </c>
      <c r="E69" s="4" t="s">
        <v>135</v>
      </c>
      <c r="F69" s="4" t="s">
        <v>1009</v>
      </c>
      <c r="G69" s="4" t="s">
        <v>1037</v>
      </c>
      <c r="H69" s="4" t="s">
        <v>1011</v>
      </c>
      <c r="I69" s="4"/>
      <c r="J69" s="4" t="s">
        <v>1011</v>
      </c>
      <c r="K69" s="4" t="s">
        <v>90</v>
      </c>
      <c r="L69" s="4" t="s">
        <v>90</v>
      </c>
      <c r="M69" s="4" t="s">
        <v>1021</v>
      </c>
      <c r="N69" s="4" t="s">
        <v>90</v>
      </c>
      <c r="O69" s="4" t="s">
        <v>71</v>
      </c>
      <c r="P69" s="4" t="s">
        <v>71</v>
      </c>
      <c r="Q69" s="4"/>
      <c r="R69" s="4" t="s">
        <v>143</v>
      </c>
      <c r="S69" s="4" t="s">
        <v>71</v>
      </c>
      <c r="T69" s="4" t="s">
        <v>71</v>
      </c>
      <c r="U69" s="4" t="str">
        <f t="shared" ref="U69:U132" si="1">IF(AND(R69="revisada",S69="pasa",T69="aprobada",O69&lt;&gt;"pendiente",P69&lt;&gt;"pendiente",OR(J69="por_corroborar",AND(J69="corroborada",Q69&lt;&gt;""))),"SÍ","NO")</f>
        <v>NO</v>
      </c>
    </row>
    <row r="70" spans="1:21" ht="42" customHeight="1">
      <c r="A70" s="4" t="s">
        <v>1105</v>
      </c>
      <c r="B70" s="4" t="s">
        <v>360</v>
      </c>
      <c r="C70" s="4" t="s">
        <v>236</v>
      </c>
      <c r="D70" s="4" t="s">
        <v>360</v>
      </c>
      <c r="E70" s="4" t="s">
        <v>236</v>
      </c>
      <c r="F70" s="4" t="s">
        <v>1009</v>
      </c>
      <c r="G70" s="4" t="s">
        <v>1037</v>
      </c>
      <c r="H70" s="4" t="s">
        <v>1011</v>
      </c>
      <c r="I70" s="4"/>
      <c r="J70" s="4" t="s">
        <v>1011</v>
      </c>
      <c r="K70" s="4" t="s">
        <v>90</v>
      </c>
      <c r="L70" s="4" t="s">
        <v>81</v>
      </c>
      <c r="M70" s="4" t="s">
        <v>1012</v>
      </c>
      <c r="N70" s="4" t="s">
        <v>90</v>
      </c>
      <c r="O70" s="4" t="s">
        <v>71</v>
      </c>
      <c r="P70" s="4" t="s">
        <v>71</v>
      </c>
      <c r="Q70" s="4"/>
      <c r="R70" s="4" t="s">
        <v>143</v>
      </c>
      <c r="S70" s="4" t="s">
        <v>71</v>
      </c>
      <c r="T70" s="4" t="s">
        <v>71</v>
      </c>
      <c r="U70" s="4" t="str">
        <f t="shared" si="1"/>
        <v>NO</v>
      </c>
    </row>
    <row r="71" spans="1:21" ht="42" customHeight="1">
      <c r="A71" s="4" t="s">
        <v>1106</v>
      </c>
      <c r="B71" s="4" t="s">
        <v>364</v>
      </c>
      <c r="C71" s="4" t="s">
        <v>306</v>
      </c>
      <c r="D71" s="4" t="s">
        <v>364</v>
      </c>
      <c r="E71" s="4" t="s">
        <v>306</v>
      </c>
      <c r="F71" s="4" t="s">
        <v>1009</v>
      </c>
      <c r="G71" s="4" t="s">
        <v>1073</v>
      </c>
      <c r="H71" s="4" t="s">
        <v>1018</v>
      </c>
      <c r="I71" s="4"/>
      <c r="J71" s="4" t="s">
        <v>1018</v>
      </c>
      <c r="K71" s="4" t="s">
        <v>72</v>
      </c>
      <c r="L71" s="4" t="s">
        <v>75</v>
      </c>
      <c r="M71" s="4" t="s">
        <v>1012</v>
      </c>
      <c r="N71" s="4" t="s">
        <v>75</v>
      </c>
      <c r="O71" s="4" t="s">
        <v>71</v>
      </c>
      <c r="P71" s="4" t="s">
        <v>71</v>
      </c>
      <c r="Q71" s="4"/>
      <c r="R71" s="4" t="s">
        <v>143</v>
      </c>
      <c r="S71" s="4" t="s">
        <v>71</v>
      </c>
      <c r="T71" s="4" t="s">
        <v>71</v>
      </c>
      <c r="U71" s="4" t="str">
        <f t="shared" si="1"/>
        <v>NO</v>
      </c>
    </row>
    <row r="72" spans="1:21" ht="42" customHeight="1">
      <c r="A72" s="4" t="s">
        <v>1107</v>
      </c>
      <c r="B72" s="4" t="s">
        <v>364</v>
      </c>
      <c r="C72" s="4" t="s">
        <v>351</v>
      </c>
      <c r="D72" s="4" t="s">
        <v>364</v>
      </c>
      <c r="E72" s="4" t="s">
        <v>351</v>
      </c>
      <c r="F72" s="4" t="s">
        <v>1009</v>
      </c>
      <c r="G72" s="4" t="s">
        <v>1073</v>
      </c>
      <c r="H72" s="4" t="s">
        <v>1018</v>
      </c>
      <c r="I72" s="4"/>
      <c r="J72" s="4" t="s">
        <v>1018</v>
      </c>
      <c r="K72" s="4" t="s">
        <v>72</v>
      </c>
      <c r="L72" s="4" t="s">
        <v>81</v>
      </c>
      <c r="M72" s="4" t="s">
        <v>1012</v>
      </c>
      <c r="N72" s="4" t="s">
        <v>81</v>
      </c>
      <c r="O72" s="4" t="s">
        <v>71</v>
      </c>
      <c r="P72" s="4" t="s">
        <v>71</v>
      </c>
      <c r="Q72" s="4"/>
      <c r="R72" s="4" t="s">
        <v>143</v>
      </c>
      <c r="S72" s="4" t="s">
        <v>71</v>
      </c>
      <c r="T72" s="4" t="s">
        <v>71</v>
      </c>
      <c r="U72" s="4" t="str">
        <f t="shared" si="1"/>
        <v>NO</v>
      </c>
    </row>
    <row r="73" spans="1:21" ht="42" customHeight="1">
      <c r="A73" s="4" t="s">
        <v>1108</v>
      </c>
      <c r="B73" s="4" t="s">
        <v>364</v>
      </c>
      <c r="C73" s="4" t="s">
        <v>340</v>
      </c>
      <c r="D73" s="4" t="s">
        <v>364</v>
      </c>
      <c r="E73" s="4" t="s">
        <v>340</v>
      </c>
      <c r="F73" s="4" t="s">
        <v>1009</v>
      </c>
      <c r="G73" s="4" t="s">
        <v>1026</v>
      </c>
      <c r="H73" s="4" t="s">
        <v>1011</v>
      </c>
      <c r="I73" s="4"/>
      <c r="J73" s="4" t="s">
        <v>1011</v>
      </c>
      <c r="K73" s="4" t="s">
        <v>72</v>
      </c>
      <c r="L73" s="4" t="s">
        <v>75</v>
      </c>
      <c r="M73" s="4" t="s">
        <v>1012</v>
      </c>
      <c r="N73" s="4" t="s">
        <v>75</v>
      </c>
      <c r="O73" s="4" t="s">
        <v>71</v>
      </c>
      <c r="P73" s="4" t="s">
        <v>71</v>
      </c>
      <c r="Q73" s="4"/>
      <c r="R73" s="4" t="s">
        <v>143</v>
      </c>
      <c r="S73" s="4" t="s">
        <v>71</v>
      </c>
      <c r="T73" s="4" t="s">
        <v>71</v>
      </c>
      <c r="U73" s="4" t="str">
        <f t="shared" si="1"/>
        <v>NO</v>
      </c>
    </row>
    <row r="74" spans="1:21" ht="42" customHeight="1">
      <c r="A74" s="4" t="s">
        <v>1109</v>
      </c>
      <c r="B74" s="4" t="s">
        <v>364</v>
      </c>
      <c r="C74" s="4" t="s">
        <v>245</v>
      </c>
      <c r="D74" s="4" t="s">
        <v>364</v>
      </c>
      <c r="E74" s="4" t="s">
        <v>245</v>
      </c>
      <c r="F74" s="4" t="s">
        <v>1009</v>
      </c>
      <c r="G74" s="4" t="s">
        <v>1039</v>
      </c>
      <c r="H74" s="4" t="s">
        <v>1011</v>
      </c>
      <c r="I74" s="4"/>
      <c r="J74" s="4" t="s">
        <v>1011</v>
      </c>
      <c r="K74" s="4" t="s">
        <v>72</v>
      </c>
      <c r="L74" s="4" t="s">
        <v>86</v>
      </c>
      <c r="M74" s="4" t="s">
        <v>1012</v>
      </c>
      <c r="N74" s="4" t="s">
        <v>86</v>
      </c>
      <c r="O74" s="4" t="s">
        <v>71</v>
      </c>
      <c r="P74" s="4" t="s">
        <v>71</v>
      </c>
      <c r="Q74" s="4"/>
      <c r="R74" s="4" t="s">
        <v>143</v>
      </c>
      <c r="S74" s="4" t="s">
        <v>71</v>
      </c>
      <c r="T74" s="4" t="s">
        <v>71</v>
      </c>
      <c r="U74" s="4" t="str">
        <f t="shared" si="1"/>
        <v>NO</v>
      </c>
    </row>
    <row r="75" spans="1:21" ht="42" customHeight="1">
      <c r="A75" s="4" t="s">
        <v>1110</v>
      </c>
      <c r="B75" s="4" t="s">
        <v>367</v>
      </c>
      <c r="C75" s="4" t="s">
        <v>378</v>
      </c>
      <c r="D75" s="4" t="s">
        <v>367</v>
      </c>
      <c r="E75" s="4" t="s">
        <v>378</v>
      </c>
      <c r="F75" s="4" t="s">
        <v>1009</v>
      </c>
      <c r="G75" s="4" t="s">
        <v>1111</v>
      </c>
      <c r="H75" s="4" t="s">
        <v>1018</v>
      </c>
      <c r="I75" s="4"/>
      <c r="J75" s="4" t="s">
        <v>1018</v>
      </c>
      <c r="K75" s="4" t="s">
        <v>92</v>
      </c>
      <c r="L75" s="4" t="s">
        <v>61</v>
      </c>
      <c r="M75" s="4" t="s">
        <v>1012</v>
      </c>
      <c r="N75" s="4" t="s">
        <v>92</v>
      </c>
      <c r="O75" s="4" t="s">
        <v>71</v>
      </c>
      <c r="P75" s="4" t="s">
        <v>71</v>
      </c>
      <c r="Q75" s="4"/>
      <c r="R75" s="4" t="s">
        <v>143</v>
      </c>
      <c r="S75" s="4" t="s">
        <v>71</v>
      </c>
      <c r="T75" s="4" t="s">
        <v>71</v>
      </c>
      <c r="U75" s="4" t="str">
        <f t="shared" si="1"/>
        <v>NO</v>
      </c>
    </row>
    <row r="76" spans="1:21" ht="42" customHeight="1">
      <c r="A76" s="4" t="s">
        <v>1112</v>
      </c>
      <c r="B76" s="4" t="s">
        <v>367</v>
      </c>
      <c r="C76" s="4" t="s">
        <v>371</v>
      </c>
      <c r="D76" s="4" t="s">
        <v>367</v>
      </c>
      <c r="E76" s="4" t="s">
        <v>371</v>
      </c>
      <c r="F76" s="4" t="s">
        <v>1009</v>
      </c>
      <c r="G76" s="4" t="s">
        <v>1111</v>
      </c>
      <c r="H76" s="4" t="s">
        <v>1018</v>
      </c>
      <c r="I76" s="4"/>
      <c r="J76" s="4" t="s">
        <v>1018</v>
      </c>
      <c r="K76" s="4" t="s">
        <v>92</v>
      </c>
      <c r="L76" s="4" t="s">
        <v>69</v>
      </c>
      <c r="M76" s="4" t="s">
        <v>1012</v>
      </c>
      <c r="N76" s="4" t="s">
        <v>92</v>
      </c>
      <c r="O76" s="4" t="s">
        <v>71</v>
      </c>
      <c r="P76" s="4" t="s">
        <v>71</v>
      </c>
      <c r="Q76" s="4"/>
      <c r="R76" s="4" t="s">
        <v>143</v>
      </c>
      <c r="S76" s="4" t="s">
        <v>71</v>
      </c>
      <c r="T76" s="4" t="s">
        <v>71</v>
      </c>
      <c r="U76" s="4" t="str">
        <f t="shared" si="1"/>
        <v>NO</v>
      </c>
    </row>
    <row r="77" spans="1:21" ht="42" customHeight="1">
      <c r="A77" s="4" t="s">
        <v>1113</v>
      </c>
      <c r="B77" s="4" t="s">
        <v>367</v>
      </c>
      <c r="C77" s="4" t="s">
        <v>249</v>
      </c>
      <c r="D77" s="4" t="s">
        <v>367</v>
      </c>
      <c r="E77" s="4" t="s">
        <v>249</v>
      </c>
      <c r="F77" s="4" t="s">
        <v>1009</v>
      </c>
      <c r="G77" s="4" t="s">
        <v>1050</v>
      </c>
      <c r="H77" s="4" t="s">
        <v>1011</v>
      </c>
      <c r="I77" s="4"/>
      <c r="J77" s="4" t="s">
        <v>1011</v>
      </c>
      <c r="K77" s="4" t="s">
        <v>92</v>
      </c>
      <c r="L77" s="4" t="s">
        <v>69</v>
      </c>
      <c r="M77" s="4" t="s">
        <v>1012</v>
      </c>
      <c r="N77" s="4" t="s">
        <v>92</v>
      </c>
      <c r="O77" s="4" t="s">
        <v>71</v>
      </c>
      <c r="P77" s="4" t="s">
        <v>71</v>
      </c>
      <c r="Q77" s="4"/>
      <c r="R77" s="4" t="s">
        <v>143</v>
      </c>
      <c r="S77" s="4" t="s">
        <v>71</v>
      </c>
      <c r="T77" s="4" t="s">
        <v>71</v>
      </c>
      <c r="U77" s="4" t="str">
        <f t="shared" si="1"/>
        <v>NO</v>
      </c>
    </row>
    <row r="78" spans="1:21" ht="42" customHeight="1">
      <c r="A78" s="4" t="s">
        <v>1114</v>
      </c>
      <c r="B78" s="4" t="s">
        <v>371</v>
      </c>
      <c r="C78" s="4" t="s">
        <v>380</v>
      </c>
      <c r="D78" s="4" t="s">
        <v>371</v>
      </c>
      <c r="E78" s="4" t="s">
        <v>380</v>
      </c>
      <c r="F78" s="4" t="s">
        <v>1009</v>
      </c>
      <c r="G78" s="4" t="s">
        <v>1044</v>
      </c>
      <c r="H78" s="4" t="s">
        <v>1011</v>
      </c>
      <c r="I78" s="4"/>
      <c r="J78" s="4" t="s">
        <v>1011</v>
      </c>
      <c r="K78" s="4" t="s">
        <v>69</v>
      </c>
      <c r="L78" s="4" t="s">
        <v>58</v>
      </c>
      <c r="M78" s="4" t="s">
        <v>1012</v>
      </c>
      <c r="N78" s="4" t="s">
        <v>69</v>
      </c>
      <c r="O78" s="4" t="s">
        <v>71</v>
      </c>
      <c r="P78" s="4" t="s">
        <v>71</v>
      </c>
      <c r="Q78" s="4"/>
      <c r="R78" s="4" t="s">
        <v>143</v>
      </c>
      <c r="S78" s="4" t="s">
        <v>71</v>
      </c>
      <c r="T78" s="4" t="s">
        <v>71</v>
      </c>
      <c r="U78" s="4" t="str">
        <f t="shared" si="1"/>
        <v>NO</v>
      </c>
    </row>
    <row r="79" spans="1:21" ht="42" customHeight="1">
      <c r="A79" s="4" t="s">
        <v>1115</v>
      </c>
      <c r="B79" s="4" t="s">
        <v>371</v>
      </c>
      <c r="C79" s="4" t="s">
        <v>332</v>
      </c>
      <c r="D79" s="4" t="s">
        <v>371</v>
      </c>
      <c r="E79" s="4" t="s">
        <v>332</v>
      </c>
      <c r="F79" s="4" t="s">
        <v>1009</v>
      </c>
      <c r="G79" s="4" t="s">
        <v>1010</v>
      </c>
      <c r="H79" s="4" t="s">
        <v>1011</v>
      </c>
      <c r="I79" s="4"/>
      <c r="J79" s="4" t="s">
        <v>1011</v>
      </c>
      <c r="K79" s="4" t="s">
        <v>69</v>
      </c>
      <c r="L79" s="4" t="s">
        <v>81</v>
      </c>
      <c r="M79" s="4" t="s">
        <v>1012</v>
      </c>
      <c r="N79" s="4" t="s">
        <v>81</v>
      </c>
      <c r="O79" s="4" t="s">
        <v>71</v>
      </c>
      <c r="P79" s="4" t="s">
        <v>71</v>
      </c>
      <c r="Q79" s="4"/>
      <c r="R79" s="4" t="s">
        <v>143</v>
      </c>
      <c r="S79" s="4" t="s">
        <v>71</v>
      </c>
      <c r="T79" s="4" t="s">
        <v>71</v>
      </c>
      <c r="U79" s="4" t="str">
        <f t="shared" si="1"/>
        <v>NO</v>
      </c>
    </row>
    <row r="80" spans="1:21" ht="42" customHeight="1">
      <c r="A80" s="4" t="s">
        <v>1116</v>
      </c>
      <c r="B80" s="4" t="s">
        <v>374</v>
      </c>
      <c r="C80" s="4" t="s">
        <v>378</v>
      </c>
      <c r="D80" s="4" t="s">
        <v>374</v>
      </c>
      <c r="E80" s="4" t="s">
        <v>378</v>
      </c>
      <c r="F80" s="4" t="s">
        <v>1009</v>
      </c>
      <c r="G80" s="4" t="s">
        <v>1111</v>
      </c>
      <c r="H80" s="4" t="s">
        <v>1018</v>
      </c>
      <c r="I80" s="4"/>
      <c r="J80" s="4" t="s">
        <v>1018</v>
      </c>
      <c r="K80" s="4" t="s">
        <v>72</v>
      </c>
      <c r="L80" s="4" t="s">
        <v>61</v>
      </c>
      <c r="M80" s="4" t="s">
        <v>1012</v>
      </c>
      <c r="N80" s="4" t="s">
        <v>72</v>
      </c>
      <c r="O80" s="4" t="s">
        <v>71</v>
      </c>
      <c r="P80" s="4" t="s">
        <v>71</v>
      </c>
      <c r="Q80" s="4"/>
      <c r="R80" s="4" t="s">
        <v>143</v>
      </c>
      <c r="S80" s="4" t="s">
        <v>71</v>
      </c>
      <c r="T80" s="4" t="s">
        <v>71</v>
      </c>
      <c r="U80" s="4" t="str">
        <f t="shared" si="1"/>
        <v>NO</v>
      </c>
    </row>
    <row r="81" spans="1:21" ht="42" customHeight="1">
      <c r="A81" s="4" t="s">
        <v>1117</v>
      </c>
      <c r="B81" s="4" t="s">
        <v>374</v>
      </c>
      <c r="C81" s="4" t="s">
        <v>245</v>
      </c>
      <c r="D81" s="4" t="s">
        <v>374</v>
      </c>
      <c r="E81" s="4" t="s">
        <v>245</v>
      </c>
      <c r="F81" s="4" t="s">
        <v>1009</v>
      </c>
      <c r="G81" s="4" t="s">
        <v>1039</v>
      </c>
      <c r="H81" s="4" t="s">
        <v>1011</v>
      </c>
      <c r="I81" s="4"/>
      <c r="J81" s="4" t="s">
        <v>1011</v>
      </c>
      <c r="K81" s="4" t="s">
        <v>72</v>
      </c>
      <c r="L81" s="4" t="s">
        <v>86</v>
      </c>
      <c r="M81" s="4" t="s">
        <v>1012</v>
      </c>
      <c r="N81" s="4" t="s">
        <v>86</v>
      </c>
      <c r="O81" s="4" t="s">
        <v>71</v>
      </c>
      <c r="P81" s="4" t="s">
        <v>71</v>
      </c>
      <c r="Q81" s="4"/>
      <c r="R81" s="4" t="s">
        <v>143</v>
      </c>
      <c r="S81" s="4" t="s">
        <v>71</v>
      </c>
      <c r="T81" s="4" t="s">
        <v>71</v>
      </c>
      <c r="U81" s="4" t="str">
        <f t="shared" si="1"/>
        <v>NO</v>
      </c>
    </row>
    <row r="82" spans="1:21" ht="42" customHeight="1">
      <c r="A82" s="4" t="s">
        <v>1118</v>
      </c>
      <c r="B82" s="4" t="s">
        <v>378</v>
      </c>
      <c r="C82" s="4" t="s">
        <v>321</v>
      </c>
      <c r="D82" s="4" t="s">
        <v>378</v>
      </c>
      <c r="E82" s="4" t="s">
        <v>321</v>
      </c>
      <c r="F82" s="4" t="s">
        <v>1009</v>
      </c>
      <c r="G82" s="4" t="s">
        <v>1068</v>
      </c>
      <c r="H82" s="4" t="s">
        <v>1011</v>
      </c>
      <c r="I82" s="4"/>
      <c r="J82" s="4" t="s">
        <v>1011</v>
      </c>
      <c r="K82" s="4" t="s">
        <v>61</v>
      </c>
      <c r="L82" s="4" t="s">
        <v>75</v>
      </c>
      <c r="M82" s="4" t="s">
        <v>1012</v>
      </c>
      <c r="N82" s="4" t="s">
        <v>75</v>
      </c>
      <c r="O82" s="4" t="s">
        <v>71</v>
      </c>
      <c r="P82" s="4" t="s">
        <v>71</v>
      </c>
      <c r="Q82" s="4"/>
      <c r="R82" s="4" t="s">
        <v>143</v>
      </c>
      <c r="S82" s="4" t="s">
        <v>71</v>
      </c>
      <c r="T82" s="4" t="s">
        <v>71</v>
      </c>
      <c r="U82" s="4" t="str">
        <f t="shared" si="1"/>
        <v>NO</v>
      </c>
    </row>
    <row r="83" spans="1:21" ht="42" customHeight="1">
      <c r="A83" s="4" t="s">
        <v>1119</v>
      </c>
      <c r="B83" s="4" t="s">
        <v>378</v>
      </c>
      <c r="C83" s="4" t="s">
        <v>144</v>
      </c>
      <c r="D83" s="4" t="s">
        <v>378</v>
      </c>
      <c r="E83" s="4" t="s">
        <v>144</v>
      </c>
      <c r="F83" s="4" t="s">
        <v>1009</v>
      </c>
      <c r="G83" s="4" t="s">
        <v>1068</v>
      </c>
      <c r="H83" s="4" t="s">
        <v>1011</v>
      </c>
      <c r="I83" s="4"/>
      <c r="J83" s="4" t="s">
        <v>1011</v>
      </c>
      <c r="K83" s="4" t="s">
        <v>61</v>
      </c>
      <c r="L83" s="4" t="s">
        <v>83</v>
      </c>
      <c r="M83" s="4" t="s">
        <v>1012</v>
      </c>
      <c r="N83" s="4" t="s">
        <v>83</v>
      </c>
      <c r="O83" s="4" t="s">
        <v>71</v>
      </c>
      <c r="P83" s="4" t="s">
        <v>71</v>
      </c>
      <c r="Q83" s="4"/>
      <c r="R83" s="4" t="s">
        <v>143</v>
      </c>
      <c r="S83" s="4" t="s">
        <v>71</v>
      </c>
      <c r="T83" s="4" t="s">
        <v>71</v>
      </c>
      <c r="U83" s="4" t="str">
        <f t="shared" si="1"/>
        <v>NO</v>
      </c>
    </row>
    <row r="84" spans="1:21" ht="42" customHeight="1">
      <c r="A84" s="4" t="s">
        <v>1120</v>
      </c>
      <c r="B84" s="4" t="s">
        <v>380</v>
      </c>
      <c r="C84" s="4" t="s">
        <v>317</v>
      </c>
      <c r="D84" s="4" t="s">
        <v>380</v>
      </c>
      <c r="E84" s="4" t="s">
        <v>317</v>
      </c>
      <c r="F84" s="4" t="s">
        <v>1009</v>
      </c>
      <c r="G84" s="4" t="s">
        <v>1020</v>
      </c>
      <c r="H84" s="4" t="s">
        <v>1011</v>
      </c>
      <c r="I84" s="4"/>
      <c r="J84" s="4" t="s">
        <v>1011</v>
      </c>
      <c r="K84" s="4" t="s">
        <v>58</v>
      </c>
      <c r="L84" s="4" t="s">
        <v>81</v>
      </c>
      <c r="M84" s="4" t="s">
        <v>1012</v>
      </c>
      <c r="N84" s="4" t="s">
        <v>81</v>
      </c>
      <c r="O84" s="4" t="s">
        <v>71</v>
      </c>
      <c r="P84" s="4" t="s">
        <v>71</v>
      </c>
      <c r="Q84" s="4"/>
      <c r="R84" s="4" t="s">
        <v>143</v>
      </c>
      <c r="S84" s="4" t="s">
        <v>71</v>
      </c>
      <c r="T84" s="4" t="s">
        <v>71</v>
      </c>
      <c r="U84" s="4" t="str">
        <f t="shared" si="1"/>
        <v>NO</v>
      </c>
    </row>
    <row r="85" spans="1:21" ht="42" customHeight="1">
      <c r="A85" s="4" t="s">
        <v>1121</v>
      </c>
      <c r="B85" s="4" t="s">
        <v>380</v>
      </c>
      <c r="C85" s="4" t="s">
        <v>321</v>
      </c>
      <c r="D85" s="4" t="s">
        <v>380</v>
      </c>
      <c r="E85" s="4" t="s">
        <v>321</v>
      </c>
      <c r="F85" s="4" t="s">
        <v>1009</v>
      </c>
      <c r="G85" s="4" t="s">
        <v>1010</v>
      </c>
      <c r="H85" s="4" t="s">
        <v>1011</v>
      </c>
      <c r="I85" s="4"/>
      <c r="J85" s="4" t="s">
        <v>1011</v>
      </c>
      <c r="K85" s="4" t="s">
        <v>58</v>
      </c>
      <c r="L85" s="4" t="s">
        <v>75</v>
      </c>
      <c r="M85" s="4" t="s">
        <v>1012</v>
      </c>
      <c r="N85" s="4" t="s">
        <v>75</v>
      </c>
      <c r="O85" s="4" t="s">
        <v>71</v>
      </c>
      <c r="P85" s="4" t="s">
        <v>71</v>
      </c>
      <c r="Q85" s="4"/>
      <c r="R85" s="4" t="s">
        <v>143</v>
      </c>
      <c r="S85" s="4" t="s">
        <v>71</v>
      </c>
      <c r="T85" s="4" t="s">
        <v>71</v>
      </c>
      <c r="U85" s="4" t="str">
        <f t="shared" si="1"/>
        <v>NO</v>
      </c>
    </row>
    <row r="86" spans="1:21" ht="42" customHeight="1">
      <c r="A86" s="4" t="s">
        <v>1122</v>
      </c>
      <c r="B86" s="4" t="s">
        <v>384</v>
      </c>
      <c r="C86" s="4" t="s">
        <v>396</v>
      </c>
      <c r="D86" s="4" t="s">
        <v>384</v>
      </c>
      <c r="E86" s="4" t="s">
        <v>396</v>
      </c>
      <c r="F86" s="4" t="s">
        <v>1009</v>
      </c>
      <c r="G86" s="4" t="s">
        <v>1010</v>
      </c>
      <c r="H86" s="4" t="s">
        <v>1011</v>
      </c>
      <c r="I86" s="4"/>
      <c r="J86" s="4" t="s">
        <v>1011</v>
      </c>
      <c r="K86" s="4" t="s">
        <v>58</v>
      </c>
      <c r="L86" s="4" t="s">
        <v>79</v>
      </c>
      <c r="M86" s="4" t="s">
        <v>1012</v>
      </c>
      <c r="N86" s="4" t="s">
        <v>79</v>
      </c>
      <c r="O86" s="4" t="s">
        <v>71</v>
      </c>
      <c r="P86" s="4" t="s">
        <v>71</v>
      </c>
      <c r="Q86" s="4"/>
      <c r="R86" s="4" t="s">
        <v>143</v>
      </c>
      <c r="S86" s="4" t="s">
        <v>71</v>
      </c>
      <c r="T86" s="4" t="s">
        <v>71</v>
      </c>
      <c r="U86" s="4" t="str">
        <f t="shared" si="1"/>
        <v>NO</v>
      </c>
    </row>
    <row r="87" spans="1:21" ht="42" customHeight="1">
      <c r="A87" s="4" t="s">
        <v>1123</v>
      </c>
      <c r="B87" s="4" t="s">
        <v>384</v>
      </c>
      <c r="C87" s="4" t="s">
        <v>265</v>
      </c>
      <c r="D87" s="4" t="s">
        <v>384</v>
      </c>
      <c r="E87" s="4" t="s">
        <v>265</v>
      </c>
      <c r="F87" s="4" t="s">
        <v>1009</v>
      </c>
      <c r="G87" s="4" t="s">
        <v>1044</v>
      </c>
      <c r="H87" s="4" t="s">
        <v>1011</v>
      </c>
      <c r="I87" s="4"/>
      <c r="J87" s="4" t="s">
        <v>1011</v>
      </c>
      <c r="K87" s="4" t="s">
        <v>58</v>
      </c>
      <c r="L87" s="4" t="s">
        <v>92</v>
      </c>
      <c r="M87" s="4" t="s">
        <v>1012</v>
      </c>
      <c r="N87" s="4" t="s">
        <v>92</v>
      </c>
      <c r="O87" s="4" t="s">
        <v>71</v>
      </c>
      <c r="P87" s="4" t="s">
        <v>71</v>
      </c>
      <c r="Q87" s="4"/>
      <c r="R87" s="4" t="s">
        <v>143</v>
      </c>
      <c r="S87" s="4" t="s">
        <v>71</v>
      </c>
      <c r="T87" s="4" t="s">
        <v>71</v>
      </c>
      <c r="U87" s="4" t="str">
        <f t="shared" si="1"/>
        <v>NO</v>
      </c>
    </row>
    <row r="88" spans="1:21" ht="42" customHeight="1">
      <c r="A88" s="4" t="s">
        <v>1124</v>
      </c>
      <c r="B88" s="4" t="s">
        <v>387</v>
      </c>
      <c r="C88" s="4" t="s">
        <v>390</v>
      </c>
      <c r="D88" s="4" t="s">
        <v>387</v>
      </c>
      <c r="E88" s="4" t="s">
        <v>390</v>
      </c>
      <c r="F88" s="4" t="s">
        <v>1009</v>
      </c>
      <c r="G88" s="4" t="s">
        <v>1125</v>
      </c>
      <c r="H88" s="4" t="s">
        <v>1018</v>
      </c>
      <c r="I88" s="4"/>
      <c r="J88" s="4" t="s">
        <v>1018</v>
      </c>
      <c r="K88" s="4" t="s">
        <v>77</v>
      </c>
      <c r="L88" s="4" t="s">
        <v>75</v>
      </c>
      <c r="M88" s="4" t="s">
        <v>1012</v>
      </c>
      <c r="N88" s="4" t="s">
        <v>77</v>
      </c>
      <c r="O88" s="4" t="s">
        <v>71</v>
      </c>
      <c r="P88" s="4" t="s">
        <v>71</v>
      </c>
      <c r="Q88" s="4"/>
      <c r="R88" s="4" t="s">
        <v>143</v>
      </c>
      <c r="S88" s="4" t="s">
        <v>71</v>
      </c>
      <c r="T88" s="4" t="s">
        <v>71</v>
      </c>
      <c r="U88" s="4" t="str">
        <f t="shared" si="1"/>
        <v>NO</v>
      </c>
    </row>
    <row r="89" spans="1:21" ht="42" customHeight="1">
      <c r="A89" s="4" t="s">
        <v>1126</v>
      </c>
      <c r="B89" s="4" t="s">
        <v>387</v>
      </c>
      <c r="C89" s="4" t="s">
        <v>297</v>
      </c>
      <c r="D89" s="4" t="s">
        <v>387</v>
      </c>
      <c r="E89" s="4" t="s">
        <v>297</v>
      </c>
      <c r="F89" s="4" t="s">
        <v>1009</v>
      </c>
      <c r="G89" s="4" t="s">
        <v>1125</v>
      </c>
      <c r="H89" s="4" t="s">
        <v>1018</v>
      </c>
      <c r="I89" s="4"/>
      <c r="J89" s="4" t="s">
        <v>1018</v>
      </c>
      <c r="K89" s="4" t="s">
        <v>77</v>
      </c>
      <c r="L89" s="4" t="s">
        <v>75</v>
      </c>
      <c r="M89" s="4" t="s">
        <v>1012</v>
      </c>
      <c r="N89" s="4" t="s">
        <v>77</v>
      </c>
      <c r="O89" s="4" t="s">
        <v>71</v>
      </c>
      <c r="P89" s="4" t="s">
        <v>71</v>
      </c>
      <c r="Q89" s="4"/>
      <c r="R89" s="4" t="s">
        <v>143</v>
      </c>
      <c r="S89" s="4" t="s">
        <v>71</v>
      </c>
      <c r="T89" s="4" t="s">
        <v>71</v>
      </c>
      <c r="U89" s="4" t="str">
        <f t="shared" si="1"/>
        <v>NO</v>
      </c>
    </row>
    <row r="90" spans="1:21" ht="42" customHeight="1">
      <c r="A90" s="4" t="s">
        <v>1127</v>
      </c>
      <c r="B90" s="4" t="s">
        <v>387</v>
      </c>
      <c r="C90" s="4" t="s">
        <v>393</v>
      </c>
      <c r="D90" s="4" t="s">
        <v>387</v>
      </c>
      <c r="E90" s="4" t="s">
        <v>393</v>
      </c>
      <c r="F90" s="4" t="s">
        <v>1009</v>
      </c>
      <c r="G90" s="4" t="s">
        <v>1039</v>
      </c>
      <c r="H90" s="4" t="s">
        <v>1011</v>
      </c>
      <c r="I90" s="4"/>
      <c r="J90" s="4" t="s">
        <v>1011</v>
      </c>
      <c r="K90" s="4" t="s">
        <v>77</v>
      </c>
      <c r="L90" s="4" t="s">
        <v>61</v>
      </c>
      <c r="M90" s="4" t="s">
        <v>1012</v>
      </c>
      <c r="N90" s="4" t="s">
        <v>77</v>
      </c>
      <c r="O90" s="4" t="s">
        <v>71</v>
      </c>
      <c r="P90" s="4" t="s">
        <v>71</v>
      </c>
      <c r="Q90" s="4"/>
      <c r="R90" s="4" t="s">
        <v>143</v>
      </c>
      <c r="S90" s="4" t="s">
        <v>71</v>
      </c>
      <c r="T90" s="4" t="s">
        <v>71</v>
      </c>
      <c r="U90" s="4" t="str">
        <f t="shared" si="1"/>
        <v>NO</v>
      </c>
    </row>
    <row r="91" spans="1:21" ht="42" customHeight="1">
      <c r="A91" s="4" t="s">
        <v>1128</v>
      </c>
      <c r="B91" s="4" t="s">
        <v>390</v>
      </c>
      <c r="C91" s="4" t="s">
        <v>321</v>
      </c>
      <c r="D91" s="4" t="s">
        <v>390</v>
      </c>
      <c r="E91" s="4" t="s">
        <v>321</v>
      </c>
      <c r="F91" s="4" t="s">
        <v>1009</v>
      </c>
      <c r="G91" s="4" t="s">
        <v>1068</v>
      </c>
      <c r="H91" s="4" t="s">
        <v>1011</v>
      </c>
      <c r="I91" s="4"/>
      <c r="J91" s="4" t="s">
        <v>1011</v>
      </c>
      <c r="K91" s="4" t="s">
        <v>75</v>
      </c>
      <c r="L91" s="4" t="s">
        <v>75</v>
      </c>
      <c r="M91" s="4" t="s">
        <v>1021</v>
      </c>
      <c r="N91" s="4" t="s">
        <v>75</v>
      </c>
      <c r="O91" s="4" t="s">
        <v>71</v>
      </c>
      <c r="P91" s="4" t="s">
        <v>71</v>
      </c>
      <c r="Q91" s="4"/>
      <c r="R91" s="4" t="s">
        <v>143</v>
      </c>
      <c r="S91" s="4" t="s">
        <v>71</v>
      </c>
      <c r="T91" s="4" t="s">
        <v>71</v>
      </c>
      <c r="U91" s="4" t="str">
        <f t="shared" si="1"/>
        <v>NO</v>
      </c>
    </row>
    <row r="92" spans="1:21" ht="42" customHeight="1">
      <c r="A92" s="4" t="s">
        <v>1129</v>
      </c>
      <c r="B92" s="4" t="s">
        <v>393</v>
      </c>
      <c r="C92" s="4" t="s">
        <v>310</v>
      </c>
      <c r="D92" s="4" t="s">
        <v>393</v>
      </c>
      <c r="E92" s="4" t="s">
        <v>310</v>
      </c>
      <c r="F92" s="4" t="s">
        <v>1009</v>
      </c>
      <c r="G92" s="4" t="s">
        <v>1010</v>
      </c>
      <c r="H92" s="4" t="s">
        <v>1011</v>
      </c>
      <c r="I92" s="4"/>
      <c r="J92" s="4" t="s">
        <v>1011</v>
      </c>
      <c r="K92" s="4" t="s">
        <v>61</v>
      </c>
      <c r="L92" s="4" t="s">
        <v>81</v>
      </c>
      <c r="M92" s="4" t="s">
        <v>1012</v>
      </c>
      <c r="N92" s="4" t="s">
        <v>81</v>
      </c>
      <c r="O92" s="4" t="s">
        <v>71</v>
      </c>
      <c r="P92" s="4" t="s">
        <v>71</v>
      </c>
      <c r="Q92" s="4"/>
      <c r="R92" s="4" t="s">
        <v>143</v>
      </c>
      <c r="S92" s="4" t="s">
        <v>71</v>
      </c>
      <c r="T92" s="4" t="s">
        <v>71</v>
      </c>
      <c r="U92" s="4" t="str">
        <f t="shared" si="1"/>
        <v>NO</v>
      </c>
    </row>
    <row r="93" spans="1:21" ht="42" customHeight="1">
      <c r="A93" s="4" t="s">
        <v>1130</v>
      </c>
      <c r="B93" s="4" t="s">
        <v>396</v>
      </c>
      <c r="C93" s="4" t="s">
        <v>202</v>
      </c>
      <c r="D93" s="4" t="s">
        <v>396</v>
      </c>
      <c r="E93" s="4" t="s">
        <v>202</v>
      </c>
      <c r="F93" s="4" t="s">
        <v>1009</v>
      </c>
      <c r="G93" s="4" t="s">
        <v>1020</v>
      </c>
      <c r="H93" s="4" t="s">
        <v>1011</v>
      </c>
      <c r="I93" s="4"/>
      <c r="J93" s="4" t="s">
        <v>1011</v>
      </c>
      <c r="K93" s="4" t="s">
        <v>79</v>
      </c>
      <c r="L93" s="4" t="s">
        <v>55</v>
      </c>
      <c r="M93" s="4" t="s">
        <v>1012</v>
      </c>
      <c r="N93" s="4" t="s">
        <v>79</v>
      </c>
      <c r="O93" s="4" t="s">
        <v>71</v>
      </c>
      <c r="P93" s="4" t="s">
        <v>71</v>
      </c>
      <c r="Q93" s="4"/>
      <c r="R93" s="4" t="s">
        <v>143</v>
      </c>
      <c r="S93" s="4" t="s">
        <v>71</v>
      </c>
      <c r="T93" s="4" t="s">
        <v>71</v>
      </c>
      <c r="U93" s="4" t="str">
        <f t="shared" si="1"/>
        <v>NO</v>
      </c>
    </row>
    <row r="94" spans="1:21" ht="42" customHeight="1">
      <c r="A94" s="4" t="s">
        <v>1131</v>
      </c>
      <c r="B94" s="4" t="s">
        <v>399</v>
      </c>
      <c r="C94" s="4" t="s">
        <v>416</v>
      </c>
      <c r="D94" s="4" t="s">
        <v>399</v>
      </c>
      <c r="E94" s="4" t="s">
        <v>416</v>
      </c>
      <c r="F94" s="4" t="s">
        <v>1016</v>
      </c>
      <c r="G94" s="4" t="s">
        <v>1132</v>
      </c>
      <c r="H94" s="4" t="s">
        <v>1011</v>
      </c>
      <c r="I94" s="4"/>
      <c r="J94" s="4" t="s">
        <v>1011</v>
      </c>
      <c r="K94" s="4" t="s">
        <v>92</v>
      </c>
      <c r="L94" s="4" t="s">
        <v>92</v>
      </c>
      <c r="M94" s="4" t="s">
        <v>1021</v>
      </c>
      <c r="N94" s="4" t="s">
        <v>92</v>
      </c>
      <c r="O94" s="4" t="s">
        <v>71</v>
      </c>
      <c r="P94" s="4" t="s">
        <v>71</v>
      </c>
      <c r="Q94" s="4"/>
      <c r="R94" s="4" t="s">
        <v>143</v>
      </c>
      <c r="S94" s="4" t="s">
        <v>71</v>
      </c>
      <c r="T94" s="4" t="s">
        <v>71</v>
      </c>
      <c r="U94" s="4" t="str">
        <f t="shared" si="1"/>
        <v>NO</v>
      </c>
    </row>
    <row r="95" spans="1:21" ht="42" customHeight="1">
      <c r="A95" s="4" t="s">
        <v>1133</v>
      </c>
      <c r="B95" s="4" t="s">
        <v>399</v>
      </c>
      <c r="C95" s="4" t="s">
        <v>371</v>
      </c>
      <c r="D95" s="4" t="s">
        <v>399</v>
      </c>
      <c r="E95" s="4" t="s">
        <v>371</v>
      </c>
      <c r="F95" s="4" t="s">
        <v>1009</v>
      </c>
      <c r="G95" s="4" t="s">
        <v>1044</v>
      </c>
      <c r="H95" s="4" t="s">
        <v>1011</v>
      </c>
      <c r="I95" s="4"/>
      <c r="J95" s="4" t="s">
        <v>1011</v>
      </c>
      <c r="K95" s="4" t="s">
        <v>92</v>
      </c>
      <c r="L95" s="4" t="s">
        <v>69</v>
      </c>
      <c r="M95" s="4" t="s">
        <v>1012</v>
      </c>
      <c r="N95" s="4" t="s">
        <v>92</v>
      </c>
      <c r="O95" s="4" t="s">
        <v>71</v>
      </c>
      <c r="P95" s="4" t="s">
        <v>71</v>
      </c>
      <c r="Q95" s="4"/>
      <c r="R95" s="4" t="s">
        <v>143</v>
      </c>
      <c r="S95" s="4" t="s">
        <v>71</v>
      </c>
      <c r="T95" s="4" t="s">
        <v>71</v>
      </c>
      <c r="U95" s="4" t="str">
        <f t="shared" si="1"/>
        <v>NO</v>
      </c>
    </row>
    <row r="96" spans="1:21" ht="42" customHeight="1">
      <c r="A96" s="4" t="s">
        <v>1134</v>
      </c>
      <c r="B96" s="4" t="s">
        <v>402</v>
      </c>
      <c r="C96" s="4" t="s">
        <v>406</v>
      </c>
      <c r="D96" s="4" t="s">
        <v>402</v>
      </c>
      <c r="E96" s="4" t="s">
        <v>406</v>
      </c>
      <c r="F96" s="4" t="s">
        <v>1009</v>
      </c>
      <c r="G96" s="4" t="s">
        <v>1037</v>
      </c>
      <c r="H96" s="4" t="s">
        <v>1011</v>
      </c>
      <c r="I96" s="4"/>
      <c r="J96" s="4" t="s">
        <v>1011</v>
      </c>
      <c r="K96" s="4" t="s">
        <v>75</v>
      </c>
      <c r="L96" s="4" t="s">
        <v>88</v>
      </c>
      <c r="M96" s="4" t="s">
        <v>1012</v>
      </c>
      <c r="N96" s="4" t="s">
        <v>88</v>
      </c>
      <c r="O96" s="4" t="s">
        <v>71</v>
      </c>
      <c r="P96" s="4" t="s">
        <v>71</v>
      </c>
      <c r="Q96" s="4"/>
      <c r="R96" s="4" t="s">
        <v>143</v>
      </c>
      <c r="S96" s="4" t="s">
        <v>71</v>
      </c>
      <c r="T96" s="4" t="s">
        <v>71</v>
      </c>
      <c r="U96" s="4" t="str">
        <f t="shared" si="1"/>
        <v>NO</v>
      </c>
    </row>
    <row r="97" spans="1:21" ht="42" customHeight="1">
      <c r="A97" s="4" t="s">
        <v>1135</v>
      </c>
      <c r="B97" s="4" t="s">
        <v>402</v>
      </c>
      <c r="C97" s="4" t="s">
        <v>337</v>
      </c>
      <c r="D97" s="4" t="s">
        <v>402</v>
      </c>
      <c r="E97" s="4" t="s">
        <v>337</v>
      </c>
      <c r="F97" s="4" t="s">
        <v>1009</v>
      </c>
      <c r="G97" s="4" t="s">
        <v>1037</v>
      </c>
      <c r="H97" s="4" t="s">
        <v>1011</v>
      </c>
      <c r="I97" s="4"/>
      <c r="J97" s="4" t="s">
        <v>1011</v>
      </c>
      <c r="K97" s="4" t="s">
        <v>75</v>
      </c>
      <c r="L97" s="4" t="s">
        <v>75</v>
      </c>
      <c r="M97" s="4" t="s">
        <v>1021</v>
      </c>
      <c r="N97" s="4" t="s">
        <v>75</v>
      </c>
      <c r="O97" s="4" t="s">
        <v>71</v>
      </c>
      <c r="P97" s="4" t="s">
        <v>71</v>
      </c>
      <c r="Q97" s="4"/>
      <c r="R97" s="4" t="s">
        <v>143</v>
      </c>
      <c r="S97" s="4" t="s">
        <v>71</v>
      </c>
      <c r="T97" s="4" t="s">
        <v>71</v>
      </c>
      <c r="U97" s="4" t="str">
        <f t="shared" si="1"/>
        <v>NO</v>
      </c>
    </row>
    <row r="98" spans="1:21" ht="42" customHeight="1">
      <c r="A98" s="4" t="s">
        <v>1136</v>
      </c>
      <c r="B98" s="4" t="s">
        <v>406</v>
      </c>
      <c r="C98" s="4" t="s">
        <v>416</v>
      </c>
      <c r="D98" s="4" t="s">
        <v>406</v>
      </c>
      <c r="E98" s="4" t="s">
        <v>416</v>
      </c>
      <c r="F98" s="4" t="s">
        <v>1009</v>
      </c>
      <c r="G98" s="4" t="s">
        <v>1014</v>
      </c>
      <c r="H98" s="4" t="s">
        <v>1011</v>
      </c>
      <c r="I98" s="4"/>
      <c r="J98" s="4" t="s">
        <v>1011</v>
      </c>
      <c r="K98" s="4" t="s">
        <v>88</v>
      </c>
      <c r="L98" s="4" t="s">
        <v>92</v>
      </c>
      <c r="M98" s="4" t="s">
        <v>1012</v>
      </c>
      <c r="N98" s="4" t="s">
        <v>92</v>
      </c>
      <c r="O98" s="4" t="s">
        <v>71</v>
      </c>
      <c r="P98" s="4" t="s">
        <v>71</v>
      </c>
      <c r="Q98" s="4"/>
      <c r="R98" s="4" t="s">
        <v>143</v>
      </c>
      <c r="S98" s="4" t="s">
        <v>71</v>
      </c>
      <c r="T98" s="4" t="s">
        <v>71</v>
      </c>
      <c r="U98" s="4" t="str">
        <f t="shared" si="1"/>
        <v>NO</v>
      </c>
    </row>
    <row r="99" spans="1:21" ht="42" customHeight="1">
      <c r="A99" s="4" t="s">
        <v>1137</v>
      </c>
      <c r="B99" s="4" t="s">
        <v>409</v>
      </c>
      <c r="C99" s="4" t="s">
        <v>413</v>
      </c>
      <c r="D99" s="4" t="s">
        <v>409</v>
      </c>
      <c r="E99" s="4" t="s">
        <v>413</v>
      </c>
      <c r="F99" s="4" t="s">
        <v>1009</v>
      </c>
      <c r="G99" s="4" t="s">
        <v>1010</v>
      </c>
      <c r="H99" s="4" t="s">
        <v>1011</v>
      </c>
      <c r="I99" s="4"/>
      <c r="J99" s="4" t="s">
        <v>1011</v>
      </c>
      <c r="K99" s="4" t="s">
        <v>72</v>
      </c>
      <c r="L99" s="4" t="s">
        <v>61</v>
      </c>
      <c r="M99" s="4" t="s">
        <v>1012</v>
      </c>
      <c r="N99" s="4" t="s">
        <v>72</v>
      </c>
      <c r="O99" s="4" t="s">
        <v>71</v>
      </c>
      <c r="P99" s="4" t="s">
        <v>71</v>
      </c>
      <c r="Q99" s="4"/>
      <c r="R99" s="4" t="s">
        <v>143</v>
      </c>
      <c r="S99" s="4" t="s">
        <v>71</v>
      </c>
      <c r="T99" s="4" t="s">
        <v>71</v>
      </c>
      <c r="U99" s="4" t="str">
        <f t="shared" si="1"/>
        <v>NO</v>
      </c>
    </row>
    <row r="100" spans="1:21" ht="42" customHeight="1">
      <c r="A100" s="4" t="s">
        <v>1138</v>
      </c>
      <c r="B100" s="4" t="s">
        <v>409</v>
      </c>
      <c r="C100" s="4" t="s">
        <v>332</v>
      </c>
      <c r="D100" s="4" t="s">
        <v>409</v>
      </c>
      <c r="E100" s="4" t="s">
        <v>332</v>
      </c>
      <c r="F100" s="4" t="s">
        <v>1009</v>
      </c>
      <c r="G100" s="4" t="s">
        <v>1037</v>
      </c>
      <c r="H100" s="4" t="s">
        <v>1011</v>
      </c>
      <c r="I100" s="4"/>
      <c r="J100" s="4" t="s">
        <v>1011</v>
      </c>
      <c r="K100" s="4" t="s">
        <v>72</v>
      </c>
      <c r="L100" s="4" t="s">
        <v>81</v>
      </c>
      <c r="M100" s="4" t="s">
        <v>1012</v>
      </c>
      <c r="N100" s="4" t="s">
        <v>81</v>
      </c>
      <c r="O100" s="4" t="s">
        <v>71</v>
      </c>
      <c r="P100" s="4" t="s">
        <v>71</v>
      </c>
      <c r="Q100" s="4"/>
      <c r="R100" s="4" t="s">
        <v>143</v>
      </c>
      <c r="S100" s="4" t="s">
        <v>71</v>
      </c>
      <c r="T100" s="4" t="s">
        <v>71</v>
      </c>
      <c r="U100" s="4" t="str">
        <f t="shared" si="1"/>
        <v>NO</v>
      </c>
    </row>
    <row r="101" spans="1:21" ht="42" customHeight="1">
      <c r="A101" s="4" t="s">
        <v>1139</v>
      </c>
      <c r="B101" s="4" t="s">
        <v>413</v>
      </c>
      <c r="C101" s="4" t="s">
        <v>393</v>
      </c>
      <c r="D101" s="4" t="s">
        <v>413</v>
      </c>
      <c r="E101" s="4" t="s">
        <v>393</v>
      </c>
      <c r="F101" s="4" t="s">
        <v>1009</v>
      </c>
      <c r="G101" s="4" t="s">
        <v>1039</v>
      </c>
      <c r="H101" s="4" t="s">
        <v>1011</v>
      </c>
      <c r="I101" s="4"/>
      <c r="J101" s="4" t="s">
        <v>1011</v>
      </c>
      <c r="K101" s="4" t="s">
        <v>61</v>
      </c>
      <c r="L101" s="4" t="s">
        <v>61</v>
      </c>
      <c r="M101" s="4" t="s">
        <v>1021</v>
      </c>
      <c r="N101" s="4" t="s">
        <v>61</v>
      </c>
      <c r="O101" s="4" t="s">
        <v>71</v>
      </c>
      <c r="P101" s="4" t="s">
        <v>71</v>
      </c>
      <c r="Q101" s="4"/>
      <c r="R101" s="4" t="s">
        <v>143</v>
      </c>
      <c r="S101" s="4" t="s">
        <v>71</v>
      </c>
      <c r="T101" s="4" t="s">
        <v>71</v>
      </c>
      <c r="U101" s="4" t="str">
        <f t="shared" si="1"/>
        <v>NO</v>
      </c>
    </row>
    <row r="102" spans="1:21" ht="42" customHeight="1">
      <c r="A102" s="4" t="s">
        <v>1140</v>
      </c>
      <c r="B102" s="4" t="s">
        <v>413</v>
      </c>
      <c r="C102" s="4" t="s">
        <v>399</v>
      </c>
      <c r="D102" s="4" t="s">
        <v>413</v>
      </c>
      <c r="E102" s="4" t="s">
        <v>399</v>
      </c>
      <c r="F102" s="4" t="s">
        <v>1009</v>
      </c>
      <c r="G102" s="4" t="s">
        <v>1044</v>
      </c>
      <c r="H102" s="4" t="s">
        <v>1011</v>
      </c>
      <c r="I102" s="4"/>
      <c r="J102" s="4" t="s">
        <v>1011</v>
      </c>
      <c r="K102" s="4" t="s">
        <v>61</v>
      </c>
      <c r="L102" s="4" t="s">
        <v>92</v>
      </c>
      <c r="M102" s="4" t="s">
        <v>1012</v>
      </c>
      <c r="N102" s="4" t="s">
        <v>92</v>
      </c>
      <c r="O102" s="4" t="s">
        <v>71</v>
      </c>
      <c r="P102" s="4" t="s">
        <v>71</v>
      </c>
      <c r="Q102" s="4"/>
      <c r="R102" s="4" t="s">
        <v>143</v>
      </c>
      <c r="S102" s="4" t="s">
        <v>71</v>
      </c>
      <c r="T102" s="4" t="s">
        <v>71</v>
      </c>
      <c r="U102" s="4" t="str">
        <f t="shared" si="1"/>
        <v>NO</v>
      </c>
    </row>
    <row r="103" spans="1:21" ht="42" customHeight="1">
      <c r="A103" s="4" t="s">
        <v>1141</v>
      </c>
      <c r="B103" s="4" t="s">
        <v>416</v>
      </c>
      <c r="C103" s="4" t="s">
        <v>226</v>
      </c>
      <c r="D103" s="4" t="s">
        <v>416</v>
      </c>
      <c r="E103" s="4" t="s">
        <v>226</v>
      </c>
      <c r="F103" s="4" t="s">
        <v>1009</v>
      </c>
      <c r="G103" s="4" t="s">
        <v>1050</v>
      </c>
      <c r="H103" s="4" t="s">
        <v>1011</v>
      </c>
      <c r="I103" s="4"/>
      <c r="J103" s="4" t="s">
        <v>1011</v>
      </c>
      <c r="K103" s="4" t="s">
        <v>92</v>
      </c>
      <c r="L103" s="4" t="s">
        <v>92</v>
      </c>
      <c r="M103" s="4" t="s">
        <v>1021</v>
      </c>
      <c r="N103" s="4" t="s">
        <v>92</v>
      </c>
      <c r="O103" s="4" t="s">
        <v>71</v>
      </c>
      <c r="P103" s="4" t="s">
        <v>71</v>
      </c>
      <c r="Q103" s="4"/>
      <c r="R103" s="4" t="s">
        <v>143</v>
      </c>
      <c r="S103" s="4" t="s">
        <v>71</v>
      </c>
      <c r="T103" s="4" t="s">
        <v>71</v>
      </c>
      <c r="U103" s="4" t="str">
        <f t="shared" si="1"/>
        <v>NO</v>
      </c>
    </row>
    <row r="104" spans="1:21" ht="42" customHeight="1">
      <c r="A104" s="4" t="s">
        <v>1142</v>
      </c>
      <c r="B104" s="4" t="s">
        <v>420</v>
      </c>
      <c r="C104" s="4" t="s">
        <v>210</v>
      </c>
      <c r="D104" s="4" t="s">
        <v>420</v>
      </c>
      <c r="E104" s="4" t="s">
        <v>210</v>
      </c>
      <c r="F104" s="4" t="s">
        <v>1009</v>
      </c>
      <c r="G104" s="4" t="s">
        <v>1020</v>
      </c>
      <c r="H104" s="4" t="s">
        <v>1011</v>
      </c>
      <c r="I104" s="4"/>
      <c r="J104" s="4" t="s">
        <v>1011</v>
      </c>
      <c r="K104" s="4" t="s">
        <v>55</v>
      </c>
      <c r="L104" s="4" t="s">
        <v>48</v>
      </c>
      <c r="M104" s="4" t="s">
        <v>1012</v>
      </c>
      <c r="N104" s="4" t="s">
        <v>55</v>
      </c>
      <c r="O104" s="4" t="s">
        <v>71</v>
      </c>
      <c r="P104" s="4" t="s">
        <v>71</v>
      </c>
      <c r="Q104" s="4"/>
      <c r="R104" s="4" t="s">
        <v>143</v>
      </c>
      <c r="S104" s="4" t="s">
        <v>71</v>
      </c>
      <c r="T104" s="4" t="s">
        <v>71</v>
      </c>
      <c r="U104" s="4" t="str">
        <f t="shared" si="1"/>
        <v>NO</v>
      </c>
    </row>
    <row r="105" spans="1:21" ht="42" customHeight="1">
      <c r="A105" s="4" t="s">
        <v>1143</v>
      </c>
      <c r="B105" s="4" t="s">
        <v>420</v>
      </c>
      <c r="C105" s="4" t="s">
        <v>171</v>
      </c>
      <c r="D105" s="4" t="s">
        <v>420</v>
      </c>
      <c r="E105" s="4" t="s">
        <v>171</v>
      </c>
      <c r="F105" s="4" t="s">
        <v>1009</v>
      </c>
      <c r="G105" s="4" t="s">
        <v>1010</v>
      </c>
      <c r="H105" s="4" t="s">
        <v>1011</v>
      </c>
      <c r="I105" s="4"/>
      <c r="J105" s="4" t="s">
        <v>1011</v>
      </c>
      <c r="K105" s="4" t="s">
        <v>55</v>
      </c>
      <c r="L105" s="4" t="s">
        <v>48</v>
      </c>
      <c r="M105" s="4" t="s">
        <v>1012</v>
      </c>
      <c r="N105" s="4" t="s">
        <v>55</v>
      </c>
      <c r="O105" s="4" t="s">
        <v>71</v>
      </c>
      <c r="P105" s="4" t="s">
        <v>71</v>
      </c>
      <c r="Q105" s="4"/>
      <c r="R105" s="4" t="s">
        <v>143</v>
      </c>
      <c r="S105" s="4" t="s">
        <v>71</v>
      </c>
      <c r="T105" s="4" t="s">
        <v>71</v>
      </c>
      <c r="U105" s="4" t="str">
        <f t="shared" si="1"/>
        <v>NO</v>
      </c>
    </row>
    <row r="106" spans="1:21" ht="42" customHeight="1">
      <c r="A106" s="4" t="s">
        <v>1144</v>
      </c>
      <c r="B106" s="4" t="s">
        <v>420</v>
      </c>
      <c r="C106" s="4" t="s">
        <v>416</v>
      </c>
      <c r="D106" s="4" t="s">
        <v>420</v>
      </c>
      <c r="E106" s="4" t="s">
        <v>416</v>
      </c>
      <c r="F106" s="4" t="s">
        <v>1009</v>
      </c>
      <c r="G106" s="4" t="s">
        <v>1050</v>
      </c>
      <c r="H106" s="4" t="s">
        <v>1011</v>
      </c>
      <c r="I106" s="4"/>
      <c r="J106" s="4" t="s">
        <v>1011</v>
      </c>
      <c r="K106" s="4" t="s">
        <v>55</v>
      </c>
      <c r="L106" s="4" t="s">
        <v>92</v>
      </c>
      <c r="M106" s="4" t="s">
        <v>1012</v>
      </c>
      <c r="N106" s="4" t="s">
        <v>92</v>
      </c>
      <c r="O106" s="4" t="s">
        <v>71</v>
      </c>
      <c r="P106" s="4" t="s">
        <v>71</v>
      </c>
      <c r="Q106" s="4"/>
      <c r="R106" s="4" t="s">
        <v>143</v>
      </c>
      <c r="S106" s="4" t="s">
        <v>71</v>
      </c>
      <c r="T106" s="4" t="s">
        <v>71</v>
      </c>
      <c r="U106" s="4" t="str">
        <f t="shared" si="1"/>
        <v>NO</v>
      </c>
    </row>
    <row r="107" spans="1:21" ht="42" customHeight="1">
      <c r="A107" s="4" t="s">
        <v>1145</v>
      </c>
      <c r="B107" s="4" t="s">
        <v>424</v>
      </c>
      <c r="C107" s="4" t="s">
        <v>427</v>
      </c>
      <c r="D107" s="4" t="s">
        <v>424</v>
      </c>
      <c r="E107" s="4" t="s">
        <v>427</v>
      </c>
      <c r="F107" s="4" t="s">
        <v>1009</v>
      </c>
      <c r="G107" s="4" t="s">
        <v>1146</v>
      </c>
      <c r="H107" s="4" t="s">
        <v>1018</v>
      </c>
      <c r="I107" s="4"/>
      <c r="J107" s="4" t="s">
        <v>1018</v>
      </c>
      <c r="K107" s="4" t="s">
        <v>72</v>
      </c>
      <c r="L107" s="4" t="s">
        <v>72</v>
      </c>
      <c r="M107" s="4" t="s">
        <v>1021</v>
      </c>
      <c r="N107" s="4" t="s">
        <v>72</v>
      </c>
      <c r="O107" s="4" t="s">
        <v>71</v>
      </c>
      <c r="P107" s="4" t="s">
        <v>71</v>
      </c>
      <c r="Q107" s="4"/>
      <c r="R107" s="4" t="s">
        <v>143</v>
      </c>
      <c r="S107" s="4" t="s">
        <v>71</v>
      </c>
      <c r="T107" s="4" t="s">
        <v>71</v>
      </c>
      <c r="U107" s="4" t="str">
        <f t="shared" si="1"/>
        <v>NO</v>
      </c>
    </row>
    <row r="108" spans="1:21" ht="42" customHeight="1">
      <c r="A108" s="4" t="s">
        <v>1147</v>
      </c>
      <c r="B108" s="4" t="s">
        <v>424</v>
      </c>
      <c r="C108" s="4" t="s">
        <v>317</v>
      </c>
      <c r="D108" s="4" t="s">
        <v>424</v>
      </c>
      <c r="E108" s="4" t="s">
        <v>317</v>
      </c>
      <c r="F108" s="4" t="s">
        <v>1009</v>
      </c>
      <c r="G108" s="4" t="s">
        <v>1148</v>
      </c>
      <c r="H108" s="4" t="s">
        <v>1011</v>
      </c>
      <c r="I108" s="4"/>
      <c r="J108" s="4" t="s">
        <v>1011</v>
      </c>
      <c r="K108" s="4" t="s">
        <v>72</v>
      </c>
      <c r="L108" s="4" t="s">
        <v>81</v>
      </c>
      <c r="M108" s="4" t="s">
        <v>1012</v>
      </c>
      <c r="N108" s="4" t="s">
        <v>81</v>
      </c>
      <c r="O108" s="4" t="s">
        <v>71</v>
      </c>
      <c r="P108" s="4" t="s">
        <v>71</v>
      </c>
      <c r="Q108" s="4"/>
      <c r="R108" s="4" t="s">
        <v>143</v>
      </c>
      <c r="S108" s="4" t="s">
        <v>71</v>
      </c>
      <c r="T108" s="4" t="s">
        <v>71</v>
      </c>
      <c r="U108" s="4" t="str">
        <f t="shared" si="1"/>
        <v>NO</v>
      </c>
    </row>
    <row r="109" spans="1:21" ht="42" customHeight="1">
      <c r="A109" s="4" t="s">
        <v>1149</v>
      </c>
      <c r="B109" s="4" t="s">
        <v>427</v>
      </c>
      <c r="C109" s="4" t="s">
        <v>236</v>
      </c>
      <c r="D109" s="4" t="s">
        <v>427</v>
      </c>
      <c r="E109" s="4" t="s">
        <v>236</v>
      </c>
      <c r="F109" s="4" t="s">
        <v>1009</v>
      </c>
      <c r="G109" s="4" t="s">
        <v>1150</v>
      </c>
      <c r="H109" s="4" t="s">
        <v>1011</v>
      </c>
      <c r="I109" s="4"/>
      <c r="J109" s="4" t="s">
        <v>1011</v>
      </c>
      <c r="K109" s="4" t="s">
        <v>72</v>
      </c>
      <c r="L109" s="4" t="s">
        <v>81</v>
      </c>
      <c r="M109" s="4" t="s">
        <v>1012</v>
      </c>
      <c r="N109" s="4" t="s">
        <v>81</v>
      </c>
      <c r="O109" s="4" t="s">
        <v>71</v>
      </c>
      <c r="P109" s="4" t="s">
        <v>71</v>
      </c>
      <c r="Q109" s="4"/>
      <c r="R109" s="4" t="s">
        <v>143</v>
      </c>
      <c r="S109" s="4" t="s">
        <v>71</v>
      </c>
      <c r="T109" s="4" t="s">
        <v>71</v>
      </c>
      <c r="U109" s="4" t="str">
        <f t="shared" si="1"/>
        <v>NO</v>
      </c>
    </row>
    <row r="110" spans="1:21" ht="42" customHeight="1">
      <c r="A110" s="4" t="s">
        <v>1151</v>
      </c>
      <c r="B110" s="4" t="s">
        <v>427</v>
      </c>
      <c r="C110" s="4" t="s">
        <v>409</v>
      </c>
      <c r="D110" s="4" t="s">
        <v>427</v>
      </c>
      <c r="E110" s="4" t="s">
        <v>409</v>
      </c>
      <c r="F110" s="4" t="s">
        <v>1009</v>
      </c>
      <c r="G110" s="4" t="s">
        <v>1152</v>
      </c>
      <c r="H110" s="4" t="s">
        <v>1011</v>
      </c>
      <c r="I110" s="4"/>
      <c r="J110" s="4" t="s">
        <v>1011</v>
      </c>
      <c r="K110" s="4" t="s">
        <v>72</v>
      </c>
      <c r="L110" s="4" t="s">
        <v>72</v>
      </c>
      <c r="M110" s="4" t="s">
        <v>1021</v>
      </c>
      <c r="N110" s="4" t="s">
        <v>72</v>
      </c>
      <c r="O110" s="4" t="s">
        <v>71</v>
      </c>
      <c r="P110" s="4" t="s">
        <v>71</v>
      </c>
      <c r="Q110" s="4"/>
      <c r="R110" s="4" t="s">
        <v>143</v>
      </c>
      <c r="S110" s="4" t="s">
        <v>71</v>
      </c>
      <c r="T110" s="4" t="s">
        <v>71</v>
      </c>
      <c r="U110" s="4" t="str">
        <f t="shared" si="1"/>
        <v>NO</v>
      </c>
    </row>
    <row r="111" spans="1:21" ht="42" customHeight="1">
      <c r="A111" s="4" t="s">
        <v>1153</v>
      </c>
      <c r="B111" s="4" t="s">
        <v>430</v>
      </c>
      <c r="C111" s="4" t="s">
        <v>384</v>
      </c>
      <c r="D111" s="4" t="s">
        <v>430</v>
      </c>
      <c r="E111" s="4" t="s">
        <v>384</v>
      </c>
      <c r="F111" s="4" t="s">
        <v>1009</v>
      </c>
      <c r="G111" s="4" t="s">
        <v>1154</v>
      </c>
      <c r="H111" s="4" t="s">
        <v>1011</v>
      </c>
      <c r="I111" s="4"/>
      <c r="J111" s="4" t="s">
        <v>1011</v>
      </c>
      <c r="K111" s="4" t="s">
        <v>83</v>
      </c>
      <c r="L111" s="4" t="s">
        <v>58</v>
      </c>
      <c r="M111" s="4" t="s">
        <v>1012</v>
      </c>
      <c r="N111" s="4" t="s">
        <v>83</v>
      </c>
      <c r="O111" s="4" t="s">
        <v>71</v>
      </c>
      <c r="P111" s="4" t="s">
        <v>71</v>
      </c>
      <c r="Q111" s="4"/>
      <c r="R111" s="4" t="s">
        <v>143</v>
      </c>
      <c r="S111" s="4" t="s">
        <v>71</v>
      </c>
      <c r="T111" s="4" t="s">
        <v>71</v>
      </c>
      <c r="U111" s="4" t="str">
        <f t="shared" si="1"/>
        <v>NO</v>
      </c>
    </row>
    <row r="112" spans="1:21" ht="42" customHeight="1">
      <c r="A112" s="4" t="s">
        <v>1155</v>
      </c>
      <c r="B112" s="4" t="s">
        <v>430</v>
      </c>
      <c r="C112" s="4" t="s">
        <v>399</v>
      </c>
      <c r="D112" s="4" t="s">
        <v>430</v>
      </c>
      <c r="E112" s="4" t="s">
        <v>399</v>
      </c>
      <c r="F112" s="4" t="s">
        <v>1009</v>
      </c>
      <c r="G112" s="4" t="s">
        <v>1156</v>
      </c>
      <c r="H112" s="4" t="s">
        <v>1011</v>
      </c>
      <c r="I112" s="4"/>
      <c r="J112" s="4" t="s">
        <v>1011</v>
      </c>
      <c r="K112" s="4" t="s">
        <v>83</v>
      </c>
      <c r="L112" s="4" t="s">
        <v>92</v>
      </c>
      <c r="M112" s="4" t="s">
        <v>1012</v>
      </c>
      <c r="N112" s="4" t="s">
        <v>92</v>
      </c>
      <c r="O112" s="4" t="s">
        <v>71</v>
      </c>
      <c r="P112" s="4" t="s">
        <v>71</v>
      </c>
      <c r="Q112" s="4"/>
      <c r="R112" s="4" t="s">
        <v>143</v>
      </c>
      <c r="S112" s="4" t="s">
        <v>71</v>
      </c>
      <c r="T112" s="4" t="s">
        <v>71</v>
      </c>
      <c r="U112" s="4" t="str">
        <f t="shared" si="1"/>
        <v>NO</v>
      </c>
    </row>
    <row r="113" spans="1:21" ht="42" customHeight="1">
      <c r="A113" s="4" t="s">
        <v>1157</v>
      </c>
      <c r="B113" s="4" t="s">
        <v>430</v>
      </c>
      <c r="C113" s="4" t="s">
        <v>374</v>
      </c>
      <c r="D113" s="4" t="s">
        <v>430</v>
      </c>
      <c r="E113" s="4" t="s">
        <v>374</v>
      </c>
      <c r="F113" s="4" t="s">
        <v>1016</v>
      </c>
      <c r="G113" s="4" t="s">
        <v>1158</v>
      </c>
      <c r="H113" s="4" t="s">
        <v>1018</v>
      </c>
      <c r="I113" s="4"/>
      <c r="J113" s="4" t="s">
        <v>1018</v>
      </c>
      <c r="K113" s="4" t="s">
        <v>83</v>
      </c>
      <c r="L113" s="4" t="s">
        <v>72</v>
      </c>
      <c r="M113" s="4" t="s">
        <v>1012</v>
      </c>
      <c r="N113" s="4" t="s">
        <v>83</v>
      </c>
      <c r="O113" s="4" t="s">
        <v>71</v>
      </c>
      <c r="P113" s="4" t="s">
        <v>71</v>
      </c>
      <c r="Q113" s="4"/>
      <c r="R113" s="4" t="s">
        <v>143</v>
      </c>
      <c r="S113" s="4" t="s">
        <v>71</v>
      </c>
      <c r="T113" s="4" t="s">
        <v>71</v>
      </c>
      <c r="U113" s="4" t="str">
        <f t="shared" si="1"/>
        <v>NO</v>
      </c>
    </row>
    <row r="114" spans="1:21" ht="42" customHeight="1">
      <c r="A114" s="4" t="s">
        <v>1159</v>
      </c>
      <c r="B114" s="4" t="s">
        <v>433</v>
      </c>
      <c r="C114" s="4" t="s">
        <v>245</v>
      </c>
      <c r="D114" s="4" t="s">
        <v>433</v>
      </c>
      <c r="E114" s="4" t="s">
        <v>245</v>
      </c>
      <c r="F114" s="4" t="s">
        <v>1009</v>
      </c>
      <c r="G114" s="4" t="s">
        <v>1160</v>
      </c>
      <c r="H114" s="4" t="s">
        <v>1011</v>
      </c>
      <c r="I114" s="4"/>
      <c r="J114" s="4" t="s">
        <v>1011</v>
      </c>
      <c r="K114" s="4" t="s">
        <v>72</v>
      </c>
      <c r="L114" s="4" t="s">
        <v>86</v>
      </c>
      <c r="M114" s="4" t="s">
        <v>1012</v>
      </c>
      <c r="N114" s="4" t="s">
        <v>86</v>
      </c>
      <c r="O114" s="4" t="s">
        <v>71</v>
      </c>
      <c r="P114" s="4" t="s">
        <v>71</v>
      </c>
      <c r="Q114" s="4"/>
      <c r="R114" s="4" t="s">
        <v>143</v>
      </c>
      <c r="S114" s="4" t="s">
        <v>71</v>
      </c>
      <c r="T114" s="4" t="s">
        <v>71</v>
      </c>
      <c r="U114" s="4" t="str">
        <f t="shared" si="1"/>
        <v>NO</v>
      </c>
    </row>
    <row r="115" spans="1:21" ht="42" customHeight="1">
      <c r="A115" s="4" t="s">
        <v>1161</v>
      </c>
      <c r="B115" s="4" t="s">
        <v>433</v>
      </c>
      <c r="C115" s="4" t="s">
        <v>384</v>
      </c>
      <c r="D115" s="4" t="s">
        <v>433</v>
      </c>
      <c r="E115" s="4" t="s">
        <v>384</v>
      </c>
      <c r="F115" s="4" t="s">
        <v>1009</v>
      </c>
      <c r="G115" s="4" t="s">
        <v>1162</v>
      </c>
      <c r="H115" s="4" t="s">
        <v>1011</v>
      </c>
      <c r="I115" s="4"/>
      <c r="J115" s="4" t="s">
        <v>1011</v>
      </c>
      <c r="K115" s="4" t="s">
        <v>72</v>
      </c>
      <c r="L115" s="4" t="s">
        <v>58</v>
      </c>
      <c r="M115" s="4" t="s">
        <v>1012</v>
      </c>
      <c r="N115" s="4" t="s">
        <v>72</v>
      </c>
      <c r="O115" s="4" t="s">
        <v>71</v>
      </c>
      <c r="P115" s="4" t="s">
        <v>71</v>
      </c>
      <c r="Q115" s="4"/>
      <c r="R115" s="4" t="s">
        <v>143</v>
      </c>
      <c r="S115" s="4" t="s">
        <v>71</v>
      </c>
      <c r="T115" s="4" t="s">
        <v>71</v>
      </c>
      <c r="U115" s="4" t="str">
        <f t="shared" si="1"/>
        <v>NO</v>
      </c>
    </row>
    <row r="116" spans="1:21" ht="42" customHeight="1">
      <c r="A116" s="4" t="s">
        <v>1163</v>
      </c>
      <c r="B116" s="4" t="s">
        <v>433</v>
      </c>
      <c r="C116" s="4" t="s">
        <v>374</v>
      </c>
      <c r="D116" s="4" t="s">
        <v>433</v>
      </c>
      <c r="E116" s="4" t="s">
        <v>374</v>
      </c>
      <c r="F116" s="4" t="s">
        <v>1009</v>
      </c>
      <c r="G116" s="4" t="s">
        <v>1164</v>
      </c>
      <c r="H116" s="4" t="s">
        <v>1011</v>
      </c>
      <c r="I116" s="4"/>
      <c r="J116" s="4" t="s">
        <v>1011</v>
      </c>
      <c r="K116" s="4" t="s">
        <v>72</v>
      </c>
      <c r="L116" s="4" t="s">
        <v>72</v>
      </c>
      <c r="M116" s="4" t="s">
        <v>1021</v>
      </c>
      <c r="N116" s="4" t="s">
        <v>72</v>
      </c>
      <c r="O116" s="4" t="s">
        <v>71</v>
      </c>
      <c r="P116" s="4" t="s">
        <v>71</v>
      </c>
      <c r="Q116" s="4"/>
      <c r="R116" s="4" t="s">
        <v>143</v>
      </c>
      <c r="S116" s="4" t="s">
        <v>71</v>
      </c>
      <c r="T116" s="4" t="s">
        <v>71</v>
      </c>
      <c r="U116" s="4" t="str">
        <f t="shared" si="1"/>
        <v>NO</v>
      </c>
    </row>
    <row r="117" spans="1:21" ht="42" customHeight="1">
      <c r="A117" s="4" t="s">
        <v>1165</v>
      </c>
      <c r="B117" s="4" t="s">
        <v>384</v>
      </c>
      <c r="C117" s="4" t="s">
        <v>380</v>
      </c>
      <c r="D117" s="4" t="s">
        <v>384</v>
      </c>
      <c r="E117" s="4" t="s">
        <v>380</v>
      </c>
      <c r="F117" s="4" t="s">
        <v>1009</v>
      </c>
      <c r="G117" s="4" t="s">
        <v>1166</v>
      </c>
      <c r="H117" s="4" t="s">
        <v>1011</v>
      </c>
      <c r="I117" s="4"/>
      <c r="J117" s="4" t="s">
        <v>1011</v>
      </c>
      <c r="K117" s="4" t="s">
        <v>58</v>
      </c>
      <c r="L117" s="4" t="s">
        <v>58</v>
      </c>
      <c r="M117" s="4" t="s">
        <v>1021</v>
      </c>
      <c r="N117" s="4" t="s">
        <v>58</v>
      </c>
      <c r="O117" s="4" t="s">
        <v>71</v>
      </c>
      <c r="P117" s="4" t="s">
        <v>71</v>
      </c>
      <c r="Q117" s="4"/>
      <c r="R117" s="4" t="s">
        <v>143</v>
      </c>
      <c r="S117" s="4" t="s">
        <v>71</v>
      </c>
      <c r="T117" s="4" t="s">
        <v>71</v>
      </c>
      <c r="U117" s="4" t="str">
        <f t="shared" si="1"/>
        <v>NO</v>
      </c>
    </row>
    <row r="118" spans="1:21" ht="42" customHeight="1">
      <c r="A118" s="4" t="s">
        <v>1167</v>
      </c>
      <c r="B118" s="4" t="s">
        <v>436</v>
      </c>
      <c r="C118" s="4" t="s">
        <v>332</v>
      </c>
      <c r="D118" s="4" t="s">
        <v>436</v>
      </c>
      <c r="E118" s="4" t="s">
        <v>332</v>
      </c>
      <c r="F118" s="4" t="s">
        <v>1009</v>
      </c>
      <c r="G118" s="4" t="s">
        <v>1168</v>
      </c>
      <c r="H118" s="4" t="s">
        <v>1011</v>
      </c>
      <c r="I118" s="4"/>
      <c r="J118" s="4" t="s">
        <v>1011</v>
      </c>
      <c r="K118" s="4" t="s">
        <v>81</v>
      </c>
      <c r="L118" s="4" t="s">
        <v>81</v>
      </c>
      <c r="M118" s="4" t="s">
        <v>1021</v>
      </c>
      <c r="N118" s="4" t="s">
        <v>81</v>
      </c>
      <c r="O118" s="4" t="s">
        <v>71</v>
      </c>
      <c r="P118" s="4" t="s">
        <v>71</v>
      </c>
      <c r="Q118" s="4"/>
      <c r="R118" s="4" t="s">
        <v>143</v>
      </c>
      <c r="S118" s="4" t="s">
        <v>71</v>
      </c>
      <c r="T118" s="4" t="s">
        <v>71</v>
      </c>
      <c r="U118" s="4" t="str">
        <f t="shared" si="1"/>
        <v>NO</v>
      </c>
    </row>
    <row r="119" spans="1:21" ht="42" customHeight="1">
      <c r="A119" s="4" t="s">
        <v>1169</v>
      </c>
      <c r="B119" s="4" t="s">
        <v>436</v>
      </c>
      <c r="C119" s="4" t="s">
        <v>167</v>
      </c>
      <c r="D119" s="4" t="s">
        <v>436</v>
      </c>
      <c r="E119" s="4" t="s">
        <v>167</v>
      </c>
      <c r="F119" s="4" t="s">
        <v>1009</v>
      </c>
      <c r="G119" s="4" t="s">
        <v>1170</v>
      </c>
      <c r="H119" s="4" t="s">
        <v>1011</v>
      </c>
      <c r="I119" s="4"/>
      <c r="J119" s="4" t="s">
        <v>1011</v>
      </c>
      <c r="K119" s="4" t="s">
        <v>81</v>
      </c>
      <c r="L119" s="4" t="s">
        <v>72</v>
      </c>
      <c r="M119" s="4" t="s">
        <v>1012</v>
      </c>
      <c r="N119" s="4" t="s">
        <v>81</v>
      </c>
      <c r="O119" s="4" t="s">
        <v>71</v>
      </c>
      <c r="P119" s="4" t="s">
        <v>71</v>
      </c>
      <c r="Q119" s="4"/>
      <c r="R119" s="4" t="s">
        <v>143</v>
      </c>
      <c r="S119" s="4" t="s">
        <v>71</v>
      </c>
      <c r="T119" s="4" t="s">
        <v>71</v>
      </c>
      <c r="U119" s="4" t="str">
        <f t="shared" si="1"/>
        <v>NO</v>
      </c>
    </row>
    <row r="120" spans="1:21" ht="42" customHeight="1">
      <c r="A120" s="4" t="s">
        <v>1171</v>
      </c>
      <c r="B120" s="4" t="s">
        <v>436</v>
      </c>
      <c r="C120" s="4" t="s">
        <v>245</v>
      </c>
      <c r="D120" s="4" t="s">
        <v>436</v>
      </c>
      <c r="E120" s="4" t="s">
        <v>245</v>
      </c>
      <c r="F120" s="4" t="s">
        <v>1009</v>
      </c>
      <c r="G120" s="4" t="s">
        <v>1172</v>
      </c>
      <c r="H120" s="4" t="s">
        <v>1018</v>
      </c>
      <c r="I120" s="4"/>
      <c r="J120" s="4" t="s">
        <v>1018</v>
      </c>
      <c r="K120" s="4" t="s">
        <v>81</v>
      </c>
      <c r="L120" s="4" t="s">
        <v>86</v>
      </c>
      <c r="M120" s="4" t="s">
        <v>1012</v>
      </c>
      <c r="N120" s="4" t="s">
        <v>86</v>
      </c>
      <c r="O120" s="4" t="s">
        <v>71</v>
      </c>
      <c r="P120" s="4" t="s">
        <v>71</v>
      </c>
      <c r="Q120" s="4"/>
      <c r="R120" s="4" t="s">
        <v>143</v>
      </c>
      <c r="S120" s="4" t="s">
        <v>71</v>
      </c>
      <c r="T120" s="4" t="s">
        <v>71</v>
      </c>
      <c r="U120" s="4" t="str">
        <f t="shared" si="1"/>
        <v>NO</v>
      </c>
    </row>
    <row r="121" spans="1:21" ht="42" customHeight="1">
      <c r="A121" s="4" t="s">
        <v>1173</v>
      </c>
      <c r="B121" s="4" t="s">
        <v>440</v>
      </c>
      <c r="C121" s="4" t="s">
        <v>252</v>
      </c>
      <c r="D121" s="4" t="s">
        <v>440</v>
      </c>
      <c r="E121" s="4" t="s">
        <v>252</v>
      </c>
      <c r="F121" s="4" t="s">
        <v>1009</v>
      </c>
      <c r="G121" s="4" t="s">
        <v>1174</v>
      </c>
      <c r="H121" s="4" t="s">
        <v>1018</v>
      </c>
      <c r="I121" s="4"/>
      <c r="J121" s="4" t="s">
        <v>1018</v>
      </c>
      <c r="K121" s="4" t="s">
        <v>83</v>
      </c>
      <c r="L121" s="4" t="s">
        <v>83</v>
      </c>
      <c r="M121" s="4" t="s">
        <v>1021</v>
      </c>
      <c r="N121" s="4" t="s">
        <v>83</v>
      </c>
      <c r="O121" s="4" t="s">
        <v>71</v>
      </c>
      <c r="P121" s="4" t="s">
        <v>71</v>
      </c>
      <c r="Q121" s="4"/>
      <c r="R121" s="4" t="s">
        <v>143</v>
      </c>
      <c r="S121" s="4" t="s">
        <v>71</v>
      </c>
      <c r="T121" s="4" t="s">
        <v>71</v>
      </c>
      <c r="U121" s="4" t="str">
        <f t="shared" si="1"/>
        <v>NO</v>
      </c>
    </row>
    <row r="122" spans="1:21" ht="42" customHeight="1">
      <c r="A122" s="4" t="s">
        <v>1175</v>
      </c>
      <c r="B122" s="4" t="s">
        <v>440</v>
      </c>
      <c r="C122" s="4" t="s">
        <v>261</v>
      </c>
      <c r="D122" s="4" t="s">
        <v>440</v>
      </c>
      <c r="E122" s="4" t="s">
        <v>261</v>
      </c>
      <c r="F122" s="4" t="s">
        <v>1009</v>
      </c>
      <c r="G122" s="4" t="s">
        <v>1176</v>
      </c>
      <c r="H122" s="4" t="s">
        <v>1018</v>
      </c>
      <c r="I122" s="4"/>
      <c r="J122" s="4" t="s">
        <v>1018</v>
      </c>
      <c r="K122" s="4" t="s">
        <v>83</v>
      </c>
      <c r="L122" s="4" t="s">
        <v>77</v>
      </c>
      <c r="M122" s="4" t="s">
        <v>1012</v>
      </c>
      <c r="N122" s="4" t="s">
        <v>83</v>
      </c>
      <c r="O122" s="4" t="s">
        <v>71</v>
      </c>
      <c r="P122" s="4" t="s">
        <v>71</v>
      </c>
      <c r="Q122" s="4"/>
      <c r="R122" s="4" t="s">
        <v>143</v>
      </c>
      <c r="S122" s="4" t="s">
        <v>71</v>
      </c>
      <c r="T122" s="4" t="s">
        <v>71</v>
      </c>
      <c r="U122" s="4" t="str">
        <f t="shared" si="1"/>
        <v>NO</v>
      </c>
    </row>
    <row r="123" spans="1:21" ht="42" customHeight="1">
      <c r="A123" s="4" t="s">
        <v>1177</v>
      </c>
      <c r="B123" s="4" t="s">
        <v>440</v>
      </c>
      <c r="C123" s="4" t="s">
        <v>433</v>
      </c>
      <c r="D123" s="4" t="s">
        <v>440</v>
      </c>
      <c r="E123" s="4" t="s">
        <v>433</v>
      </c>
      <c r="F123" s="4" t="s">
        <v>1009</v>
      </c>
      <c r="G123" s="4" t="s">
        <v>1178</v>
      </c>
      <c r="H123" s="4" t="s">
        <v>1018</v>
      </c>
      <c r="I123" s="4"/>
      <c r="J123" s="4" t="s">
        <v>1018</v>
      </c>
      <c r="K123" s="4" t="s">
        <v>83</v>
      </c>
      <c r="L123" s="4" t="s">
        <v>72</v>
      </c>
      <c r="M123" s="4" t="s">
        <v>1012</v>
      </c>
      <c r="N123" s="4" t="s">
        <v>83</v>
      </c>
      <c r="O123" s="4" t="s">
        <v>71</v>
      </c>
      <c r="P123" s="4" t="s">
        <v>71</v>
      </c>
      <c r="Q123" s="4"/>
      <c r="R123" s="4" t="s">
        <v>143</v>
      </c>
      <c r="S123" s="4" t="s">
        <v>71</v>
      </c>
      <c r="T123" s="4" t="s">
        <v>71</v>
      </c>
      <c r="U123" s="4" t="str">
        <f t="shared" si="1"/>
        <v>NO</v>
      </c>
    </row>
    <row r="124" spans="1:21" ht="42" customHeight="1">
      <c r="A124" s="4" t="s">
        <v>1179</v>
      </c>
      <c r="B124" s="4" t="s">
        <v>442</v>
      </c>
      <c r="C124" s="4" t="s">
        <v>433</v>
      </c>
      <c r="D124" s="4" t="s">
        <v>442</v>
      </c>
      <c r="E124" s="4" t="s">
        <v>433</v>
      </c>
      <c r="F124" s="4" t="s">
        <v>1009</v>
      </c>
      <c r="G124" s="4" t="s">
        <v>1180</v>
      </c>
      <c r="H124" s="4" t="s">
        <v>1018</v>
      </c>
      <c r="I124" s="4"/>
      <c r="J124" s="4" t="s">
        <v>1018</v>
      </c>
      <c r="K124" s="4" t="s">
        <v>72</v>
      </c>
      <c r="L124" s="4" t="s">
        <v>72</v>
      </c>
      <c r="M124" s="4" t="s">
        <v>1021</v>
      </c>
      <c r="N124" s="4" t="s">
        <v>72</v>
      </c>
      <c r="O124" s="4" t="s">
        <v>71</v>
      </c>
      <c r="P124" s="4" t="s">
        <v>71</v>
      </c>
      <c r="Q124" s="4"/>
      <c r="R124" s="4" t="s">
        <v>143</v>
      </c>
      <c r="S124" s="4" t="s">
        <v>71</v>
      </c>
      <c r="T124" s="4" t="s">
        <v>71</v>
      </c>
      <c r="U124" s="4" t="str">
        <f t="shared" si="1"/>
        <v>NO</v>
      </c>
    </row>
    <row r="125" spans="1:21" ht="42" customHeight="1">
      <c r="A125" s="4" t="s">
        <v>1181</v>
      </c>
      <c r="B125" s="4" t="s">
        <v>442</v>
      </c>
      <c r="C125" s="4" t="s">
        <v>430</v>
      </c>
      <c r="D125" s="4" t="s">
        <v>442</v>
      </c>
      <c r="E125" s="4" t="s">
        <v>430</v>
      </c>
      <c r="F125" s="4" t="s">
        <v>1009</v>
      </c>
      <c r="G125" s="4" t="s">
        <v>1182</v>
      </c>
      <c r="H125" s="4" t="s">
        <v>1018</v>
      </c>
      <c r="I125" s="4"/>
      <c r="J125" s="4" t="s">
        <v>1018</v>
      </c>
      <c r="K125" s="4" t="s">
        <v>72</v>
      </c>
      <c r="L125" s="4" t="s">
        <v>83</v>
      </c>
      <c r="M125" s="4" t="s">
        <v>1012</v>
      </c>
      <c r="N125" s="4" t="s">
        <v>83</v>
      </c>
      <c r="O125" s="4" t="s">
        <v>71</v>
      </c>
      <c r="P125" s="4" t="s">
        <v>71</v>
      </c>
      <c r="Q125" s="4"/>
      <c r="R125" s="4" t="s">
        <v>143</v>
      </c>
      <c r="S125" s="4" t="s">
        <v>71</v>
      </c>
      <c r="T125" s="4" t="s">
        <v>71</v>
      </c>
      <c r="U125" s="4" t="str">
        <f t="shared" si="1"/>
        <v>NO</v>
      </c>
    </row>
    <row r="126" spans="1:21" ht="42" customHeight="1">
      <c r="A126" s="4" t="s">
        <v>1183</v>
      </c>
      <c r="B126" s="4" t="s">
        <v>442</v>
      </c>
      <c r="C126" s="4" t="s">
        <v>245</v>
      </c>
      <c r="D126" s="4" t="s">
        <v>442</v>
      </c>
      <c r="E126" s="4" t="s">
        <v>245</v>
      </c>
      <c r="F126" s="4" t="s">
        <v>1009</v>
      </c>
      <c r="G126" s="4" t="s">
        <v>1184</v>
      </c>
      <c r="H126" s="4" t="s">
        <v>1018</v>
      </c>
      <c r="I126" s="4"/>
      <c r="J126" s="4" t="s">
        <v>1018</v>
      </c>
      <c r="K126" s="4" t="s">
        <v>72</v>
      </c>
      <c r="L126" s="4" t="s">
        <v>86</v>
      </c>
      <c r="M126" s="4" t="s">
        <v>1012</v>
      </c>
      <c r="N126" s="4" t="s">
        <v>86</v>
      </c>
      <c r="O126" s="4" t="s">
        <v>71</v>
      </c>
      <c r="P126" s="4" t="s">
        <v>71</v>
      </c>
      <c r="Q126" s="4"/>
      <c r="R126" s="4" t="s">
        <v>143</v>
      </c>
      <c r="S126" s="4" t="s">
        <v>71</v>
      </c>
      <c r="T126" s="4" t="s">
        <v>71</v>
      </c>
      <c r="U126" s="4" t="str">
        <f t="shared" si="1"/>
        <v>NO</v>
      </c>
    </row>
    <row r="127" spans="1:21" ht="42" customHeight="1">
      <c r="A127" s="4" t="s">
        <v>1185</v>
      </c>
      <c r="B127" s="4" t="s">
        <v>442</v>
      </c>
      <c r="C127" s="4" t="s">
        <v>399</v>
      </c>
      <c r="D127" s="4" t="s">
        <v>442</v>
      </c>
      <c r="E127" s="4" t="s">
        <v>399</v>
      </c>
      <c r="F127" s="4" t="s">
        <v>1009</v>
      </c>
      <c r="G127" s="4" t="s">
        <v>1186</v>
      </c>
      <c r="H127" s="4" t="s">
        <v>1018</v>
      </c>
      <c r="I127" s="4"/>
      <c r="J127" s="4" t="s">
        <v>1018</v>
      </c>
      <c r="K127" s="4" t="s">
        <v>72</v>
      </c>
      <c r="L127" s="4" t="s">
        <v>92</v>
      </c>
      <c r="M127" s="4" t="s">
        <v>1012</v>
      </c>
      <c r="N127" s="4" t="s">
        <v>92</v>
      </c>
      <c r="O127" s="4" t="s">
        <v>71</v>
      </c>
      <c r="P127" s="4" t="s">
        <v>71</v>
      </c>
      <c r="Q127" s="4"/>
      <c r="R127" s="4" t="s">
        <v>143</v>
      </c>
      <c r="S127" s="4" t="s">
        <v>71</v>
      </c>
      <c r="T127" s="4" t="s">
        <v>71</v>
      </c>
      <c r="U127" s="4" t="str">
        <f t="shared" si="1"/>
        <v>NO</v>
      </c>
    </row>
    <row r="128" spans="1:21" ht="42" customHeight="1">
      <c r="A128" s="4" t="s">
        <v>1187</v>
      </c>
      <c r="B128" s="4" t="s">
        <v>448</v>
      </c>
      <c r="C128" s="4" t="s">
        <v>427</v>
      </c>
      <c r="D128" s="4" t="s">
        <v>448</v>
      </c>
      <c r="E128" s="4" t="s">
        <v>427</v>
      </c>
      <c r="F128" s="4" t="s">
        <v>1009</v>
      </c>
      <c r="G128" s="4" t="s">
        <v>1188</v>
      </c>
      <c r="H128" s="4" t="s">
        <v>1018</v>
      </c>
      <c r="I128" s="4"/>
      <c r="J128" s="4" t="s">
        <v>1018</v>
      </c>
      <c r="K128" s="4" t="s">
        <v>58</v>
      </c>
      <c r="L128" s="4" t="s">
        <v>72</v>
      </c>
      <c r="M128" s="4" t="s">
        <v>1012</v>
      </c>
      <c r="N128" s="4" t="s">
        <v>72</v>
      </c>
      <c r="O128" s="4" t="s">
        <v>71</v>
      </c>
      <c r="P128" s="4" t="s">
        <v>71</v>
      </c>
      <c r="Q128" s="4"/>
      <c r="R128" s="4" t="s">
        <v>143</v>
      </c>
      <c r="S128" s="4" t="s">
        <v>71</v>
      </c>
      <c r="T128" s="4" t="s">
        <v>71</v>
      </c>
      <c r="U128" s="4" t="str">
        <f t="shared" si="1"/>
        <v>NO</v>
      </c>
    </row>
    <row r="129" spans="1:21" ht="42" customHeight="1">
      <c r="A129" s="4" t="s">
        <v>1189</v>
      </c>
      <c r="B129" s="4" t="s">
        <v>448</v>
      </c>
      <c r="C129" s="4" t="s">
        <v>424</v>
      </c>
      <c r="D129" s="4" t="s">
        <v>448</v>
      </c>
      <c r="E129" s="4" t="s">
        <v>424</v>
      </c>
      <c r="F129" s="4" t="s">
        <v>1009</v>
      </c>
      <c r="G129" s="4" t="s">
        <v>1190</v>
      </c>
      <c r="H129" s="4" t="s">
        <v>1018</v>
      </c>
      <c r="I129" s="4"/>
      <c r="J129" s="4" t="s">
        <v>1018</v>
      </c>
      <c r="K129" s="4" t="s">
        <v>58</v>
      </c>
      <c r="L129" s="4" t="s">
        <v>72</v>
      </c>
      <c r="M129" s="4" t="s">
        <v>1012</v>
      </c>
      <c r="N129" s="4" t="s">
        <v>72</v>
      </c>
      <c r="O129" s="4" t="s">
        <v>71</v>
      </c>
      <c r="P129" s="4" t="s">
        <v>71</v>
      </c>
      <c r="Q129" s="4"/>
      <c r="R129" s="4" t="s">
        <v>143</v>
      </c>
      <c r="S129" s="4" t="s">
        <v>71</v>
      </c>
      <c r="T129" s="4" t="s">
        <v>71</v>
      </c>
      <c r="U129" s="4" t="str">
        <f t="shared" si="1"/>
        <v>NO</v>
      </c>
    </row>
    <row r="130" spans="1:21" ht="42" customHeight="1">
      <c r="A130" s="4" t="s">
        <v>1191</v>
      </c>
      <c r="B130" s="4" t="s">
        <v>448</v>
      </c>
      <c r="C130" s="4" t="s">
        <v>433</v>
      </c>
      <c r="D130" s="4" t="s">
        <v>448</v>
      </c>
      <c r="E130" s="4" t="s">
        <v>433</v>
      </c>
      <c r="F130" s="4" t="s">
        <v>1009</v>
      </c>
      <c r="G130" s="4" t="s">
        <v>1192</v>
      </c>
      <c r="H130" s="4" t="s">
        <v>1018</v>
      </c>
      <c r="I130" s="4"/>
      <c r="J130" s="4" t="s">
        <v>1018</v>
      </c>
      <c r="K130" s="4" t="s">
        <v>58</v>
      </c>
      <c r="L130" s="4" t="s">
        <v>72</v>
      </c>
      <c r="M130" s="4" t="s">
        <v>1012</v>
      </c>
      <c r="N130" s="4" t="s">
        <v>72</v>
      </c>
      <c r="O130" s="4" t="s">
        <v>71</v>
      </c>
      <c r="P130" s="4" t="s">
        <v>71</v>
      </c>
      <c r="Q130" s="4"/>
      <c r="R130" s="4" t="s">
        <v>143</v>
      </c>
      <c r="S130" s="4" t="s">
        <v>71</v>
      </c>
      <c r="T130" s="4" t="s">
        <v>71</v>
      </c>
      <c r="U130" s="4" t="str">
        <f t="shared" si="1"/>
        <v>NO</v>
      </c>
    </row>
    <row r="131" spans="1:21" ht="42" customHeight="1">
      <c r="A131" s="4" t="s">
        <v>1193</v>
      </c>
      <c r="B131" s="4" t="s">
        <v>448</v>
      </c>
      <c r="C131" s="4" t="s">
        <v>442</v>
      </c>
      <c r="D131" s="4" t="s">
        <v>448</v>
      </c>
      <c r="E131" s="4" t="s">
        <v>442</v>
      </c>
      <c r="F131" s="4" t="s">
        <v>1009</v>
      </c>
      <c r="G131" s="4" t="s">
        <v>1194</v>
      </c>
      <c r="H131" s="4" t="s">
        <v>1018</v>
      </c>
      <c r="I131" s="4"/>
      <c r="J131" s="4" t="s">
        <v>1018</v>
      </c>
      <c r="K131" s="4" t="s">
        <v>58</v>
      </c>
      <c r="L131" s="4" t="s">
        <v>72</v>
      </c>
      <c r="M131" s="4" t="s">
        <v>1012</v>
      </c>
      <c r="N131" s="4" t="s">
        <v>72</v>
      </c>
      <c r="O131" s="4" t="s">
        <v>71</v>
      </c>
      <c r="P131" s="4" t="s">
        <v>71</v>
      </c>
      <c r="Q131" s="4"/>
      <c r="R131" s="4" t="s">
        <v>143</v>
      </c>
      <c r="S131" s="4" t="s">
        <v>71</v>
      </c>
      <c r="T131" s="4" t="s">
        <v>71</v>
      </c>
      <c r="U131" s="4" t="str">
        <f t="shared" si="1"/>
        <v>NO</v>
      </c>
    </row>
    <row r="132" spans="1:21" ht="42" customHeight="1">
      <c r="A132" s="4" t="s">
        <v>1195</v>
      </c>
      <c r="B132" s="4" t="s">
        <v>451</v>
      </c>
      <c r="C132" s="4" t="s">
        <v>186</v>
      </c>
      <c r="D132" s="4" t="s">
        <v>451</v>
      </c>
      <c r="E132" s="4" t="s">
        <v>186</v>
      </c>
      <c r="F132" s="4" t="s">
        <v>1009</v>
      </c>
      <c r="G132" s="4" t="s">
        <v>1196</v>
      </c>
      <c r="H132" s="4" t="s">
        <v>1018</v>
      </c>
      <c r="I132" s="4"/>
      <c r="J132" s="4" t="s">
        <v>1018</v>
      </c>
      <c r="K132" s="4" t="s">
        <v>92</v>
      </c>
      <c r="L132" s="4" t="s">
        <v>55</v>
      </c>
      <c r="M132" s="4" t="s">
        <v>1012</v>
      </c>
      <c r="N132" s="4" t="s">
        <v>92</v>
      </c>
      <c r="O132" s="4" t="s">
        <v>71</v>
      </c>
      <c r="P132" s="4" t="s">
        <v>71</v>
      </c>
      <c r="Q132" s="4"/>
      <c r="R132" s="4" t="s">
        <v>143</v>
      </c>
      <c r="S132" s="4" t="s">
        <v>71</v>
      </c>
      <c r="T132" s="4" t="s">
        <v>71</v>
      </c>
      <c r="U132" s="4" t="str">
        <f t="shared" si="1"/>
        <v>NO</v>
      </c>
    </row>
    <row r="133" spans="1:21" ht="42" customHeight="1">
      <c r="A133" s="4" t="s">
        <v>1197</v>
      </c>
      <c r="B133" s="4" t="s">
        <v>451</v>
      </c>
      <c r="C133" s="4" t="s">
        <v>144</v>
      </c>
      <c r="D133" s="4" t="s">
        <v>451</v>
      </c>
      <c r="E133" s="4" t="s">
        <v>144</v>
      </c>
      <c r="F133" s="4" t="s">
        <v>1016</v>
      </c>
      <c r="G133" s="4" t="s">
        <v>1198</v>
      </c>
      <c r="H133" s="4" t="s">
        <v>1011</v>
      </c>
      <c r="I133" s="4"/>
      <c r="J133" s="4" t="s">
        <v>1011</v>
      </c>
      <c r="K133" s="4" t="s">
        <v>92</v>
      </c>
      <c r="L133" s="4" t="s">
        <v>83</v>
      </c>
      <c r="M133" s="4" t="s">
        <v>1012</v>
      </c>
      <c r="N133" s="4" t="s">
        <v>92</v>
      </c>
      <c r="O133" s="4" t="s">
        <v>71</v>
      </c>
      <c r="P133" s="4" t="s">
        <v>71</v>
      </c>
      <c r="Q133" s="4"/>
      <c r="R133" s="4" t="s">
        <v>143</v>
      </c>
      <c r="S133" s="4" t="s">
        <v>71</v>
      </c>
      <c r="T133" s="4" t="s">
        <v>71</v>
      </c>
      <c r="U133" s="4" t="str">
        <f t="shared" ref="U133:U196" si="2">IF(AND(R133="revisada",S133="pasa",T133="aprobada",O133&lt;&gt;"pendiente",P133&lt;&gt;"pendiente",OR(J133="por_corroborar",AND(J133="corroborada",Q133&lt;&gt;""))),"SÍ","NO")</f>
        <v>NO</v>
      </c>
    </row>
    <row r="134" spans="1:21" ht="42" customHeight="1">
      <c r="A134" s="4" t="s">
        <v>1199</v>
      </c>
      <c r="B134" s="4" t="s">
        <v>445</v>
      </c>
      <c r="C134" s="4" t="s">
        <v>120</v>
      </c>
      <c r="D134" s="4" t="s">
        <v>445</v>
      </c>
      <c r="E134" s="4" t="s">
        <v>120</v>
      </c>
      <c r="F134" s="4" t="s">
        <v>1009</v>
      </c>
      <c r="G134" s="4" t="s">
        <v>1200</v>
      </c>
      <c r="H134" s="4" t="s">
        <v>1018</v>
      </c>
      <c r="I134" s="4"/>
      <c r="J134" s="4" t="s">
        <v>1018</v>
      </c>
      <c r="K134" s="4" t="s">
        <v>83</v>
      </c>
      <c r="L134" s="4" t="s">
        <v>48</v>
      </c>
      <c r="M134" s="4" t="s">
        <v>1012</v>
      </c>
      <c r="N134" s="4" t="s">
        <v>83</v>
      </c>
      <c r="O134" s="4" t="s">
        <v>71</v>
      </c>
      <c r="P134" s="4" t="s">
        <v>71</v>
      </c>
      <c r="Q134" s="4"/>
      <c r="R134" s="4" t="s">
        <v>143</v>
      </c>
      <c r="S134" s="4" t="s">
        <v>71</v>
      </c>
      <c r="T134" s="4" t="s">
        <v>71</v>
      </c>
      <c r="U134" s="4" t="str">
        <f t="shared" si="2"/>
        <v>NO</v>
      </c>
    </row>
    <row r="135" spans="1:21" ht="42" customHeight="1">
      <c r="A135" s="4" t="s">
        <v>1201</v>
      </c>
      <c r="B135" s="4" t="s">
        <v>445</v>
      </c>
      <c r="C135" s="4" t="s">
        <v>144</v>
      </c>
      <c r="D135" s="4" t="s">
        <v>445</v>
      </c>
      <c r="E135" s="4" t="s">
        <v>144</v>
      </c>
      <c r="F135" s="4" t="s">
        <v>1016</v>
      </c>
      <c r="G135" s="4" t="s">
        <v>1202</v>
      </c>
      <c r="H135" s="4" t="s">
        <v>1011</v>
      </c>
      <c r="I135" s="4"/>
      <c r="J135" s="4" t="s">
        <v>1011</v>
      </c>
      <c r="K135" s="4" t="s">
        <v>83</v>
      </c>
      <c r="L135" s="4" t="s">
        <v>83</v>
      </c>
      <c r="M135" s="4" t="s">
        <v>1021</v>
      </c>
      <c r="N135" s="4" t="s">
        <v>83</v>
      </c>
      <c r="O135" s="4" t="s">
        <v>71</v>
      </c>
      <c r="P135" s="4" t="s">
        <v>71</v>
      </c>
      <c r="Q135" s="4"/>
      <c r="R135" s="4" t="s">
        <v>143</v>
      </c>
      <c r="S135" s="4" t="s">
        <v>71</v>
      </c>
      <c r="T135" s="4" t="s">
        <v>71</v>
      </c>
      <c r="U135" s="4" t="str">
        <f t="shared" si="2"/>
        <v>NO</v>
      </c>
    </row>
    <row r="136" spans="1:21" ht="42" customHeight="1">
      <c r="A136" s="4" t="s">
        <v>1203</v>
      </c>
      <c r="B136" s="4" t="s">
        <v>455</v>
      </c>
      <c r="C136" s="4" t="s">
        <v>458</v>
      </c>
      <c r="D136" s="4" t="s">
        <v>455</v>
      </c>
      <c r="E136" s="4" t="s">
        <v>458</v>
      </c>
      <c r="F136" s="4" t="s">
        <v>1009</v>
      </c>
      <c r="G136" s="4" t="s">
        <v>1204</v>
      </c>
      <c r="H136" s="4" t="s">
        <v>1018</v>
      </c>
      <c r="I136" s="4"/>
      <c r="J136" s="4" t="s">
        <v>1018</v>
      </c>
      <c r="K136" s="4" t="s">
        <v>86</v>
      </c>
      <c r="L136" s="4" t="s">
        <v>55</v>
      </c>
      <c r="M136" s="4" t="s">
        <v>1012</v>
      </c>
      <c r="N136" s="4" t="s">
        <v>86</v>
      </c>
      <c r="O136" s="4" t="s">
        <v>71</v>
      </c>
      <c r="P136" s="4" t="s">
        <v>71</v>
      </c>
      <c r="Q136" s="4"/>
      <c r="R136" s="4" t="s">
        <v>143</v>
      </c>
      <c r="S136" s="4" t="s">
        <v>71</v>
      </c>
      <c r="T136" s="4" t="s">
        <v>71</v>
      </c>
      <c r="U136" s="4" t="str">
        <f t="shared" si="2"/>
        <v>NO</v>
      </c>
    </row>
    <row r="137" spans="1:21" ht="42" customHeight="1">
      <c r="A137" s="4" t="s">
        <v>1205</v>
      </c>
      <c r="B137" s="4" t="s">
        <v>455</v>
      </c>
      <c r="C137" s="4" t="s">
        <v>226</v>
      </c>
      <c r="D137" s="4" t="s">
        <v>455</v>
      </c>
      <c r="E137" s="4" t="s">
        <v>226</v>
      </c>
      <c r="F137" s="4" t="s">
        <v>1009</v>
      </c>
      <c r="G137" s="4" t="s">
        <v>1206</v>
      </c>
      <c r="H137" s="4" t="s">
        <v>1018</v>
      </c>
      <c r="I137" s="4"/>
      <c r="J137" s="4" t="s">
        <v>1018</v>
      </c>
      <c r="K137" s="4" t="s">
        <v>86</v>
      </c>
      <c r="L137" s="4" t="s">
        <v>92</v>
      </c>
      <c r="M137" s="4" t="s">
        <v>1012</v>
      </c>
      <c r="N137" s="4" t="s">
        <v>92</v>
      </c>
      <c r="O137" s="4" t="s">
        <v>71</v>
      </c>
      <c r="P137" s="4" t="s">
        <v>71</v>
      </c>
      <c r="Q137" s="4"/>
      <c r="R137" s="4" t="s">
        <v>143</v>
      </c>
      <c r="S137" s="4" t="s">
        <v>71</v>
      </c>
      <c r="T137" s="4" t="s">
        <v>71</v>
      </c>
      <c r="U137" s="4" t="str">
        <f t="shared" si="2"/>
        <v>NO</v>
      </c>
    </row>
    <row r="138" spans="1:21" ht="42" customHeight="1">
      <c r="A138" s="4" t="s">
        <v>1207</v>
      </c>
      <c r="B138" s="4" t="s">
        <v>458</v>
      </c>
      <c r="C138" s="4" t="s">
        <v>186</v>
      </c>
      <c r="D138" s="4" t="s">
        <v>458</v>
      </c>
      <c r="E138" s="4" t="s">
        <v>186</v>
      </c>
      <c r="F138" s="4" t="s">
        <v>1009</v>
      </c>
      <c r="G138" s="4" t="s">
        <v>1208</v>
      </c>
      <c r="H138" s="4" t="s">
        <v>1018</v>
      </c>
      <c r="I138" s="4"/>
      <c r="J138" s="4" t="s">
        <v>1018</v>
      </c>
      <c r="K138" s="4" t="s">
        <v>55</v>
      </c>
      <c r="L138" s="4" t="s">
        <v>55</v>
      </c>
      <c r="M138" s="4" t="s">
        <v>1021</v>
      </c>
      <c r="N138" s="4" t="s">
        <v>55</v>
      </c>
      <c r="O138" s="4" t="s">
        <v>71</v>
      </c>
      <c r="P138" s="4" t="s">
        <v>71</v>
      </c>
      <c r="Q138" s="4"/>
      <c r="R138" s="4" t="s">
        <v>143</v>
      </c>
      <c r="S138" s="4" t="s">
        <v>71</v>
      </c>
      <c r="T138" s="4" t="s">
        <v>71</v>
      </c>
      <c r="U138" s="4" t="str">
        <f t="shared" si="2"/>
        <v>NO</v>
      </c>
    </row>
    <row r="139" spans="1:21" ht="42" customHeight="1">
      <c r="A139" s="4" t="s">
        <v>1209</v>
      </c>
      <c r="B139" s="4" t="s">
        <v>458</v>
      </c>
      <c r="C139" s="4" t="s">
        <v>179</v>
      </c>
      <c r="D139" s="4" t="s">
        <v>458</v>
      </c>
      <c r="E139" s="4" t="s">
        <v>179</v>
      </c>
      <c r="F139" s="4" t="s">
        <v>1009</v>
      </c>
      <c r="G139" s="4" t="s">
        <v>1210</v>
      </c>
      <c r="H139" s="4" t="s">
        <v>1018</v>
      </c>
      <c r="I139" s="4"/>
      <c r="J139" s="4" t="s">
        <v>1018</v>
      </c>
      <c r="K139" s="4" t="s">
        <v>55</v>
      </c>
      <c r="L139" s="4" t="s">
        <v>55</v>
      </c>
      <c r="M139" s="4" t="s">
        <v>1021</v>
      </c>
      <c r="N139" s="4" t="s">
        <v>55</v>
      </c>
      <c r="O139" s="4" t="s">
        <v>71</v>
      </c>
      <c r="P139" s="4" t="s">
        <v>71</v>
      </c>
      <c r="Q139" s="4"/>
      <c r="R139" s="4" t="s">
        <v>143</v>
      </c>
      <c r="S139" s="4" t="s">
        <v>71</v>
      </c>
      <c r="T139" s="4" t="s">
        <v>71</v>
      </c>
      <c r="U139" s="4" t="str">
        <f t="shared" si="2"/>
        <v>NO</v>
      </c>
    </row>
    <row r="140" spans="1:21" ht="42" customHeight="1">
      <c r="A140" s="4" t="s">
        <v>1211</v>
      </c>
      <c r="B140" s="4" t="s">
        <v>461</v>
      </c>
      <c r="C140" s="4" t="s">
        <v>186</v>
      </c>
      <c r="D140" s="4" t="s">
        <v>461</v>
      </c>
      <c r="E140" s="4" t="s">
        <v>186</v>
      </c>
      <c r="F140" s="4" t="s">
        <v>1009</v>
      </c>
      <c r="G140" s="4" t="s">
        <v>1212</v>
      </c>
      <c r="H140" s="4" t="s">
        <v>1018</v>
      </c>
      <c r="I140" s="4"/>
      <c r="J140" s="4" t="s">
        <v>1018</v>
      </c>
      <c r="K140" s="4" t="s">
        <v>92</v>
      </c>
      <c r="L140" s="4" t="s">
        <v>55</v>
      </c>
      <c r="M140" s="4" t="s">
        <v>1012</v>
      </c>
      <c r="N140" s="4" t="s">
        <v>92</v>
      </c>
      <c r="O140" s="4" t="s">
        <v>71</v>
      </c>
      <c r="P140" s="4" t="s">
        <v>71</v>
      </c>
      <c r="Q140" s="4"/>
      <c r="R140" s="4" t="s">
        <v>143</v>
      </c>
      <c r="S140" s="4" t="s">
        <v>71</v>
      </c>
      <c r="T140" s="4" t="s">
        <v>71</v>
      </c>
      <c r="U140" s="4" t="str">
        <f t="shared" si="2"/>
        <v>NO</v>
      </c>
    </row>
    <row r="141" spans="1:21" ht="42" customHeight="1">
      <c r="A141" s="4" t="s">
        <v>1213</v>
      </c>
      <c r="B141" s="4" t="s">
        <v>461</v>
      </c>
      <c r="C141" s="4" t="s">
        <v>465</v>
      </c>
      <c r="D141" s="4" t="s">
        <v>461</v>
      </c>
      <c r="E141" s="4" t="s">
        <v>465</v>
      </c>
      <c r="F141" s="4" t="s">
        <v>1009</v>
      </c>
      <c r="G141" s="4" t="s">
        <v>1214</v>
      </c>
      <c r="H141" s="4" t="s">
        <v>1018</v>
      </c>
      <c r="I141" s="4"/>
      <c r="J141" s="4" t="s">
        <v>1018</v>
      </c>
      <c r="K141" s="4" t="s">
        <v>92</v>
      </c>
      <c r="L141" s="4" t="s">
        <v>83</v>
      </c>
      <c r="M141" s="4" t="s">
        <v>1012</v>
      </c>
      <c r="N141" s="4" t="s">
        <v>92</v>
      </c>
      <c r="O141" s="4" t="s">
        <v>71</v>
      </c>
      <c r="P141" s="4" t="s">
        <v>71</v>
      </c>
      <c r="Q141" s="4"/>
      <c r="R141" s="4" t="s">
        <v>143</v>
      </c>
      <c r="S141" s="4" t="s">
        <v>71</v>
      </c>
      <c r="T141" s="4" t="s">
        <v>71</v>
      </c>
      <c r="U141" s="4" t="str">
        <f t="shared" si="2"/>
        <v>NO</v>
      </c>
    </row>
    <row r="142" spans="1:21" ht="42" customHeight="1">
      <c r="A142" s="4" t="s">
        <v>1215</v>
      </c>
      <c r="B142" s="4" t="s">
        <v>461</v>
      </c>
      <c r="C142" s="4" t="s">
        <v>265</v>
      </c>
      <c r="D142" s="4" t="s">
        <v>461</v>
      </c>
      <c r="E142" s="4" t="s">
        <v>265</v>
      </c>
      <c r="F142" s="4" t="s">
        <v>1009</v>
      </c>
      <c r="G142" s="4" t="s">
        <v>1216</v>
      </c>
      <c r="H142" s="4" t="s">
        <v>1018</v>
      </c>
      <c r="I142" s="4"/>
      <c r="J142" s="4" t="s">
        <v>1018</v>
      </c>
      <c r="K142" s="4" t="s">
        <v>92</v>
      </c>
      <c r="L142" s="4" t="s">
        <v>92</v>
      </c>
      <c r="M142" s="4" t="s">
        <v>1021</v>
      </c>
      <c r="N142" s="4" t="s">
        <v>92</v>
      </c>
      <c r="O142" s="4" t="s">
        <v>71</v>
      </c>
      <c r="P142" s="4" t="s">
        <v>71</v>
      </c>
      <c r="Q142" s="4"/>
      <c r="R142" s="4" t="s">
        <v>143</v>
      </c>
      <c r="S142" s="4" t="s">
        <v>71</v>
      </c>
      <c r="T142" s="4" t="s">
        <v>71</v>
      </c>
      <c r="U142" s="4" t="str">
        <f t="shared" si="2"/>
        <v>NO</v>
      </c>
    </row>
    <row r="143" spans="1:21" ht="42" customHeight="1">
      <c r="A143" s="4" t="s">
        <v>1217</v>
      </c>
      <c r="B143" s="4" t="s">
        <v>465</v>
      </c>
      <c r="C143" s="4" t="s">
        <v>202</v>
      </c>
      <c r="D143" s="4" t="s">
        <v>465</v>
      </c>
      <c r="E143" s="4" t="s">
        <v>202</v>
      </c>
      <c r="F143" s="4" t="s">
        <v>1009</v>
      </c>
      <c r="G143" s="4" t="s">
        <v>1218</v>
      </c>
      <c r="H143" s="4" t="s">
        <v>1018</v>
      </c>
      <c r="I143" s="4"/>
      <c r="J143" s="4" t="s">
        <v>1018</v>
      </c>
      <c r="K143" s="4" t="s">
        <v>83</v>
      </c>
      <c r="L143" s="4" t="s">
        <v>55</v>
      </c>
      <c r="M143" s="4" t="s">
        <v>1012</v>
      </c>
      <c r="N143" s="4" t="s">
        <v>83</v>
      </c>
      <c r="O143" s="4" t="s">
        <v>71</v>
      </c>
      <c r="P143" s="4" t="s">
        <v>71</v>
      </c>
      <c r="Q143" s="4"/>
      <c r="R143" s="4" t="s">
        <v>143</v>
      </c>
      <c r="S143" s="4" t="s">
        <v>71</v>
      </c>
      <c r="T143" s="4" t="s">
        <v>71</v>
      </c>
      <c r="U143" s="4" t="str">
        <f t="shared" si="2"/>
        <v>NO</v>
      </c>
    </row>
    <row r="144" spans="1:21" ht="42" customHeight="1">
      <c r="A144" s="4" t="s">
        <v>1219</v>
      </c>
      <c r="B144" s="4" t="s">
        <v>465</v>
      </c>
      <c r="C144" s="4" t="s">
        <v>427</v>
      </c>
      <c r="D144" s="4" t="s">
        <v>465</v>
      </c>
      <c r="E144" s="4" t="s">
        <v>427</v>
      </c>
      <c r="F144" s="4" t="s">
        <v>1009</v>
      </c>
      <c r="G144" s="4" t="s">
        <v>1220</v>
      </c>
      <c r="H144" s="4" t="s">
        <v>1018</v>
      </c>
      <c r="I144" s="4"/>
      <c r="J144" s="4" t="s">
        <v>1018</v>
      </c>
      <c r="K144" s="4" t="s">
        <v>83</v>
      </c>
      <c r="L144" s="4" t="s">
        <v>72</v>
      </c>
      <c r="M144" s="4" t="s">
        <v>1012</v>
      </c>
      <c r="N144" s="4" t="s">
        <v>83</v>
      </c>
      <c r="O144" s="4" t="s">
        <v>71</v>
      </c>
      <c r="P144" s="4" t="s">
        <v>71</v>
      </c>
      <c r="Q144" s="4"/>
      <c r="R144" s="4" t="s">
        <v>143</v>
      </c>
      <c r="S144" s="4" t="s">
        <v>71</v>
      </c>
      <c r="T144" s="4" t="s">
        <v>71</v>
      </c>
      <c r="U144" s="4" t="str">
        <f t="shared" si="2"/>
        <v>NO</v>
      </c>
    </row>
    <row r="145" spans="1:21" ht="42" customHeight="1">
      <c r="A145" s="4" t="s">
        <v>1221</v>
      </c>
      <c r="B145" s="4" t="s">
        <v>469</v>
      </c>
      <c r="C145" s="4" t="s">
        <v>144</v>
      </c>
      <c r="D145" s="4" t="s">
        <v>469</v>
      </c>
      <c r="E145" s="4" t="s">
        <v>144</v>
      </c>
      <c r="F145" s="4" t="s">
        <v>1009</v>
      </c>
      <c r="G145" s="4" t="s">
        <v>1222</v>
      </c>
      <c r="H145" s="4" t="s">
        <v>1018</v>
      </c>
      <c r="I145" s="4"/>
      <c r="J145" s="4" t="s">
        <v>1018</v>
      </c>
      <c r="K145" s="4" t="s">
        <v>83</v>
      </c>
      <c r="L145" s="4" t="s">
        <v>83</v>
      </c>
      <c r="M145" s="4" t="s">
        <v>1021</v>
      </c>
      <c r="N145" s="4" t="s">
        <v>83</v>
      </c>
      <c r="O145" s="4" t="s">
        <v>71</v>
      </c>
      <c r="P145" s="4" t="s">
        <v>71</v>
      </c>
      <c r="Q145" s="4"/>
      <c r="R145" s="4" t="s">
        <v>143</v>
      </c>
      <c r="S145" s="4" t="s">
        <v>71</v>
      </c>
      <c r="T145" s="4" t="s">
        <v>71</v>
      </c>
      <c r="U145" s="4" t="str">
        <f t="shared" si="2"/>
        <v>NO</v>
      </c>
    </row>
    <row r="146" spans="1:21" ht="42" customHeight="1">
      <c r="A146" s="4" t="s">
        <v>1223</v>
      </c>
      <c r="B146" s="4" t="s">
        <v>469</v>
      </c>
      <c r="C146" s="4" t="s">
        <v>167</v>
      </c>
      <c r="D146" s="4" t="s">
        <v>469</v>
      </c>
      <c r="E146" s="4" t="s">
        <v>167</v>
      </c>
      <c r="F146" s="4" t="s">
        <v>1009</v>
      </c>
      <c r="G146" s="4" t="s">
        <v>1224</v>
      </c>
      <c r="H146" s="4" t="s">
        <v>1018</v>
      </c>
      <c r="I146" s="4"/>
      <c r="J146" s="4" t="s">
        <v>1018</v>
      </c>
      <c r="K146" s="4" t="s">
        <v>83</v>
      </c>
      <c r="L146" s="4" t="s">
        <v>72</v>
      </c>
      <c r="M146" s="4" t="s">
        <v>1012</v>
      </c>
      <c r="N146" s="4" t="s">
        <v>83</v>
      </c>
      <c r="O146" s="4" t="s">
        <v>71</v>
      </c>
      <c r="P146" s="4" t="s">
        <v>71</v>
      </c>
      <c r="Q146" s="4"/>
      <c r="R146" s="4" t="s">
        <v>143</v>
      </c>
      <c r="S146" s="4" t="s">
        <v>71</v>
      </c>
      <c r="T146" s="4" t="s">
        <v>71</v>
      </c>
      <c r="U146" s="4" t="str">
        <f t="shared" si="2"/>
        <v>NO</v>
      </c>
    </row>
    <row r="147" spans="1:21" ht="42" customHeight="1">
      <c r="A147" s="4" t="s">
        <v>1225</v>
      </c>
      <c r="B147" s="4" t="s">
        <v>469</v>
      </c>
      <c r="C147" s="4" t="s">
        <v>265</v>
      </c>
      <c r="D147" s="4" t="s">
        <v>469</v>
      </c>
      <c r="E147" s="4" t="s">
        <v>265</v>
      </c>
      <c r="F147" s="4" t="s">
        <v>1009</v>
      </c>
      <c r="G147" s="4" t="s">
        <v>1226</v>
      </c>
      <c r="H147" s="4" t="s">
        <v>1018</v>
      </c>
      <c r="I147" s="4"/>
      <c r="J147" s="4" t="s">
        <v>1018</v>
      </c>
      <c r="K147" s="4" t="s">
        <v>83</v>
      </c>
      <c r="L147" s="4" t="s">
        <v>92</v>
      </c>
      <c r="M147" s="4" t="s">
        <v>1012</v>
      </c>
      <c r="N147" s="4" t="s">
        <v>92</v>
      </c>
      <c r="O147" s="4" t="s">
        <v>71</v>
      </c>
      <c r="P147" s="4" t="s">
        <v>71</v>
      </c>
      <c r="Q147" s="4"/>
      <c r="R147" s="4" t="s">
        <v>143</v>
      </c>
      <c r="S147" s="4" t="s">
        <v>71</v>
      </c>
      <c r="T147" s="4" t="s">
        <v>71</v>
      </c>
      <c r="U147" s="4" t="str">
        <f t="shared" si="2"/>
        <v>NO</v>
      </c>
    </row>
    <row r="148" spans="1:21" ht="42" customHeight="1">
      <c r="A148" s="4" t="s">
        <v>1227</v>
      </c>
      <c r="B148" s="4" t="s">
        <v>472</v>
      </c>
      <c r="C148" s="4" t="s">
        <v>135</v>
      </c>
      <c r="D148" s="4" t="s">
        <v>472</v>
      </c>
      <c r="E148" s="4" t="s">
        <v>135</v>
      </c>
      <c r="F148" s="4" t="s">
        <v>1009</v>
      </c>
      <c r="G148" s="4" t="s">
        <v>1228</v>
      </c>
      <c r="H148" s="4" t="s">
        <v>1018</v>
      </c>
      <c r="I148" s="4"/>
      <c r="J148" s="4" t="s">
        <v>1018</v>
      </c>
      <c r="K148" s="4" t="s">
        <v>90</v>
      </c>
      <c r="L148" s="4" t="s">
        <v>90</v>
      </c>
      <c r="M148" s="4" t="s">
        <v>1021</v>
      </c>
      <c r="N148" s="4" t="s">
        <v>90</v>
      </c>
      <c r="O148" s="4" t="s">
        <v>71</v>
      </c>
      <c r="P148" s="4" t="s">
        <v>71</v>
      </c>
      <c r="Q148" s="4"/>
      <c r="R148" s="4" t="s">
        <v>143</v>
      </c>
      <c r="S148" s="4" t="s">
        <v>71</v>
      </c>
      <c r="T148" s="4" t="s">
        <v>71</v>
      </c>
      <c r="U148" s="4" t="str">
        <f t="shared" si="2"/>
        <v>NO</v>
      </c>
    </row>
    <row r="149" spans="1:21" ht="42" customHeight="1">
      <c r="A149" s="4" t="s">
        <v>1229</v>
      </c>
      <c r="B149" s="4" t="s">
        <v>472</v>
      </c>
      <c r="C149" s="4" t="s">
        <v>469</v>
      </c>
      <c r="D149" s="4" t="s">
        <v>472</v>
      </c>
      <c r="E149" s="4" t="s">
        <v>469</v>
      </c>
      <c r="F149" s="4" t="s">
        <v>1009</v>
      </c>
      <c r="G149" s="4" t="s">
        <v>1230</v>
      </c>
      <c r="H149" s="4" t="s">
        <v>1018</v>
      </c>
      <c r="I149" s="4"/>
      <c r="J149" s="4" t="s">
        <v>1018</v>
      </c>
      <c r="K149" s="4" t="s">
        <v>90</v>
      </c>
      <c r="L149" s="4" t="s">
        <v>83</v>
      </c>
      <c r="M149" s="4" t="s">
        <v>1012</v>
      </c>
      <c r="N149" s="4" t="s">
        <v>90</v>
      </c>
      <c r="O149" s="4" t="s">
        <v>71</v>
      </c>
      <c r="P149" s="4" t="s">
        <v>71</v>
      </c>
      <c r="Q149" s="4"/>
      <c r="R149" s="4" t="s">
        <v>143</v>
      </c>
      <c r="S149" s="4" t="s">
        <v>71</v>
      </c>
      <c r="T149" s="4" t="s">
        <v>71</v>
      </c>
      <c r="U149" s="4" t="str">
        <f t="shared" si="2"/>
        <v>NO</v>
      </c>
    </row>
    <row r="150" spans="1:21" ht="42" customHeight="1">
      <c r="A150" s="4" t="s">
        <v>1231</v>
      </c>
      <c r="B150" s="4" t="s">
        <v>472</v>
      </c>
      <c r="C150" s="4" t="s">
        <v>144</v>
      </c>
      <c r="D150" s="4" t="s">
        <v>472</v>
      </c>
      <c r="E150" s="4" t="s">
        <v>144</v>
      </c>
      <c r="F150" s="4" t="s">
        <v>1009</v>
      </c>
      <c r="G150" s="4" t="s">
        <v>1232</v>
      </c>
      <c r="H150" s="4" t="s">
        <v>1018</v>
      </c>
      <c r="I150" s="4"/>
      <c r="J150" s="4" t="s">
        <v>1018</v>
      </c>
      <c r="K150" s="4" t="s">
        <v>90</v>
      </c>
      <c r="L150" s="4" t="s">
        <v>83</v>
      </c>
      <c r="M150" s="4" t="s">
        <v>1012</v>
      </c>
      <c r="N150" s="4" t="s">
        <v>90</v>
      </c>
      <c r="O150" s="4" t="s">
        <v>71</v>
      </c>
      <c r="P150" s="4" t="s">
        <v>71</v>
      </c>
      <c r="Q150" s="4"/>
      <c r="R150" s="4" t="s">
        <v>143</v>
      </c>
      <c r="S150" s="4" t="s">
        <v>71</v>
      </c>
      <c r="T150" s="4" t="s">
        <v>71</v>
      </c>
      <c r="U150" s="4" t="str">
        <f t="shared" si="2"/>
        <v>NO</v>
      </c>
    </row>
    <row r="151" spans="1:21" ht="42" customHeight="1">
      <c r="A151" s="4" t="s">
        <v>1233</v>
      </c>
      <c r="B151" s="4" t="s">
        <v>475</v>
      </c>
      <c r="C151" s="4" t="s">
        <v>252</v>
      </c>
      <c r="D151" s="4" t="s">
        <v>475</v>
      </c>
      <c r="E151" s="4" t="s">
        <v>252</v>
      </c>
      <c r="F151" s="4" t="s">
        <v>1009</v>
      </c>
      <c r="G151" s="4" t="s">
        <v>1234</v>
      </c>
      <c r="H151" s="4" t="s">
        <v>1018</v>
      </c>
      <c r="I151" s="4"/>
      <c r="J151" s="4" t="s">
        <v>1018</v>
      </c>
      <c r="K151" s="4" t="s">
        <v>61</v>
      </c>
      <c r="L151" s="4" t="s">
        <v>83</v>
      </c>
      <c r="M151" s="4" t="s">
        <v>1012</v>
      </c>
      <c r="N151" s="4" t="s">
        <v>83</v>
      </c>
      <c r="O151" s="4" t="s">
        <v>71</v>
      </c>
      <c r="P151" s="4" t="s">
        <v>71</v>
      </c>
      <c r="Q151" s="4"/>
      <c r="R151" s="4" t="s">
        <v>143</v>
      </c>
      <c r="S151" s="4" t="s">
        <v>71</v>
      </c>
      <c r="T151" s="4" t="s">
        <v>71</v>
      </c>
      <c r="U151" s="4" t="str">
        <f t="shared" si="2"/>
        <v>NO</v>
      </c>
    </row>
    <row r="152" spans="1:21" ht="42" customHeight="1">
      <c r="A152" s="4" t="s">
        <v>1235</v>
      </c>
      <c r="B152" s="4" t="s">
        <v>475</v>
      </c>
      <c r="C152" s="4" t="s">
        <v>440</v>
      </c>
      <c r="D152" s="4" t="s">
        <v>475</v>
      </c>
      <c r="E152" s="4" t="s">
        <v>440</v>
      </c>
      <c r="F152" s="4" t="s">
        <v>1009</v>
      </c>
      <c r="G152" s="4" t="s">
        <v>1236</v>
      </c>
      <c r="H152" s="4" t="s">
        <v>1018</v>
      </c>
      <c r="I152" s="4"/>
      <c r="J152" s="4" t="s">
        <v>1018</v>
      </c>
      <c r="K152" s="4" t="s">
        <v>61</v>
      </c>
      <c r="L152" s="4" t="s">
        <v>83</v>
      </c>
      <c r="M152" s="4" t="s">
        <v>1012</v>
      </c>
      <c r="N152" s="4" t="s">
        <v>83</v>
      </c>
      <c r="O152" s="4" t="s">
        <v>71</v>
      </c>
      <c r="P152" s="4" t="s">
        <v>71</v>
      </c>
      <c r="Q152" s="4"/>
      <c r="R152" s="4" t="s">
        <v>143</v>
      </c>
      <c r="S152" s="4" t="s">
        <v>71</v>
      </c>
      <c r="T152" s="4" t="s">
        <v>71</v>
      </c>
      <c r="U152" s="4" t="str">
        <f t="shared" si="2"/>
        <v>NO</v>
      </c>
    </row>
    <row r="153" spans="1:21" ht="42" customHeight="1">
      <c r="A153" s="4" t="s">
        <v>1237</v>
      </c>
      <c r="B153" s="4" t="s">
        <v>478</v>
      </c>
      <c r="C153" s="4" t="s">
        <v>433</v>
      </c>
      <c r="D153" s="4" t="s">
        <v>478</v>
      </c>
      <c r="E153" s="4" t="s">
        <v>433</v>
      </c>
      <c r="F153" s="4" t="s">
        <v>1009</v>
      </c>
      <c r="G153" s="4" t="s">
        <v>1238</v>
      </c>
      <c r="H153" s="4" t="s">
        <v>1018</v>
      </c>
      <c r="I153" s="4"/>
      <c r="J153" s="4" t="s">
        <v>1018</v>
      </c>
      <c r="K153" s="4" t="s">
        <v>58</v>
      </c>
      <c r="L153" s="4" t="s">
        <v>72</v>
      </c>
      <c r="M153" s="4" t="s">
        <v>1012</v>
      </c>
      <c r="N153" s="4" t="s">
        <v>72</v>
      </c>
      <c r="O153" s="4" t="s">
        <v>71</v>
      </c>
      <c r="P153" s="4" t="s">
        <v>71</v>
      </c>
      <c r="Q153" s="4"/>
      <c r="R153" s="4" t="s">
        <v>143</v>
      </c>
      <c r="S153" s="4" t="s">
        <v>71</v>
      </c>
      <c r="T153" s="4" t="s">
        <v>71</v>
      </c>
      <c r="U153" s="4" t="str">
        <f t="shared" si="2"/>
        <v>NO</v>
      </c>
    </row>
    <row r="154" spans="1:21" ht="42" customHeight="1">
      <c r="A154" s="4" t="s">
        <v>1239</v>
      </c>
      <c r="B154" s="4" t="s">
        <v>478</v>
      </c>
      <c r="C154" s="4" t="s">
        <v>279</v>
      </c>
      <c r="D154" s="4" t="s">
        <v>478</v>
      </c>
      <c r="E154" s="4" t="s">
        <v>279</v>
      </c>
      <c r="F154" s="4" t="s">
        <v>1009</v>
      </c>
      <c r="G154" s="4" t="s">
        <v>1044</v>
      </c>
      <c r="H154" s="4" t="s">
        <v>1011</v>
      </c>
      <c r="I154" s="4"/>
      <c r="J154" s="4" t="s">
        <v>1011</v>
      </c>
      <c r="K154" s="4" t="s">
        <v>58</v>
      </c>
      <c r="L154" s="4" t="s">
        <v>61</v>
      </c>
      <c r="M154" s="4" t="s">
        <v>1012</v>
      </c>
      <c r="N154" s="4" t="s">
        <v>61</v>
      </c>
      <c r="O154" s="4" t="s">
        <v>71</v>
      </c>
      <c r="P154" s="4" t="s">
        <v>71</v>
      </c>
      <c r="Q154" s="4"/>
      <c r="R154" s="4" t="s">
        <v>143</v>
      </c>
      <c r="S154" s="4" t="s">
        <v>71</v>
      </c>
      <c r="T154" s="4" t="s">
        <v>71</v>
      </c>
      <c r="U154" s="4" t="str">
        <f t="shared" si="2"/>
        <v>NO</v>
      </c>
    </row>
    <row r="155" spans="1:21" ht="42" customHeight="1">
      <c r="A155" s="4" t="s">
        <v>1240</v>
      </c>
      <c r="B155" s="4" t="s">
        <v>481</v>
      </c>
      <c r="C155" s="4" t="s">
        <v>424</v>
      </c>
      <c r="D155" s="4" t="s">
        <v>481</v>
      </c>
      <c r="E155" s="4" t="s">
        <v>424</v>
      </c>
      <c r="F155" s="4" t="s">
        <v>1009</v>
      </c>
      <c r="G155" s="4" t="s">
        <v>1241</v>
      </c>
      <c r="H155" s="4" t="s">
        <v>1018</v>
      </c>
      <c r="I155" s="4"/>
      <c r="J155" s="4" t="s">
        <v>1018</v>
      </c>
      <c r="K155" s="4" t="s">
        <v>72</v>
      </c>
      <c r="L155" s="4" t="s">
        <v>72</v>
      </c>
      <c r="M155" s="4" t="s">
        <v>1021</v>
      </c>
      <c r="N155" s="4" t="s">
        <v>72</v>
      </c>
      <c r="O155" s="4" t="s">
        <v>71</v>
      </c>
      <c r="P155" s="4" t="s">
        <v>71</v>
      </c>
      <c r="Q155" s="4"/>
      <c r="R155" s="4" t="s">
        <v>143</v>
      </c>
      <c r="S155" s="4" t="s">
        <v>71</v>
      </c>
      <c r="T155" s="4" t="s">
        <v>71</v>
      </c>
      <c r="U155" s="4" t="str">
        <f t="shared" si="2"/>
        <v>NO</v>
      </c>
    </row>
    <row r="156" spans="1:21" ht="42" customHeight="1">
      <c r="A156" s="4" t="s">
        <v>1242</v>
      </c>
      <c r="B156" s="4" t="s">
        <v>481</v>
      </c>
      <c r="C156" s="4" t="s">
        <v>448</v>
      </c>
      <c r="D156" s="4" t="s">
        <v>481</v>
      </c>
      <c r="E156" s="4" t="s">
        <v>448</v>
      </c>
      <c r="F156" s="4" t="s">
        <v>1009</v>
      </c>
      <c r="G156" s="4" t="s">
        <v>1243</v>
      </c>
      <c r="H156" s="4" t="s">
        <v>1018</v>
      </c>
      <c r="I156" s="4"/>
      <c r="J156" s="4" t="s">
        <v>1018</v>
      </c>
      <c r="K156" s="4" t="s">
        <v>72</v>
      </c>
      <c r="L156" s="4" t="s">
        <v>58</v>
      </c>
      <c r="M156" s="4" t="s">
        <v>1012</v>
      </c>
      <c r="N156" s="4" t="s">
        <v>72</v>
      </c>
      <c r="O156" s="4" t="s">
        <v>71</v>
      </c>
      <c r="P156" s="4" t="s">
        <v>71</v>
      </c>
      <c r="Q156" s="4"/>
      <c r="R156" s="4" t="s">
        <v>143</v>
      </c>
      <c r="S156" s="4" t="s">
        <v>71</v>
      </c>
      <c r="T156" s="4" t="s">
        <v>71</v>
      </c>
      <c r="U156" s="4" t="str">
        <f t="shared" si="2"/>
        <v>NO</v>
      </c>
    </row>
    <row r="157" spans="1:21" ht="42" customHeight="1">
      <c r="A157" s="4" t="s">
        <v>1244</v>
      </c>
      <c r="B157" s="4" t="s">
        <v>481</v>
      </c>
      <c r="C157" s="4" t="s">
        <v>442</v>
      </c>
      <c r="D157" s="4" t="s">
        <v>481</v>
      </c>
      <c r="E157" s="4" t="s">
        <v>442</v>
      </c>
      <c r="F157" s="4" t="s">
        <v>1009</v>
      </c>
      <c r="G157" s="4" t="s">
        <v>1245</v>
      </c>
      <c r="H157" s="4" t="s">
        <v>1018</v>
      </c>
      <c r="I157" s="4"/>
      <c r="J157" s="4" t="s">
        <v>1018</v>
      </c>
      <c r="K157" s="4" t="s">
        <v>72</v>
      </c>
      <c r="L157" s="4" t="s">
        <v>72</v>
      </c>
      <c r="M157" s="4" t="s">
        <v>1021</v>
      </c>
      <c r="N157" s="4" t="s">
        <v>72</v>
      </c>
      <c r="O157" s="4" t="s">
        <v>71</v>
      </c>
      <c r="P157" s="4" t="s">
        <v>71</v>
      </c>
      <c r="Q157" s="4"/>
      <c r="R157" s="4" t="s">
        <v>143</v>
      </c>
      <c r="S157" s="4" t="s">
        <v>71</v>
      </c>
      <c r="T157" s="4" t="s">
        <v>71</v>
      </c>
      <c r="U157" s="4" t="str">
        <f t="shared" si="2"/>
        <v>NO</v>
      </c>
    </row>
    <row r="158" spans="1:21" ht="42" customHeight="1">
      <c r="A158" s="4" t="s">
        <v>1246</v>
      </c>
      <c r="B158" s="4" t="s">
        <v>486</v>
      </c>
      <c r="C158" s="4" t="s">
        <v>367</v>
      </c>
      <c r="D158" s="4" t="s">
        <v>486</v>
      </c>
      <c r="E158" s="4" t="s">
        <v>367</v>
      </c>
      <c r="F158" s="4" t="s">
        <v>1009</v>
      </c>
      <c r="G158" s="4" t="s">
        <v>1247</v>
      </c>
      <c r="H158" s="4" t="s">
        <v>1018</v>
      </c>
      <c r="I158" s="4"/>
      <c r="J158" s="4" t="s">
        <v>1018</v>
      </c>
      <c r="K158" s="4" t="s">
        <v>58</v>
      </c>
      <c r="L158" s="4" t="s">
        <v>92</v>
      </c>
      <c r="M158" s="4" t="s">
        <v>1012</v>
      </c>
      <c r="N158" s="4" t="s">
        <v>92</v>
      </c>
      <c r="O158" s="4" t="s">
        <v>71</v>
      </c>
      <c r="P158" s="4" t="s">
        <v>71</v>
      </c>
      <c r="Q158" s="4"/>
      <c r="R158" s="4" t="s">
        <v>143</v>
      </c>
      <c r="S158" s="4" t="s">
        <v>71</v>
      </c>
      <c r="T158" s="4" t="s">
        <v>71</v>
      </c>
      <c r="U158" s="4" t="str">
        <f t="shared" si="2"/>
        <v>NO</v>
      </c>
    </row>
    <row r="159" spans="1:21" ht="42" customHeight="1">
      <c r="A159" s="4" t="s">
        <v>1248</v>
      </c>
      <c r="B159" s="4" t="s">
        <v>486</v>
      </c>
      <c r="C159" s="4" t="s">
        <v>433</v>
      </c>
      <c r="D159" s="4" t="s">
        <v>486</v>
      </c>
      <c r="E159" s="4" t="s">
        <v>433</v>
      </c>
      <c r="F159" s="4" t="s">
        <v>1009</v>
      </c>
      <c r="G159" s="4" t="s">
        <v>1249</v>
      </c>
      <c r="H159" s="4" t="s">
        <v>1011</v>
      </c>
      <c r="I159" s="4"/>
      <c r="J159" s="4" t="s">
        <v>1011</v>
      </c>
      <c r="K159" s="4" t="s">
        <v>58</v>
      </c>
      <c r="L159" s="4" t="s">
        <v>72</v>
      </c>
      <c r="M159" s="4" t="s">
        <v>1012</v>
      </c>
      <c r="N159" s="4" t="s">
        <v>72</v>
      </c>
      <c r="O159" s="4" t="s">
        <v>71</v>
      </c>
      <c r="P159" s="4" t="s">
        <v>71</v>
      </c>
      <c r="Q159" s="4"/>
      <c r="R159" s="4" t="s">
        <v>143</v>
      </c>
      <c r="S159" s="4" t="s">
        <v>71</v>
      </c>
      <c r="T159" s="4" t="s">
        <v>71</v>
      </c>
      <c r="U159" s="4" t="str">
        <f t="shared" si="2"/>
        <v>NO</v>
      </c>
    </row>
    <row r="160" spans="1:21" ht="42" customHeight="1">
      <c r="A160" s="4" t="s">
        <v>1250</v>
      </c>
      <c r="B160" s="4" t="s">
        <v>489</v>
      </c>
      <c r="C160" s="4" t="s">
        <v>384</v>
      </c>
      <c r="D160" s="4" t="s">
        <v>489</v>
      </c>
      <c r="E160" s="4" t="s">
        <v>384</v>
      </c>
      <c r="F160" s="4" t="s">
        <v>1009</v>
      </c>
      <c r="G160" s="4" t="s">
        <v>1251</v>
      </c>
      <c r="H160" s="4" t="s">
        <v>1018</v>
      </c>
      <c r="I160" s="4"/>
      <c r="J160" s="4" t="s">
        <v>1018</v>
      </c>
      <c r="K160" s="4" t="s">
        <v>83</v>
      </c>
      <c r="L160" s="4" t="s">
        <v>58</v>
      </c>
      <c r="M160" s="4" t="s">
        <v>1012</v>
      </c>
      <c r="N160" s="4" t="s">
        <v>83</v>
      </c>
      <c r="O160" s="4" t="s">
        <v>71</v>
      </c>
      <c r="P160" s="4" t="s">
        <v>71</v>
      </c>
      <c r="Q160" s="4"/>
      <c r="R160" s="4" t="s">
        <v>143</v>
      </c>
      <c r="S160" s="4" t="s">
        <v>71</v>
      </c>
      <c r="T160" s="4" t="s">
        <v>71</v>
      </c>
      <c r="U160" s="4" t="str">
        <f t="shared" si="2"/>
        <v>NO</v>
      </c>
    </row>
    <row r="161" spans="1:21" ht="42" customHeight="1">
      <c r="A161" s="4" t="s">
        <v>1252</v>
      </c>
      <c r="B161" s="4" t="s">
        <v>493</v>
      </c>
      <c r="C161" s="4" t="s">
        <v>265</v>
      </c>
      <c r="D161" s="4" t="s">
        <v>493</v>
      </c>
      <c r="E161" s="4" t="s">
        <v>265</v>
      </c>
      <c r="F161" s="4" t="s">
        <v>1009</v>
      </c>
      <c r="G161" s="4" t="s">
        <v>1253</v>
      </c>
      <c r="H161" s="4" t="s">
        <v>1018</v>
      </c>
      <c r="I161" s="4"/>
      <c r="J161" s="4" t="s">
        <v>1018</v>
      </c>
      <c r="K161" s="4" t="s">
        <v>61</v>
      </c>
      <c r="L161" s="4" t="s">
        <v>92</v>
      </c>
      <c r="M161" s="4" t="s">
        <v>1012</v>
      </c>
      <c r="N161" s="4" t="s">
        <v>92</v>
      </c>
      <c r="O161" s="4" t="s">
        <v>71</v>
      </c>
      <c r="P161" s="4" t="s">
        <v>71</v>
      </c>
      <c r="Q161" s="4"/>
      <c r="R161" s="4" t="s">
        <v>143</v>
      </c>
      <c r="S161" s="4" t="s">
        <v>71</v>
      </c>
      <c r="T161" s="4" t="s">
        <v>71</v>
      </c>
      <c r="U161" s="4" t="str">
        <f t="shared" si="2"/>
        <v>NO</v>
      </c>
    </row>
    <row r="162" spans="1:21" ht="42" customHeight="1">
      <c r="A162" s="4" t="s">
        <v>1254</v>
      </c>
      <c r="B162" s="4" t="s">
        <v>493</v>
      </c>
      <c r="C162" s="4" t="s">
        <v>245</v>
      </c>
      <c r="D162" s="4" t="s">
        <v>493</v>
      </c>
      <c r="E162" s="4" t="s">
        <v>245</v>
      </c>
      <c r="F162" s="4" t="s">
        <v>1009</v>
      </c>
      <c r="G162" s="4" t="s">
        <v>1039</v>
      </c>
      <c r="H162" s="4" t="s">
        <v>1011</v>
      </c>
      <c r="I162" s="4"/>
      <c r="J162" s="4" t="s">
        <v>1011</v>
      </c>
      <c r="K162" s="4" t="s">
        <v>61</v>
      </c>
      <c r="L162" s="4" t="s">
        <v>86</v>
      </c>
      <c r="M162" s="4" t="s">
        <v>1012</v>
      </c>
      <c r="N162" s="4" t="s">
        <v>86</v>
      </c>
      <c r="O162" s="4" t="s">
        <v>71</v>
      </c>
      <c r="P162" s="4" t="s">
        <v>71</v>
      </c>
      <c r="Q162" s="4"/>
      <c r="R162" s="4" t="s">
        <v>143</v>
      </c>
      <c r="S162" s="4" t="s">
        <v>71</v>
      </c>
      <c r="T162" s="4" t="s">
        <v>71</v>
      </c>
      <c r="U162" s="4" t="str">
        <f t="shared" si="2"/>
        <v>NO</v>
      </c>
    </row>
    <row r="163" spans="1:21" ht="42" customHeight="1">
      <c r="A163" s="4" t="s">
        <v>1255</v>
      </c>
      <c r="B163" s="4" t="s">
        <v>496</v>
      </c>
      <c r="C163" s="4" t="s">
        <v>364</v>
      </c>
      <c r="D163" s="4" t="s">
        <v>496</v>
      </c>
      <c r="E163" s="4" t="s">
        <v>364</v>
      </c>
      <c r="F163" s="4" t="s">
        <v>1009</v>
      </c>
      <c r="G163" s="4" t="s">
        <v>1256</v>
      </c>
      <c r="H163" s="4" t="s">
        <v>1018</v>
      </c>
      <c r="I163" s="4"/>
      <c r="J163" s="4" t="s">
        <v>1018</v>
      </c>
      <c r="K163" s="4" t="s">
        <v>75</v>
      </c>
      <c r="L163" s="4" t="s">
        <v>72</v>
      </c>
      <c r="M163" s="4" t="s">
        <v>1012</v>
      </c>
      <c r="N163" s="4" t="s">
        <v>75</v>
      </c>
      <c r="O163" s="4" t="s">
        <v>71</v>
      </c>
      <c r="P163" s="4" t="s">
        <v>71</v>
      </c>
      <c r="Q163" s="4"/>
      <c r="R163" s="4" t="s">
        <v>143</v>
      </c>
      <c r="S163" s="4" t="s">
        <v>71</v>
      </c>
      <c r="T163" s="4" t="s">
        <v>71</v>
      </c>
      <c r="U163" s="4" t="str">
        <f t="shared" si="2"/>
        <v>NO</v>
      </c>
    </row>
    <row r="164" spans="1:21" ht="42" customHeight="1">
      <c r="A164" s="4" t="s">
        <v>1257</v>
      </c>
      <c r="B164" s="4" t="s">
        <v>496</v>
      </c>
      <c r="C164" s="4" t="s">
        <v>167</v>
      </c>
      <c r="D164" s="4" t="s">
        <v>496</v>
      </c>
      <c r="E164" s="4" t="s">
        <v>167</v>
      </c>
      <c r="F164" s="4" t="s">
        <v>1009</v>
      </c>
      <c r="G164" s="4" t="s">
        <v>1258</v>
      </c>
      <c r="H164" s="4" t="s">
        <v>1018</v>
      </c>
      <c r="I164" s="4"/>
      <c r="J164" s="4" t="s">
        <v>1018</v>
      </c>
      <c r="K164" s="4" t="s">
        <v>75</v>
      </c>
      <c r="L164" s="4" t="s">
        <v>72</v>
      </c>
      <c r="M164" s="4" t="s">
        <v>1012</v>
      </c>
      <c r="N164" s="4" t="s">
        <v>75</v>
      </c>
      <c r="O164" s="4" t="s">
        <v>71</v>
      </c>
      <c r="P164" s="4" t="s">
        <v>71</v>
      </c>
      <c r="Q164" s="4"/>
      <c r="R164" s="4" t="s">
        <v>143</v>
      </c>
      <c r="S164" s="4" t="s">
        <v>71</v>
      </c>
      <c r="T164" s="4" t="s">
        <v>71</v>
      </c>
      <c r="U164" s="4" t="str">
        <f t="shared" si="2"/>
        <v>NO</v>
      </c>
    </row>
    <row r="165" spans="1:21" ht="42" customHeight="1">
      <c r="A165" s="4" t="s">
        <v>1259</v>
      </c>
      <c r="B165" s="4" t="s">
        <v>498</v>
      </c>
      <c r="C165" s="4" t="s">
        <v>265</v>
      </c>
      <c r="D165" s="4" t="s">
        <v>498</v>
      </c>
      <c r="E165" s="4" t="s">
        <v>265</v>
      </c>
      <c r="F165" s="4" t="s">
        <v>1009</v>
      </c>
      <c r="G165" s="4" t="s">
        <v>1260</v>
      </c>
      <c r="H165" s="4" t="s">
        <v>1018</v>
      </c>
      <c r="I165" s="4"/>
      <c r="J165" s="4" t="s">
        <v>1018</v>
      </c>
      <c r="K165" s="4" t="s">
        <v>77</v>
      </c>
      <c r="L165" s="4" t="s">
        <v>92</v>
      </c>
      <c r="M165" s="4" t="s">
        <v>1012</v>
      </c>
      <c r="N165" s="4" t="s">
        <v>92</v>
      </c>
      <c r="O165" s="4" t="s">
        <v>71</v>
      </c>
      <c r="P165" s="4" t="s">
        <v>71</v>
      </c>
      <c r="Q165" s="4"/>
      <c r="R165" s="4" t="s">
        <v>143</v>
      </c>
      <c r="S165" s="4" t="s">
        <v>71</v>
      </c>
      <c r="T165" s="4" t="s">
        <v>71</v>
      </c>
      <c r="U165" s="4" t="str">
        <f t="shared" si="2"/>
        <v>NO</v>
      </c>
    </row>
    <row r="166" spans="1:21" ht="42" customHeight="1">
      <c r="A166" s="4" t="s">
        <v>1261</v>
      </c>
      <c r="B166" s="4" t="s">
        <v>498</v>
      </c>
      <c r="C166" s="4" t="s">
        <v>469</v>
      </c>
      <c r="D166" s="4" t="s">
        <v>498</v>
      </c>
      <c r="E166" s="4" t="s">
        <v>469</v>
      </c>
      <c r="F166" s="4" t="s">
        <v>1009</v>
      </c>
      <c r="G166" s="4" t="s">
        <v>1262</v>
      </c>
      <c r="H166" s="4" t="s">
        <v>1018</v>
      </c>
      <c r="I166" s="4"/>
      <c r="J166" s="4" t="s">
        <v>1018</v>
      </c>
      <c r="K166" s="4" t="s">
        <v>77</v>
      </c>
      <c r="L166" s="4" t="s">
        <v>83</v>
      </c>
      <c r="M166" s="4" t="s">
        <v>1012</v>
      </c>
      <c r="N166" s="4" t="s">
        <v>83</v>
      </c>
      <c r="O166" s="4" t="s">
        <v>71</v>
      </c>
      <c r="P166" s="4" t="s">
        <v>71</v>
      </c>
      <c r="Q166" s="4"/>
      <c r="R166" s="4" t="s">
        <v>143</v>
      </c>
      <c r="S166" s="4" t="s">
        <v>71</v>
      </c>
      <c r="T166" s="4" t="s">
        <v>71</v>
      </c>
      <c r="U166" s="4" t="str">
        <f t="shared" si="2"/>
        <v>NO</v>
      </c>
    </row>
    <row r="167" spans="1:21" ht="42" customHeight="1">
      <c r="A167" s="4" t="s">
        <v>1263</v>
      </c>
      <c r="B167" s="4" t="s">
        <v>501</v>
      </c>
      <c r="C167" s="4" t="s">
        <v>469</v>
      </c>
      <c r="D167" s="4" t="s">
        <v>501</v>
      </c>
      <c r="E167" s="4" t="s">
        <v>469</v>
      </c>
      <c r="F167" s="4" t="s">
        <v>1009</v>
      </c>
      <c r="G167" s="4" t="s">
        <v>1264</v>
      </c>
      <c r="H167" s="4" t="s">
        <v>1018</v>
      </c>
      <c r="I167" s="4"/>
      <c r="J167" s="4" t="s">
        <v>1018</v>
      </c>
      <c r="K167" s="4" t="s">
        <v>81</v>
      </c>
      <c r="L167" s="4" t="s">
        <v>83</v>
      </c>
      <c r="M167" s="4" t="s">
        <v>1012</v>
      </c>
      <c r="N167" s="4" t="s">
        <v>83</v>
      </c>
      <c r="O167" s="4" t="s">
        <v>71</v>
      </c>
      <c r="P167" s="4" t="s">
        <v>71</v>
      </c>
      <c r="Q167" s="4"/>
      <c r="R167" s="4" t="s">
        <v>143</v>
      </c>
      <c r="S167" s="4" t="s">
        <v>71</v>
      </c>
      <c r="T167" s="4" t="s">
        <v>71</v>
      </c>
      <c r="U167" s="4" t="str">
        <f t="shared" si="2"/>
        <v>NO</v>
      </c>
    </row>
    <row r="168" spans="1:21" ht="42" customHeight="1">
      <c r="A168" s="4" t="s">
        <v>1265</v>
      </c>
      <c r="B168" s="4" t="s">
        <v>505</v>
      </c>
      <c r="C168" s="4" t="s">
        <v>475</v>
      </c>
      <c r="D168" s="4" t="s">
        <v>505</v>
      </c>
      <c r="E168" s="4" t="s">
        <v>475</v>
      </c>
      <c r="F168" s="4" t="s">
        <v>1009</v>
      </c>
      <c r="G168" s="4" t="s">
        <v>1266</v>
      </c>
      <c r="H168" s="4" t="s">
        <v>1018</v>
      </c>
      <c r="I168" s="4"/>
      <c r="J168" s="4" t="s">
        <v>1018</v>
      </c>
      <c r="K168" s="4" t="s">
        <v>58</v>
      </c>
      <c r="L168" s="4" t="s">
        <v>61</v>
      </c>
      <c r="M168" s="4" t="s">
        <v>1012</v>
      </c>
      <c r="N168" s="4" t="s">
        <v>61</v>
      </c>
      <c r="O168" s="4" t="s">
        <v>71</v>
      </c>
      <c r="P168" s="4" t="s">
        <v>71</v>
      </c>
      <c r="Q168" s="4"/>
      <c r="R168" s="4" t="s">
        <v>143</v>
      </c>
      <c r="S168" s="4" t="s">
        <v>71</v>
      </c>
      <c r="T168" s="4" t="s">
        <v>71</v>
      </c>
      <c r="U168" s="4" t="str">
        <f t="shared" si="2"/>
        <v>NO</v>
      </c>
    </row>
    <row r="169" spans="1:21" ht="42" customHeight="1">
      <c r="A169" s="4" t="s">
        <v>1267</v>
      </c>
      <c r="B169" s="4" t="s">
        <v>505</v>
      </c>
      <c r="C169" s="4" t="s">
        <v>167</v>
      </c>
      <c r="D169" s="4" t="s">
        <v>505</v>
      </c>
      <c r="E169" s="4" t="s">
        <v>167</v>
      </c>
      <c r="F169" s="4" t="s">
        <v>1009</v>
      </c>
      <c r="G169" s="4" t="s">
        <v>1268</v>
      </c>
      <c r="H169" s="4" t="s">
        <v>1018</v>
      </c>
      <c r="I169" s="4"/>
      <c r="J169" s="4" t="s">
        <v>1018</v>
      </c>
      <c r="K169" s="4" t="s">
        <v>58</v>
      </c>
      <c r="L169" s="4" t="s">
        <v>72</v>
      </c>
      <c r="M169" s="4" t="s">
        <v>1012</v>
      </c>
      <c r="N169" s="4" t="s">
        <v>72</v>
      </c>
      <c r="O169" s="4" t="s">
        <v>71</v>
      </c>
      <c r="P169" s="4" t="s">
        <v>71</v>
      </c>
      <c r="Q169" s="4"/>
      <c r="R169" s="4" t="s">
        <v>143</v>
      </c>
      <c r="S169" s="4" t="s">
        <v>71</v>
      </c>
      <c r="T169" s="4" t="s">
        <v>71</v>
      </c>
      <c r="U169" s="4" t="str">
        <f t="shared" si="2"/>
        <v>NO</v>
      </c>
    </row>
    <row r="170" spans="1:21" ht="42" customHeight="1">
      <c r="A170" s="4" t="s">
        <v>1269</v>
      </c>
      <c r="B170" s="4" t="s">
        <v>508</v>
      </c>
      <c r="C170" s="4" t="s">
        <v>265</v>
      </c>
      <c r="D170" s="4" t="s">
        <v>508</v>
      </c>
      <c r="E170" s="4" t="s">
        <v>265</v>
      </c>
      <c r="F170" s="4" t="s">
        <v>1009</v>
      </c>
      <c r="G170" s="4" t="s">
        <v>1270</v>
      </c>
      <c r="H170" s="4" t="s">
        <v>1018</v>
      </c>
      <c r="I170" s="4"/>
      <c r="J170" s="4" t="s">
        <v>1018</v>
      </c>
      <c r="K170" s="4" t="s">
        <v>58</v>
      </c>
      <c r="L170" s="4" t="s">
        <v>92</v>
      </c>
      <c r="M170" s="4" t="s">
        <v>1012</v>
      </c>
      <c r="N170" s="4" t="s">
        <v>92</v>
      </c>
      <c r="O170" s="4" t="s">
        <v>71</v>
      </c>
      <c r="P170" s="4" t="s">
        <v>71</v>
      </c>
      <c r="Q170" s="4"/>
      <c r="R170" s="4" t="s">
        <v>143</v>
      </c>
      <c r="S170" s="4" t="s">
        <v>71</v>
      </c>
      <c r="T170" s="4" t="s">
        <v>71</v>
      </c>
      <c r="U170" s="4" t="str">
        <f t="shared" si="2"/>
        <v>NO</v>
      </c>
    </row>
    <row r="171" spans="1:21" ht="42" customHeight="1">
      <c r="A171" s="4" t="s">
        <v>1271</v>
      </c>
      <c r="B171" s="4" t="s">
        <v>508</v>
      </c>
      <c r="C171" s="4" t="s">
        <v>455</v>
      </c>
      <c r="D171" s="4" t="s">
        <v>508</v>
      </c>
      <c r="E171" s="4" t="s">
        <v>455</v>
      </c>
      <c r="F171" s="4" t="s">
        <v>1009</v>
      </c>
      <c r="G171" s="4" t="s">
        <v>1272</v>
      </c>
      <c r="H171" s="4" t="s">
        <v>1018</v>
      </c>
      <c r="I171" s="4"/>
      <c r="J171" s="4" t="s">
        <v>1018</v>
      </c>
      <c r="K171" s="4" t="s">
        <v>58</v>
      </c>
      <c r="L171" s="4" t="s">
        <v>86</v>
      </c>
      <c r="M171" s="4" t="s">
        <v>1012</v>
      </c>
      <c r="N171" s="4" t="s">
        <v>86</v>
      </c>
      <c r="O171" s="4" t="s">
        <v>71</v>
      </c>
      <c r="P171" s="4" t="s">
        <v>71</v>
      </c>
      <c r="Q171" s="4"/>
      <c r="R171" s="4" t="s">
        <v>143</v>
      </c>
      <c r="S171" s="4" t="s">
        <v>71</v>
      </c>
      <c r="T171" s="4" t="s">
        <v>71</v>
      </c>
      <c r="U171" s="4" t="str">
        <f t="shared" si="2"/>
        <v>NO</v>
      </c>
    </row>
    <row r="172" spans="1:21" ht="42" customHeight="1">
      <c r="A172" s="4" t="s">
        <v>1273</v>
      </c>
      <c r="B172" s="4" t="s">
        <v>512</v>
      </c>
      <c r="C172" s="4" t="s">
        <v>265</v>
      </c>
      <c r="D172" s="4" t="s">
        <v>512</v>
      </c>
      <c r="E172" s="4" t="s">
        <v>265</v>
      </c>
      <c r="F172" s="4" t="s">
        <v>1009</v>
      </c>
      <c r="G172" s="4" t="s">
        <v>1274</v>
      </c>
      <c r="H172" s="4" t="s">
        <v>1018</v>
      </c>
      <c r="I172" s="4"/>
      <c r="J172" s="4" t="s">
        <v>1018</v>
      </c>
      <c r="K172" s="4" t="s">
        <v>92</v>
      </c>
      <c r="L172" s="4" t="s">
        <v>92</v>
      </c>
      <c r="M172" s="4" t="s">
        <v>1021</v>
      </c>
      <c r="N172" s="4" t="s">
        <v>92</v>
      </c>
      <c r="O172" s="4" t="s">
        <v>71</v>
      </c>
      <c r="P172" s="4" t="s">
        <v>71</v>
      </c>
      <c r="Q172" s="4"/>
      <c r="R172" s="4" t="s">
        <v>143</v>
      </c>
      <c r="S172" s="4" t="s">
        <v>71</v>
      </c>
      <c r="T172" s="4" t="s">
        <v>71</v>
      </c>
      <c r="U172" s="4" t="str">
        <f t="shared" si="2"/>
        <v>NO</v>
      </c>
    </row>
    <row r="173" spans="1:21" ht="42" customHeight="1">
      <c r="A173" s="4" t="s">
        <v>1275</v>
      </c>
      <c r="B173" s="4" t="s">
        <v>512</v>
      </c>
      <c r="C173" s="4" t="s">
        <v>461</v>
      </c>
      <c r="D173" s="4" t="s">
        <v>512</v>
      </c>
      <c r="E173" s="4" t="s">
        <v>461</v>
      </c>
      <c r="F173" s="4" t="s">
        <v>1009</v>
      </c>
      <c r="G173" s="4" t="s">
        <v>1276</v>
      </c>
      <c r="H173" s="4" t="s">
        <v>1018</v>
      </c>
      <c r="I173" s="4"/>
      <c r="J173" s="4" t="s">
        <v>1018</v>
      </c>
      <c r="K173" s="4" t="s">
        <v>92</v>
      </c>
      <c r="L173" s="4" t="s">
        <v>92</v>
      </c>
      <c r="M173" s="4" t="s">
        <v>1021</v>
      </c>
      <c r="N173" s="4" t="s">
        <v>92</v>
      </c>
      <c r="O173" s="4" t="s">
        <v>71</v>
      </c>
      <c r="P173" s="4" t="s">
        <v>71</v>
      </c>
      <c r="Q173" s="4"/>
      <c r="R173" s="4" t="s">
        <v>143</v>
      </c>
      <c r="S173" s="4" t="s">
        <v>71</v>
      </c>
      <c r="T173" s="4" t="s">
        <v>71</v>
      </c>
      <c r="U173" s="4" t="str">
        <f t="shared" si="2"/>
        <v>NO</v>
      </c>
    </row>
    <row r="174" spans="1:21" ht="42" customHeight="1">
      <c r="A174" s="4" t="s">
        <v>1277</v>
      </c>
      <c r="B174" s="4" t="s">
        <v>512</v>
      </c>
      <c r="C174" s="4" t="s">
        <v>478</v>
      </c>
      <c r="D174" s="4" t="s">
        <v>512</v>
      </c>
      <c r="E174" s="4" t="s">
        <v>478</v>
      </c>
      <c r="F174" s="4" t="s">
        <v>1009</v>
      </c>
      <c r="G174" s="4" t="s">
        <v>1278</v>
      </c>
      <c r="H174" s="4" t="s">
        <v>1018</v>
      </c>
      <c r="I174" s="4"/>
      <c r="J174" s="4" t="s">
        <v>1018</v>
      </c>
      <c r="K174" s="4" t="s">
        <v>92</v>
      </c>
      <c r="L174" s="4" t="s">
        <v>58</v>
      </c>
      <c r="M174" s="4" t="s">
        <v>1012</v>
      </c>
      <c r="N174" s="4" t="s">
        <v>92</v>
      </c>
      <c r="O174" s="4" t="s">
        <v>71</v>
      </c>
      <c r="P174" s="4" t="s">
        <v>71</v>
      </c>
      <c r="Q174" s="4"/>
      <c r="R174" s="4" t="s">
        <v>143</v>
      </c>
      <c r="S174" s="4" t="s">
        <v>71</v>
      </c>
      <c r="T174" s="4" t="s">
        <v>71</v>
      </c>
      <c r="U174" s="4" t="str">
        <f t="shared" si="2"/>
        <v>NO</v>
      </c>
    </row>
    <row r="175" spans="1:21" ht="42" customHeight="1">
      <c r="A175" s="4" t="s">
        <v>1279</v>
      </c>
      <c r="B175" s="4" t="s">
        <v>515</v>
      </c>
      <c r="C175" s="4" t="s">
        <v>455</v>
      </c>
      <c r="D175" s="4" t="s">
        <v>515</v>
      </c>
      <c r="E175" s="4" t="s">
        <v>455</v>
      </c>
      <c r="F175" s="4" t="s">
        <v>1009</v>
      </c>
      <c r="G175" s="4" t="s">
        <v>1280</v>
      </c>
      <c r="H175" s="4" t="s">
        <v>1018</v>
      </c>
      <c r="I175" s="4"/>
      <c r="J175" s="4" t="s">
        <v>1018</v>
      </c>
      <c r="K175" s="4" t="s">
        <v>48</v>
      </c>
      <c r="L175" s="4" t="s">
        <v>86</v>
      </c>
      <c r="M175" s="4" t="s">
        <v>1012</v>
      </c>
      <c r="N175" s="4" t="s">
        <v>86</v>
      </c>
      <c r="O175" s="4" t="s">
        <v>71</v>
      </c>
      <c r="P175" s="4" t="s">
        <v>71</v>
      </c>
      <c r="Q175" s="4"/>
      <c r="R175" s="4" t="s">
        <v>143</v>
      </c>
      <c r="S175" s="4" t="s">
        <v>71</v>
      </c>
      <c r="T175" s="4" t="s">
        <v>71</v>
      </c>
      <c r="U175" s="4" t="str">
        <f t="shared" si="2"/>
        <v>NO</v>
      </c>
    </row>
    <row r="176" spans="1:21" ht="42" customHeight="1">
      <c r="A176" s="4" t="s">
        <v>1281</v>
      </c>
      <c r="B176" s="4" t="s">
        <v>515</v>
      </c>
      <c r="C176" s="4" t="s">
        <v>458</v>
      </c>
      <c r="D176" s="4" t="s">
        <v>515</v>
      </c>
      <c r="E176" s="4" t="s">
        <v>458</v>
      </c>
      <c r="F176" s="4" t="s">
        <v>1009</v>
      </c>
      <c r="G176" s="4" t="s">
        <v>1282</v>
      </c>
      <c r="H176" s="4" t="s">
        <v>1018</v>
      </c>
      <c r="I176" s="4"/>
      <c r="J176" s="4" t="s">
        <v>1018</v>
      </c>
      <c r="K176" s="4" t="s">
        <v>48</v>
      </c>
      <c r="L176" s="4" t="s">
        <v>55</v>
      </c>
      <c r="M176" s="4" t="s">
        <v>1012</v>
      </c>
      <c r="N176" s="4" t="s">
        <v>55</v>
      </c>
      <c r="O176" s="4" t="s">
        <v>71</v>
      </c>
      <c r="P176" s="4" t="s">
        <v>71</v>
      </c>
      <c r="Q176" s="4"/>
      <c r="R176" s="4" t="s">
        <v>143</v>
      </c>
      <c r="S176" s="4" t="s">
        <v>71</v>
      </c>
      <c r="T176" s="4" t="s">
        <v>71</v>
      </c>
      <c r="U176" s="4" t="str">
        <f t="shared" si="2"/>
        <v>NO</v>
      </c>
    </row>
    <row r="177" spans="1:21" ht="42" customHeight="1">
      <c r="A177" s="4" t="s">
        <v>1283</v>
      </c>
      <c r="B177" s="4" t="s">
        <v>515</v>
      </c>
      <c r="C177" s="4" t="s">
        <v>226</v>
      </c>
      <c r="D177" s="4" t="s">
        <v>515</v>
      </c>
      <c r="E177" s="4" t="s">
        <v>226</v>
      </c>
      <c r="F177" s="4" t="s">
        <v>1009</v>
      </c>
      <c r="G177" s="4" t="s">
        <v>1284</v>
      </c>
      <c r="H177" s="4" t="s">
        <v>1018</v>
      </c>
      <c r="I177" s="4"/>
      <c r="J177" s="4" t="s">
        <v>1018</v>
      </c>
      <c r="K177" s="4" t="s">
        <v>48</v>
      </c>
      <c r="L177" s="4" t="s">
        <v>92</v>
      </c>
      <c r="M177" s="4" t="s">
        <v>1012</v>
      </c>
      <c r="N177" s="4" t="s">
        <v>92</v>
      </c>
      <c r="O177" s="4" t="s">
        <v>71</v>
      </c>
      <c r="P177" s="4" t="s">
        <v>71</v>
      </c>
      <c r="Q177" s="4"/>
      <c r="R177" s="4" t="s">
        <v>143</v>
      </c>
      <c r="S177" s="4" t="s">
        <v>71</v>
      </c>
      <c r="T177" s="4" t="s">
        <v>71</v>
      </c>
      <c r="U177" s="4" t="str">
        <f t="shared" si="2"/>
        <v>NO</v>
      </c>
    </row>
    <row r="178" spans="1:21" ht="42" customHeight="1">
      <c r="A178" s="4" t="s">
        <v>1285</v>
      </c>
      <c r="B178" s="4" t="s">
        <v>527</v>
      </c>
      <c r="C178" s="4" t="s">
        <v>469</v>
      </c>
      <c r="D178" s="4" t="s">
        <v>527</v>
      </c>
      <c r="E178" s="4" t="s">
        <v>469</v>
      </c>
      <c r="F178" s="4" t="s">
        <v>1009</v>
      </c>
      <c r="G178" s="4" t="s">
        <v>1286</v>
      </c>
      <c r="H178" s="4" t="s">
        <v>1018</v>
      </c>
      <c r="I178" s="4"/>
      <c r="J178" s="4" t="s">
        <v>1018</v>
      </c>
      <c r="K178" s="4" t="s">
        <v>69</v>
      </c>
      <c r="L178" s="4" t="s">
        <v>83</v>
      </c>
      <c r="M178" s="4" t="s">
        <v>1012</v>
      </c>
      <c r="N178" s="4" t="s">
        <v>83</v>
      </c>
      <c r="O178" s="4" t="s">
        <v>71</v>
      </c>
      <c r="P178" s="4" t="s">
        <v>71</v>
      </c>
      <c r="Q178" s="4"/>
      <c r="R178" s="4" t="s">
        <v>143</v>
      </c>
      <c r="S178" s="4" t="s">
        <v>71</v>
      </c>
      <c r="T178" s="4" t="s">
        <v>71</v>
      </c>
      <c r="U178" s="4" t="str">
        <f t="shared" si="2"/>
        <v>NO</v>
      </c>
    </row>
    <row r="179" spans="1:21" ht="42" customHeight="1">
      <c r="A179" s="4" t="s">
        <v>1287</v>
      </c>
      <c r="B179" s="4" t="s">
        <v>527</v>
      </c>
      <c r="C179" s="4" t="s">
        <v>486</v>
      </c>
      <c r="D179" s="4" t="s">
        <v>527</v>
      </c>
      <c r="E179" s="4" t="s">
        <v>486</v>
      </c>
      <c r="F179" s="4" t="s">
        <v>1009</v>
      </c>
      <c r="G179" s="4" t="s">
        <v>1288</v>
      </c>
      <c r="H179" s="4" t="s">
        <v>1018</v>
      </c>
      <c r="I179" s="4"/>
      <c r="J179" s="4" t="s">
        <v>1018</v>
      </c>
      <c r="K179" s="4" t="s">
        <v>69</v>
      </c>
      <c r="L179" s="4" t="s">
        <v>58</v>
      </c>
      <c r="M179" s="4" t="s">
        <v>1012</v>
      </c>
      <c r="N179" s="4" t="s">
        <v>69</v>
      </c>
      <c r="O179" s="4" t="s">
        <v>71</v>
      </c>
      <c r="P179" s="4" t="s">
        <v>71</v>
      </c>
      <c r="Q179" s="4"/>
      <c r="R179" s="4" t="s">
        <v>143</v>
      </c>
      <c r="S179" s="4" t="s">
        <v>71</v>
      </c>
      <c r="T179" s="4" t="s">
        <v>71</v>
      </c>
      <c r="U179" s="4" t="str">
        <f t="shared" si="2"/>
        <v>NO</v>
      </c>
    </row>
    <row r="180" spans="1:21" ht="42" customHeight="1">
      <c r="A180" s="4" t="s">
        <v>1289</v>
      </c>
      <c r="B180" s="4" t="s">
        <v>530</v>
      </c>
      <c r="C180" s="4" t="s">
        <v>481</v>
      </c>
      <c r="D180" s="4" t="s">
        <v>530</v>
      </c>
      <c r="E180" s="4" t="s">
        <v>481</v>
      </c>
      <c r="F180" s="4" t="s">
        <v>1009</v>
      </c>
      <c r="G180" s="4" t="s">
        <v>1290</v>
      </c>
      <c r="H180" s="4" t="s">
        <v>1018</v>
      </c>
      <c r="I180" s="4"/>
      <c r="J180" s="4" t="s">
        <v>1018</v>
      </c>
      <c r="K180" s="4" t="s">
        <v>83</v>
      </c>
      <c r="L180" s="4" t="s">
        <v>72</v>
      </c>
      <c r="M180" s="4" t="s">
        <v>1012</v>
      </c>
      <c r="N180" s="4" t="s">
        <v>83</v>
      </c>
      <c r="O180" s="4" t="s">
        <v>71</v>
      </c>
      <c r="P180" s="4" t="s">
        <v>71</v>
      </c>
      <c r="Q180" s="4"/>
      <c r="R180" s="4" t="s">
        <v>143</v>
      </c>
      <c r="S180" s="4" t="s">
        <v>71</v>
      </c>
      <c r="T180" s="4" t="s">
        <v>71</v>
      </c>
      <c r="U180" s="4" t="str">
        <f t="shared" si="2"/>
        <v>NO</v>
      </c>
    </row>
    <row r="181" spans="1:21" ht="42" customHeight="1">
      <c r="A181" s="4" t="s">
        <v>1291</v>
      </c>
      <c r="B181" s="4" t="s">
        <v>530</v>
      </c>
      <c r="C181" s="4" t="s">
        <v>448</v>
      </c>
      <c r="D181" s="4" t="s">
        <v>530</v>
      </c>
      <c r="E181" s="4" t="s">
        <v>448</v>
      </c>
      <c r="F181" s="4" t="s">
        <v>1009</v>
      </c>
      <c r="G181" s="4" t="s">
        <v>1292</v>
      </c>
      <c r="H181" s="4" t="s">
        <v>1018</v>
      </c>
      <c r="I181" s="4"/>
      <c r="J181" s="4" t="s">
        <v>1018</v>
      </c>
      <c r="K181" s="4" t="s">
        <v>83</v>
      </c>
      <c r="L181" s="4" t="s">
        <v>58</v>
      </c>
      <c r="M181" s="4" t="s">
        <v>1012</v>
      </c>
      <c r="N181" s="4" t="s">
        <v>83</v>
      </c>
      <c r="O181" s="4" t="s">
        <v>71</v>
      </c>
      <c r="P181" s="4" t="s">
        <v>71</v>
      </c>
      <c r="Q181" s="4"/>
      <c r="R181" s="4" t="s">
        <v>143</v>
      </c>
      <c r="S181" s="4" t="s">
        <v>71</v>
      </c>
      <c r="T181" s="4" t="s">
        <v>71</v>
      </c>
      <c r="U181" s="4" t="str">
        <f t="shared" si="2"/>
        <v>NO</v>
      </c>
    </row>
    <row r="182" spans="1:21" ht="42" customHeight="1">
      <c r="A182" s="4" t="s">
        <v>1293</v>
      </c>
      <c r="B182" s="4" t="s">
        <v>533</v>
      </c>
      <c r="C182" s="4" t="s">
        <v>270</v>
      </c>
      <c r="D182" s="4" t="s">
        <v>533</v>
      </c>
      <c r="E182" s="4" t="s">
        <v>270</v>
      </c>
      <c r="F182" s="4" t="s">
        <v>1009</v>
      </c>
      <c r="G182" s="4" t="s">
        <v>1294</v>
      </c>
      <c r="H182" s="4" t="s">
        <v>1018</v>
      </c>
      <c r="I182" s="4"/>
      <c r="J182" s="4" t="s">
        <v>1018</v>
      </c>
      <c r="K182" s="4" t="s">
        <v>69</v>
      </c>
      <c r="L182" s="4" t="s">
        <v>69</v>
      </c>
      <c r="M182" s="4" t="s">
        <v>1021</v>
      </c>
      <c r="N182" s="4" t="s">
        <v>69</v>
      </c>
      <c r="O182" s="4" t="s">
        <v>71</v>
      </c>
      <c r="P182" s="4" t="s">
        <v>71</v>
      </c>
      <c r="Q182" s="4"/>
      <c r="R182" s="4" t="s">
        <v>143</v>
      </c>
      <c r="S182" s="4" t="s">
        <v>71</v>
      </c>
      <c r="T182" s="4" t="s">
        <v>71</v>
      </c>
      <c r="U182" s="4" t="str">
        <f t="shared" si="2"/>
        <v>NO</v>
      </c>
    </row>
    <row r="183" spans="1:21" ht="42" customHeight="1">
      <c r="A183" s="4" t="s">
        <v>1295</v>
      </c>
      <c r="B183" s="4" t="s">
        <v>537</v>
      </c>
      <c r="C183" s="4" t="s">
        <v>241</v>
      </c>
      <c r="D183" s="4" t="s">
        <v>537</v>
      </c>
      <c r="E183" s="4" t="s">
        <v>241</v>
      </c>
      <c r="F183" s="4" t="s">
        <v>1009</v>
      </c>
      <c r="G183" s="4" t="s">
        <v>1296</v>
      </c>
      <c r="H183" s="4" t="s">
        <v>1011</v>
      </c>
      <c r="I183" s="4"/>
      <c r="J183" s="4" t="s">
        <v>1011</v>
      </c>
      <c r="K183" s="4" t="s">
        <v>92</v>
      </c>
      <c r="L183" s="4" t="s">
        <v>81</v>
      </c>
      <c r="M183" s="4" t="s">
        <v>1012</v>
      </c>
      <c r="N183" s="4" t="s">
        <v>92</v>
      </c>
      <c r="O183" s="4" t="s">
        <v>71</v>
      </c>
      <c r="P183" s="4" t="s">
        <v>71</v>
      </c>
      <c r="Q183" s="4"/>
      <c r="R183" s="4" t="s">
        <v>143</v>
      </c>
      <c r="S183" s="4" t="s">
        <v>71</v>
      </c>
      <c r="T183" s="4" t="s">
        <v>71</v>
      </c>
      <c r="U183" s="4" t="str">
        <f t="shared" si="2"/>
        <v>NO</v>
      </c>
    </row>
    <row r="184" spans="1:21" ht="42" customHeight="1">
      <c r="A184" s="4" t="s">
        <v>1297</v>
      </c>
      <c r="B184" s="4" t="s">
        <v>537</v>
      </c>
      <c r="C184" s="4" t="s">
        <v>371</v>
      </c>
      <c r="D184" s="4" t="s">
        <v>537</v>
      </c>
      <c r="E184" s="4" t="s">
        <v>371</v>
      </c>
      <c r="F184" s="4" t="s">
        <v>1009</v>
      </c>
      <c r="G184" s="4" t="s">
        <v>1298</v>
      </c>
      <c r="H184" s="4" t="s">
        <v>1018</v>
      </c>
      <c r="I184" s="4"/>
      <c r="J184" s="4" t="s">
        <v>1018</v>
      </c>
      <c r="K184" s="4" t="s">
        <v>92</v>
      </c>
      <c r="L184" s="4" t="s">
        <v>69</v>
      </c>
      <c r="M184" s="4" t="s">
        <v>1012</v>
      </c>
      <c r="N184" s="4" t="s">
        <v>92</v>
      </c>
      <c r="O184" s="4" t="s">
        <v>71</v>
      </c>
      <c r="P184" s="4" t="s">
        <v>71</v>
      </c>
      <c r="Q184" s="4"/>
      <c r="R184" s="4" t="s">
        <v>143</v>
      </c>
      <c r="S184" s="4" t="s">
        <v>71</v>
      </c>
      <c r="T184" s="4" t="s">
        <v>71</v>
      </c>
      <c r="U184" s="4" t="str">
        <f t="shared" si="2"/>
        <v>NO</v>
      </c>
    </row>
    <row r="185" spans="1:21" ht="42" customHeight="1">
      <c r="A185" s="4" t="s">
        <v>1299</v>
      </c>
      <c r="B185" s="4" t="s">
        <v>540</v>
      </c>
      <c r="C185" s="4" t="s">
        <v>416</v>
      </c>
      <c r="D185" s="4" t="s">
        <v>540</v>
      </c>
      <c r="E185" s="4" t="s">
        <v>416</v>
      </c>
      <c r="F185" s="4" t="s">
        <v>1009</v>
      </c>
      <c r="G185" s="4" t="s">
        <v>1300</v>
      </c>
      <c r="H185" s="4" t="s">
        <v>1018</v>
      </c>
      <c r="I185" s="4"/>
      <c r="J185" s="4" t="s">
        <v>1018</v>
      </c>
      <c r="K185" s="4" t="s">
        <v>69</v>
      </c>
      <c r="L185" s="4" t="s">
        <v>92</v>
      </c>
      <c r="M185" s="4" t="s">
        <v>1012</v>
      </c>
      <c r="N185" s="4" t="s">
        <v>92</v>
      </c>
      <c r="O185" s="4" t="s">
        <v>71</v>
      </c>
      <c r="P185" s="4" t="s">
        <v>71</v>
      </c>
      <c r="Q185" s="4"/>
      <c r="R185" s="4" t="s">
        <v>143</v>
      </c>
      <c r="S185" s="4" t="s">
        <v>71</v>
      </c>
      <c r="T185" s="4" t="s">
        <v>71</v>
      </c>
      <c r="U185" s="4" t="str">
        <f t="shared" si="2"/>
        <v>NO</v>
      </c>
    </row>
    <row r="186" spans="1:21" ht="42" customHeight="1">
      <c r="A186" s="4" t="s">
        <v>1301</v>
      </c>
      <c r="B186" s="4" t="s">
        <v>540</v>
      </c>
      <c r="C186" s="4" t="s">
        <v>455</v>
      </c>
      <c r="D186" s="4" t="s">
        <v>540</v>
      </c>
      <c r="E186" s="4" t="s">
        <v>455</v>
      </c>
      <c r="F186" s="4" t="s">
        <v>1009</v>
      </c>
      <c r="G186" s="4" t="s">
        <v>1302</v>
      </c>
      <c r="H186" s="4" t="s">
        <v>1018</v>
      </c>
      <c r="I186" s="4"/>
      <c r="J186" s="4" t="s">
        <v>1018</v>
      </c>
      <c r="K186" s="4" t="s">
        <v>69</v>
      </c>
      <c r="L186" s="4" t="s">
        <v>86</v>
      </c>
      <c r="M186" s="4" t="s">
        <v>1012</v>
      </c>
      <c r="N186" s="4" t="s">
        <v>86</v>
      </c>
      <c r="O186" s="4" t="s">
        <v>71</v>
      </c>
      <c r="P186" s="4" t="s">
        <v>71</v>
      </c>
      <c r="Q186" s="4"/>
      <c r="R186" s="4" t="s">
        <v>143</v>
      </c>
      <c r="S186" s="4" t="s">
        <v>71</v>
      </c>
      <c r="T186" s="4" t="s">
        <v>71</v>
      </c>
      <c r="U186" s="4" t="str">
        <f t="shared" si="2"/>
        <v>NO</v>
      </c>
    </row>
    <row r="187" spans="1:21" ht="42" customHeight="1">
      <c r="A187" s="4" t="s">
        <v>1303</v>
      </c>
      <c r="B187" s="4" t="s">
        <v>543</v>
      </c>
      <c r="C187" s="4" t="s">
        <v>396</v>
      </c>
      <c r="D187" s="4" t="s">
        <v>543</v>
      </c>
      <c r="E187" s="4" t="s">
        <v>396</v>
      </c>
      <c r="F187" s="4" t="s">
        <v>1009</v>
      </c>
      <c r="G187" s="4" t="s">
        <v>1304</v>
      </c>
      <c r="H187" s="4" t="s">
        <v>1018</v>
      </c>
      <c r="I187" s="4"/>
      <c r="J187" s="4" t="s">
        <v>1018</v>
      </c>
      <c r="K187" s="4" t="s">
        <v>79</v>
      </c>
      <c r="L187" s="4" t="s">
        <v>79</v>
      </c>
      <c r="M187" s="4" t="s">
        <v>1021</v>
      </c>
      <c r="N187" s="4" t="s">
        <v>79</v>
      </c>
      <c r="O187" s="4" t="s">
        <v>71</v>
      </c>
      <c r="P187" s="4" t="s">
        <v>71</v>
      </c>
      <c r="Q187" s="4"/>
      <c r="R187" s="4" t="s">
        <v>143</v>
      </c>
      <c r="S187" s="4" t="s">
        <v>71</v>
      </c>
      <c r="T187" s="4" t="s">
        <v>71</v>
      </c>
      <c r="U187" s="4" t="str">
        <f t="shared" si="2"/>
        <v>NO</v>
      </c>
    </row>
    <row r="188" spans="1:21" ht="42" customHeight="1">
      <c r="A188" s="4" t="s">
        <v>1305</v>
      </c>
      <c r="B188" s="4" t="s">
        <v>543</v>
      </c>
      <c r="C188" s="4" t="s">
        <v>427</v>
      </c>
      <c r="D188" s="4" t="s">
        <v>543</v>
      </c>
      <c r="E188" s="4" t="s">
        <v>427</v>
      </c>
      <c r="F188" s="4" t="s">
        <v>1009</v>
      </c>
      <c r="G188" s="4" t="s">
        <v>1306</v>
      </c>
      <c r="H188" s="4" t="s">
        <v>1018</v>
      </c>
      <c r="I188" s="4"/>
      <c r="J188" s="4" t="s">
        <v>1018</v>
      </c>
      <c r="K188" s="4" t="s">
        <v>79</v>
      </c>
      <c r="L188" s="4" t="s">
        <v>72</v>
      </c>
      <c r="M188" s="4" t="s">
        <v>1012</v>
      </c>
      <c r="N188" s="4" t="s">
        <v>79</v>
      </c>
      <c r="O188" s="4" t="s">
        <v>71</v>
      </c>
      <c r="P188" s="4" t="s">
        <v>71</v>
      </c>
      <c r="Q188" s="4"/>
      <c r="R188" s="4" t="s">
        <v>143</v>
      </c>
      <c r="S188" s="4" t="s">
        <v>71</v>
      </c>
      <c r="T188" s="4" t="s">
        <v>71</v>
      </c>
      <c r="U188" s="4" t="str">
        <f t="shared" si="2"/>
        <v>NO</v>
      </c>
    </row>
    <row r="189" spans="1:21" ht="42" customHeight="1">
      <c r="A189" s="4" t="s">
        <v>1307</v>
      </c>
      <c r="B189" s="4" t="s">
        <v>546</v>
      </c>
      <c r="C189" s="4" t="s">
        <v>549</v>
      </c>
      <c r="D189" s="4" t="s">
        <v>546</v>
      </c>
      <c r="E189" s="4" t="s">
        <v>549</v>
      </c>
      <c r="F189" s="4" t="s">
        <v>1009</v>
      </c>
      <c r="G189" s="4" t="s">
        <v>1308</v>
      </c>
      <c r="H189" s="4" t="s">
        <v>1018</v>
      </c>
      <c r="I189" s="4"/>
      <c r="J189" s="4" t="s">
        <v>1018</v>
      </c>
      <c r="K189" s="4" t="s">
        <v>79</v>
      </c>
      <c r="L189" s="4" t="s">
        <v>79</v>
      </c>
      <c r="M189" s="4" t="s">
        <v>1021</v>
      </c>
      <c r="N189" s="4" t="s">
        <v>79</v>
      </c>
      <c r="O189" s="4" t="s">
        <v>71</v>
      </c>
      <c r="P189" s="4" t="s">
        <v>71</v>
      </c>
      <c r="Q189" s="4"/>
      <c r="R189" s="4" t="s">
        <v>143</v>
      </c>
      <c r="S189" s="4" t="s">
        <v>71</v>
      </c>
      <c r="T189" s="4" t="s">
        <v>71</v>
      </c>
      <c r="U189" s="4" t="str">
        <f t="shared" si="2"/>
        <v>NO</v>
      </c>
    </row>
    <row r="190" spans="1:21" ht="42" customHeight="1">
      <c r="A190" s="4" t="s">
        <v>1309</v>
      </c>
      <c r="B190" s="4" t="s">
        <v>546</v>
      </c>
      <c r="C190" s="4" t="s">
        <v>314</v>
      </c>
      <c r="D190" s="4" t="s">
        <v>546</v>
      </c>
      <c r="E190" s="4" t="s">
        <v>314</v>
      </c>
      <c r="F190" s="4" t="s">
        <v>1009</v>
      </c>
      <c r="G190" s="4" t="s">
        <v>1310</v>
      </c>
      <c r="H190" s="4" t="s">
        <v>1018</v>
      </c>
      <c r="I190" s="4"/>
      <c r="J190" s="4" t="s">
        <v>1018</v>
      </c>
      <c r="K190" s="4" t="s">
        <v>79</v>
      </c>
      <c r="L190" s="4" t="s">
        <v>79</v>
      </c>
      <c r="M190" s="4" t="s">
        <v>1021</v>
      </c>
      <c r="N190" s="4" t="s">
        <v>79</v>
      </c>
      <c r="O190" s="4" t="s">
        <v>71</v>
      </c>
      <c r="P190" s="4" t="s">
        <v>71</v>
      </c>
      <c r="Q190" s="4"/>
      <c r="R190" s="4" t="s">
        <v>143</v>
      </c>
      <c r="S190" s="4" t="s">
        <v>71</v>
      </c>
      <c r="T190" s="4" t="s">
        <v>71</v>
      </c>
      <c r="U190" s="4" t="str">
        <f t="shared" si="2"/>
        <v>NO</v>
      </c>
    </row>
    <row r="191" spans="1:21" ht="42" customHeight="1">
      <c r="A191" s="4" t="s">
        <v>1311</v>
      </c>
      <c r="B191" s="4" t="s">
        <v>549</v>
      </c>
      <c r="C191" s="4" t="s">
        <v>360</v>
      </c>
      <c r="D191" s="4" t="s">
        <v>549</v>
      </c>
      <c r="E191" s="4" t="s">
        <v>360</v>
      </c>
      <c r="F191" s="4" t="s">
        <v>1009</v>
      </c>
      <c r="G191" s="4" t="s">
        <v>1312</v>
      </c>
      <c r="H191" s="4" t="s">
        <v>1018</v>
      </c>
      <c r="I191" s="4"/>
      <c r="J191" s="4" t="s">
        <v>1018</v>
      </c>
      <c r="K191" s="4" t="s">
        <v>79</v>
      </c>
      <c r="L191" s="4" t="s">
        <v>90</v>
      </c>
      <c r="M191" s="4" t="s">
        <v>1012</v>
      </c>
      <c r="N191" s="4" t="s">
        <v>90</v>
      </c>
      <c r="O191" s="4" t="s">
        <v>71</v>
      </c>
      <c r="P191" s="4" t="s">
        <v>71</v>
      </c>
      <c r="Q191" s="4"/>
      <c r="R191" s="4" t="s">
        <v>143</v>
      </c>
      <c r="S191" s="4" t="s">
        <v>71</v>
      </c>
      <c r="T191" s="4" t="s">
        <v>71</v>
      </c>
      <c r="U191" s="4" t="str">
        <f t="shared" si="2"/>
        <v>NO</v>
      </c>
    </row>
    <row r="192" spans="1:21" ht="42" customHeight="1">
      <c r="A192" s="4" t="s">
        <v>1313</v>
      </c>
      <c r="B192" s="4" t="s">
        <v>552</v>
      </c>
      <c r="C192" s="4" t="s">
        <v>396</v>
      </c>
      <c r="D192" s="4" t="s">
        <v>552</v>
      </c>
      <c r="E192" s="4" t="s">
        <v>396</v>
      </c>
      <c r="F192" s="4" t="s">
        <v>1009</v>
      </c>
      <c r="G192" s="4" t="s">
        <v>1314</v>
      </c>
      <c r="H192" s="4" t="s">
        <v>1018</v>
      </c>
      <c r="I192" s="4"/>
      <c r="J192" s="4" t="s">
        <v>1018</v>
      </c>
      <c r="K192" s="4" t="s">
        <v>79</v>
      </c>
      <c r="L192" s="4" t="s">
        <v>79</v>
      </c>
      <c r="M192" s="4" t="s">
        <v>1021</v>
      </c>
      <c r="N192" s="4" t="s">
        <v>79</v>
      </c>
      <c r="O192" s="4" t="s">
        <v>71</v>
      </c>
      <c r="P192" s="4" t="s">
        <v>71</v>
      </c>
      <c r="Q192" s="4"/>
      <c r="R192" s="4" t="s">
        <v>143</v>
      </c>
      <c r="S192" s="4" t="s">
        <v>71</v>
      </c>
      <c r="T192" s="4" t="s">
        <v>71</v>
      </c>
      <c r="U192" s="4" t="str">
        <f t="shared" si="2"/>
        <v>NO</v>
      </c>
    </row>
    <row r="193" spans="1:21" ht="42" customHeight="1">
      <c r="A193" s="4" t="s">
        <v>1315</v>
      </c>
      <c r="B193" s="4" t="s">
        <v>552</v>
      </c>
      <c r="C193" s="4" t="s">
        <v>493</v>
      </c>
      <c r="D193" s="4" t="s">
        <v>552</v>
      </c>
      <c r="E193" s="4" t="s">
        <v>493</v>
      </c>
      <c r="F193" s="4" t="s">
        <v>1009</v>
      </c>
      <c r="G193" s="4" t="s">
        <v>1316</v>
      </c>
      <c r="H193" s="4" t="s">
        <v>1018</v>
      </c>
      <c r="I193" s="4"/>
      <c r="J193" s="4" t="s">
        <v>1018</v>
      </c>
      <c r="K193" s="4" t="s">
        <v>79</v>
      </c>
      <c r="L193" s="4" t="s">
        <v>61</v>
      </c>
      <c r="M193" s="4" t="s">
        <v>1012</v>
      </c>
      <c r="N193" s="4" t="s">
        <v>79</v>
      </c>
      <c r="O193" s="4" t="s">
        <v>71</v>
      </c>
      <c r="P193" s="4" t="s">
        <v>71</v>
      </c>
      <c r="Q193" s="4"/>
      <c r="R193" s="4" t="s">
        <v>143</v>
      </c>
      <c r="S193" s="4" t="s">
        <v>71</v>
      </c>
      <c r="T193" s="4" t="s">
        <v>71</v>
      </c>
      <c r="U193" s="4" t="str">
        <f t="shared" si="2"/>
        <v>NO</v>
      </c>
    </row>
    <row r="194" spans="1:21" ht="42" customHeight="1">
      <c r="A194" s="4" t="s">
        <v>1317</v>
      </c>
      <c r="B194" s="4" t="s">
        <v>555</v>
      </c>
      <c r="C194" s="4" t="s">
        <v>409</v>
      </c>
      <c r="D194" s="4" t="s">
        <v>555</v>
      </c>
      <c r="E194" s="4" t="s">
        <v>409</v>
      </c>
      <c r="F194" s="4" t="s">
        <v>1009</v>
      </c>
      <c r="G194" s="4" t="s">
        <v>1318</v>
      </c>
      <c r="H194" s="4" t="s">
        <v>1018</v>
      </c>
      <c r="I194" s="4"/>
      <c r="J194" s="4" t="s">
        <v>1018</v>
      </c>
      <c r="K194" s="4" t="s">
        <v>75</v>
      </c>
      <c r="L194" s="4" t="s">
        <v>72</v>
      </c>
      <c r="M194" s="4" t="s">
        <v>1012</v>
      </c>
      <c r="N194" s="4" t="s">
        <v>75</v>
      </c>
      <c r="O194" s="4" t="s">
        <v>71</v>
      </c>
      <c r="P194" s="4" t="s">
        <v>71</v>
      </c>
      <c r="Q194" s="4"/>
      <c r="R194" s="4" t="s">
        <v>143</v>
      </c>
      <c r="S194" s="4" t="s">
        <v>71</v>
      </c>
      <c r="T194" s="4" t="s">
        <v>71</v>
      </c>
      <c r="U194" s="4" t="str">
        <f t="shared" si="2"/>
        <v>NO</v>
      </c>
    </row>
    <row r="195" spans="1:21" ht="42" customHeight="1">
      <c r="A195" s="4" t="s">
        <v>1319</v>
      </c>
      <c r="B195" s="4" t="s">
        <v>555</v>
      </c>
      <c r="C195" s="4" t="s">
        <v>413</v>
      </c>
      <c r="D195" s="4" t="s">
        <v>555</v>
      </c>
      <c r="E195" s="4" t="s">
        <v>413</v>
      </c>
      <c r="F195" s="4" t="s">
        <v>1009</v>
      </c>
      <c r="G195" s="4" t="s">
        <v>1320</v>
      </c>
      <c r="H195" s="4" t="s">
        <v>1018</v>
      </c>
      <c r="I195" s="4"/>
      <c r="J195" s="4" t="s">
        <v>1018</v>
      </c>
      <c r="K195" s="4" t="s">
        <v>75</v>
      </c>
      <c r="L195" s="4" t="s">
        <v>61</v>
      </c>
      <c r="M195" s="4" t="s">
        <v>1012</v>
      </c>
      <c r="N195" s="4" t="s">
        <v>75</v>
      </c>
      <c r="O195" s="4" t="s">
        <v>71</v>
      </c>
      <c r="P195" s="4" t="s">
        <v>71</v>
      </c>
      <c r="Q195" s="4"/>
      <c r="R195" s="4" t="s">
        <v>143</v>
      </c>
      <c r="S195" s="4" t="s">
        <v>71</v>
      </c>
      <c r="T195" s="4" t="s">
        <v>71</v>
      </c>
      <c r="U195" s="4" t="str">
        <f t="shared" si="2"/>
        <v>NO</v>
      </c>
    </row>
    <row r="196" spans="1:21" ht="42" customHeight="1">
      <c r="A196" s="4" t="s">
        <v>1321</v>
      </c>
      <c r="B196" s="4" t="s">
        <v>558</v>
      </c>
      <c r="C196" s="4" t="s">
        <v>413</v>
      </c>
      <c r="D196" s="4" t="s">
        <v>558</v>
      </c>
      <c r="E196" s="4" t="s">
        <v>413</v>
      </c>
      <c r="F196" s="4" t="s">
        <v>1009</v>
      </c>
      <c r="G196" s="4" t="s">
        <v>1322</v>
      </c>
      <c r="H196" s="4" t="s">
        <v>1018</v>
      </c>
      <c r="I196" s="4"/>
      <c r="J196" s="4" t="s">
        <v>1018</v>
      </c>
      <c r="K196" s="4" t="s">
        <v>81</v>
      </c>
      <c r="L196" s="4" t="s">
        <v>61</v>
      </c>
      <c r="M196" s="4" t="s">
        <v>1012</v>
      </c>
      <c r="N196" s="4" t="s">
        <v>81</v>
      </c>
      <c r="O196" s="4" t="s">
        <v>71</v>
      </c>
      <c r="P196" s="4" t="s">
        <v>71</v>
      </c>
      <c r="Q196" s="4"/>
      <c r="R196" s="4" t="s">
        <v>143</v>
      </c>
      <c r="S196" s="4" t="s">
        <v>71</v>
      </c>
      <c r="T196" s="4" t="s">
        <v>71</v>
      </c>
      <c r="U196" s="4" t="str">
        <f t="shared" si="2"/>
        <v>NO</v>
      </c>
    </row>
    <row r="197" spans="1:21" ht="42" customHeight="1">
      <c r="A197" s="4" t="s">
        <v>1323</v>
      </c>
      <c r="B197" s="4" t="s">
        <v>558</v>
      </c>
      <c r="C197" s="4" t="s">
        <v>555</v>
      </c>
      <c r="D197" s="4" t="s">
        <v>558</v>
      </c>
      <c r="E197" s="4" t="s">
        <v>555</v>
      </c>
      <c r="F197" s="4" t="s">
        <v>1009</v>
      </c>
      <c r="G197" s="4" t="s">
        <v>1324</v>
      </c>
      <c r="H197" s="4" t="s">
        <v>1018</v>
      </c>
      <c r="I197" s="4"/>
      <c r="J197" s="4" t="s">
        <v>1018</v>
      </c>
      <c r="K197" s="4" t="s">
        <v>81</v>
      </c>
      <c r="L197" s="4" t="s">
        <v>75</v>
      </c>
      <c r="M197" s="4" t="s">
        <v>1012</v>
      </c>
      <c r="N197" s="4" t="s">
        <v>81</v>
      </c>
      <c r="O197" s="4" t="s">
        <v>71</v>
      </c>
      <c r="P197" s="4" t="s">
        <v>71</v>
      </c>
      <c r="Q197" s="4"/>
      <c r="R197" s="4" t="s">
        <v>143</v>
      </c>
      <c r="S197" s="4" t="s">
        <v>71</v>
      </c>
      <c r="T197" s="4" t="s">
        <v>71</v>
      </c>
      <c r="U197" s="4" t="str">
        <f t="shared" ref="U197:U260" si="3">IF(AND(R197="revisada",S197="pasa",T197="aprobada",O197&lt;&gt;"pendiente",P197&lt;&gt;"pendiente",OR(J197="por_corroborar",AND(J197="corroborada",Q197&lt;&gt;""))),"SÍ","NO")</f>
        <v>NO</v>
      </c>
    </row>
    <row r="198" spans="1:21" ht="42" customHeight="1">
      <c r="A198" s="4" t="s">
        <v>1325</v>
      </c>
      <c r="B198" s="4" t="s">
        <v>561</v>
      </c>
      <c r="C198" s="4" t="s">
        <v>583</v>
      </c>
      <c r="D198" s="4" t="s">
        <v>561</v>
      </c>
      <c r="E198" s="4" t="s">
        <v>583</v>
      </c>
      <c r="F198" s="4" t="s">
        <v>1009</v>
      </c>
      <c r="G198" s="4" t="s">
        <v>1326</v>
      </c>
      <c r="H198" s="4" t="s">
        <v>1018</v>
      </c>
      <c r="I198" s="4"/>
      <c r="J198" s="4" t="s">
        <v>1018</v>
      </c>
      <c r="K198" s="4" t="s">
        <v>77</v>
      </c>
      <c r="L198" s="4" t="s">
        <v>77</v>
      </c>
      <c r="M198" s="4" t="s">
        <v>1021</v>
      </c>
      <c r="N198" s="4" t="s">
        <v>77</v>
      </c>
      <c r="O198" s="4" t="s">
        <v>71</v>
      </c>
      <c r="P198" s="4" t="s">
        <v>71</v>
      </c>
      <c r="Q198" s="4"/>
      <c r="R198" s="4" t="s">
        <v>143</v>
      </c>
      <c r="S198" s="4" t="s">
        <v>71</v>
      </c>
      <c r="T198" s="4" t="s">
        <v>71</v>
      </c>
      <c r="U198" s="4" t="str">
        <f t="shared" si="3"/>
        <v>NO</v>
      </c>
    </row>
    <row r="199" spans="1:21" ht="42" customHeight="1">
      <c r="A199" s="4" t="s">
        <v>1327</v>
      </c>
      <c r="B199" s="4" t="s">
        <v>561</v>
      </c>
      <c r="C199" s="4" t="s">
        <v>440</v>
      </c>
      <c r="D199" s="4" t="s">
        <v>561</v>
      </c>
      <c r="E199" s="4" t="s">
        <v>440</v>
      </c>
      <c r="F199" s="4" t="s">
        <v>1009</v>
      </c>
      <c r="G199" s="4" t="s">
        <v>1328</v>
      </c>
      <c r="H199" s="4" t="s">
        <v>1018</v>
      </c>
      <c r="I199" s="4"/>
      <c r="J199" s="4" t="s">
        <v>1018</v>
      </c>
      <c r="K199" s="4" t="s">
        <v>77</v>
      </c>
      <c r="L199" s="4" t="s">
        <v>83</v>
      </c>
      <c r="M199" s="4" t="s">
        <v>1012</v>
      </c>
      <c r="N199" s="4" t="s">
        <v>83</v>
      </c>
      <c r="O199" s="4" t="s">
        <v>71</v>
      </c>
      <c r="P199" s="4" t="s">
        <v>71</v>
      </c>
      <c r="Q199" s="4"/>
      <c r="R199" s="4" t="s">
        <v>143</v>
      </c>
      <c r="S199" s="4" t="s">
        <v>71</v>
      </c>
      <c r="T199" s="4" t="s">
        <v>71</v>
      </c>
      <c r="U199" s="4" t="str">
        <f t="shared" si="3"/>
        <v>NO</v>
      </c>
    </row>
    <row r="200" spans="1:21" ht="42" customHeight="1">
      <c r="A200" s="4" t="s">
        <v>1329</v>
      </c>
      <c r="B200" s="4" t="s">
        <v>565</v>
      </c>
      <c r="C200" s="4" t="s">
        <v>390</v>
      </c>
      <c r="D200" s="4" t="s">
        <v>565</v>
      </c>
      <c r="E200" s="4" t="s">
        <v>390</v>
      </c>
      <c r="F200" s="4" t="s">
        <v>1009</v>
      </c>
      <c r="G200" s="4" t="s">
        <v>1330</v>
      </c>
      <c r="H200" s="4" t="s">
        <v>1018</v>
      </c>
      <c r="I200" s="4"/>
      <c r="J200" s="4" t="s">
        <v>1018</v>
      </c>
      <c r="K200" s="4" t="s">
        <v>75</v>
      </c>
      <c r="L200" s="4" t="s">
        <v>75</v>
      </c>
      <c r="M200" s="4" t="s">
        <v>1021</v>
      </c>
      <c r="N200" s="4" t="s">
        <v>75</v>
      </c>
      <c r="O200" s="4" t="s">
        <v>71</v>
      </c>
      <c r="P200" s="4" t="s">
        <v>71</v>
      </c>
      <c r="Q200" s="4"/>
      <c r="R200" s="4" t="s">
        <v>143</v>
      </c>
      <c r="S200" s="4" t="s">
        <v>71</v>
      </c>
      <c r="T200" s="4" t="s">
        <v>71</v>
      </c>
      <c r="U200" s="4" t="str">
        <f t="shared" si="3"/>
        <v>NO</v>
      </c>
    </row>
    <row r="201" spans="1:21" ht="42" customHeight="1">
      <c r="A201" s="4" t="s">
        <v>1331</v>
      </c>
      <c r="B201" s="4" t="s">
        <v>569</v>
      </c>
      <c r="C201" s="4" t="s">
        <v>585</v>
      </c>
      <c r="D201" s="4" t="s">
        <v>569</v>
      </c>
      <c r="E201" s="4" t="s">
        <v>585</v>
      </c>
      <c r="F201" s="4" t="s">
        <v>1009</v>
      </c>
      <c r="G201" s="4" t="s">
        <v>1332</v>
      </c>
      <c r="H201" s="4" t="s">
        <v>1011</v>
      </c>
      <c r="I201" s="4"/>
      <c r="J201" s="4" t="s">
        <v>1011</v>
      </c>
      <c r="K201" s="4" t="s">
        <v>61</v>
      </c>
      <c r="L201" s="4" t="s">
        <v>69</v>
      </c>
      <c r="M201" s="4" t="s">
        <v>1012</v>
      </c>
      <c r="N201" s="4" t="s">
        <v>69</v>
      </c>
      <c r="O201" s="4" t="s">
        <v>71</v>
      </c>
      <c r="P201" s="4" t="s">
        <v>71</v>
      </c>
      <c r="Q201" s="4"/>
      <c r="R201" s="4" t="s">
        <v>143</v>
      </c>
      <c r="S201" s="4" t="s">
        <v>71</v>
      </c>
      <c r="T201" s="4" t="s">
        <v>71</v>
      </c>
      <c r="U201" s="4" t="str">
        <f t="shared" si="3"/>
        <v>NO</v>
      </c>
    </row>
    <row r="202" spans="1:21" ht="42" customHeight="1">
      <c r="A202" s="4" t="s">
        <v>1333</v>
      </c>
      <c r="B202" s="4" t="s">
        <v>573</v>
      </c>
      <c r="C202" s="4" t="s">
        <v>179</v>
      </c>
      <c r="D202" s="4" t="s">
        <v>573</v>
      </c>
      <c r="E202" s="4" t="s">
        <v>179</v>
      </c>
      <c r="F202" s="4" t="s">
        <v>1009</v>
      </c>
      <c r="G202" s="4" t="s">
        <v>1334</v>
      </c>
      <c r="H202" s="4" t="s">
        <v>1018</v>
      </c>
      <c r="I202" s="4"/>
      <c r="J202" s="4" t="s">
        <v>1018</v>
      </c>
      <c r="K202" s="4" t="s">
        <v>58</v>
      </c>
      <c r="L202" s="4" t="s">
        <v>55</v>
      </c>
      <c r="M202" s="4" t="s">
        <v>1012</v>
      </c>
      <c r="N202" s="4" t="s">
        <v>58</v>
      </c>
      <c r="O202" s="4" t="s">
        <v>71</v>
      </c>
      <c r="P202" s="4" t="s">
        <v>71</v>
      </c>
      <c r="Q202" s="4"/>
      <c r="R202" s="4" t="s">
        <v>143</v>
      </c>
      <c r="S202" s="4" t="s">
        <v>71</v>
      </c>
      <c r="T202" s="4" t="s">
        <v>71</v>
      </c>
      <c r="U202" s="4" t="str">
        <f t="shared" si="3"/>
        <v>NO</v>
      </c>
    </row>
    <row r="203" spans="1:21" ht="42" customHeight="1">
      <c r="A203" s="4" t="s">
        <v>1335</v>
      </c>
      <c r="B203" s="4" t="s">
        <v>573</v>
      </c>
      <c r="C203" s="4" t="s">
        <v>433</v>
      </c>
      <c r="D203" s="4" t="s">
        <v>573</v>
      </c>
      <c r="E203" s="4" t="s">
        <v>433</v>
      </c>
      <c r="F203" s="4" t="s">
        <v>1009</v>
      </c>
      <c r="G203" s="4" t="s">
        <v>1336</v>
      </c>
      <c r="H203" s="4" t="s">
        <v>1018</v>
      </c>
      <c r="I203" s="4"/>
      <c r="J203" s="4" t="s">
        <v>1018</v>
      </c>
      <c r="K203" s="4" t="s">
        <v>58</v>
      </c>
      <c r="L203" s="4" t="s">
        <v>72</v>
      </c>
      <c r="M203" s="4" t="s">
        <v>1012</v>
      </c>
      <c r="N203" s="4" t="s">
        <v>72</v>
      </c>
      <c r="O203" s="4" t="s">
        <v>71</v>
      </c>
      <c r="P203" s="4" t="s">
        <v>71</v>
      </c>
      <c r="Q203" s="4"/>
      <c r="R203" s="4" t="s">
        <v>143</v>
      </c>
      <c r="S203" s="4" t="s">
        <v>71</v>
      </c>
      <c r="T203" s="4" t="s">
        <v>71</v>
      </c>
      <c r="U203" s="4" t="str">
        <f t="shared" si="3"/>
        <v>NO</v>
      </c>
    </row>
    <row r="204" spans="1:21" ht="42" customHeight="1">
      <c r="A204" s="4" t="s">
        <v>1337</v>
      </c>
      <c r="B204" s="4" t="s">
        <v>576</v>
      </c>
      <c r="C204" s="4" t="s">
        <v>390</v>
      </c>
      <c r="D204" s="4" t="s">
        <v>576</v>
      </c>
      <c r="E204" s="4" t="s">
        <v>390</v>
      </c>
      <c r="F204" s="4" t="s">
        <v>1009</v>
      </c>
      <c r="G204" s="4" t="s">
        <v>1338</v>
      </c>
      <c r="H204" s="4" t="s">
        <v>1011</v>
      </c>
      <c r="I204" s="4"/>
      <c r="J204" s="4" t="s">
        <v>1011</v>
      </c>
      <c r="K204" s="4" t="s">
        <v>58</v>
      </c>
      <c r="L204" s="4" t="s">
        <v>75</v>
      </c>
      <c r="M204" s="4" t="s">
        <v>1012</v>
      </c>
      <c r="N204" s="4" t="s">
        <v>75</v>
      </c>
      <c r="O204" s="4" t="s">
        <v>71</v>
      </c>
      <c r="P204" s="4" t="s">
        <v>71</v>
      </c>
      <c r="Q204" s="4"/>
      <c r="R204" s="4" t="s">
        <v>143</v>
      </c>
      <c r="S204" s="4" t="s">
        <v>71</v>
      </c>
      <c r="T204" s="4" t="s">
        <v>71</v>
      </c>
      <c r="U204" s="4" t="str">
        <f t="shared" si="3"/>
        <v>NO</v>
      </c>
    </row>
    <row r="205" spans="1:21" ht="42" customHeight="1">
      <c r="A205" s="4" t="s">
        <v>1339</v>
      </c>
      <c r="B205" s="4" t="s">
        <v>576</v>
      </c>
      <c r="C205" s="4" t="s">
        <v>481</v>
      </c>
      <c r="D205" s="4" t="s">
        <v>576</v>
      </c>
      <c r="E205" s="4" t="s">
        <v>481</v>
      </c>
      <c r="F205" s="4" t="s">
        <v>1009</v>
      </c>
      <c r="G205" s="4" t="s">
        <v>1340</v>
      </c>
      <c r="H205" s="4" t="s">
        <v>1018</v>
      </c>
      <c r="I205" s="4"/>
      <c r="J205" s="4" t="s">
        <v>1018</v>
      </c>
      <c r="K205" s="4" t="s">
        <v>58</v>
      </c>
      <c r="L205" s="4" t="s">
        <v>72</v>
      </c>
      <c r="M205" s="4" t="s">
        <v>1012</v>
      </c>
      <c r="N205" s="4" t="s">
        <v>72</v>
      </c>
      <c r="O205" s="4" t="s">
        <v>71</v>
      </c>
      <c r="P205" s="4" t="s">
        <v>71</v>
      </c>
      <c r="Q205" s="4"/>
      <c r="R205" s="4" t="s">
        <v>143</v>
      </c>
      <c r="S205" s="4" t="s">
        <v>71</v>
      </c>
      <c r="T205" s="4" t="s">
        <v>71</v>
      </c>
      <c r="U205" s="4" t="str">
        <f t="shared" si="3"/>
        <v>NO</v>
      </c>
    </row>
    <row r="206" spans="1:21" ht="42" customHeight="1">
      <c r="A206" s="4" t="s">
        <v>1341</v>
      </c>
      <c r="B206" s="4" t="s">
        <v>579</v>
      </c>
      <c r="C206" s="4" t="s">
        <v>196</v>
      </c>
      <c r="D206" s="4" t="s">
        <v>579</v>
      </c>
      <c r="E206" s="4" t="s">
        <v>196</v>
      </c>
      <c r="F206" s="4" t="s">
        <v>1009</v>
      </c>
      <c r="G206" s="4" t="s">
        <v>1342</v>
      </c>
      <c r="H206" s="4" t="s">
        <v>1018</v>
      </c>
      <c r="I206" s="4"/>
      <c r="J206" s="4" t="s">
        <v>1018</v>
      </c>
      <c r="K206" s="4" t="s">
        <v>81</v>
      </c>
      <c r="L206" s="4" t="s">
        <v>69</v>
      </c>
      <c r="M206" s="4" t="s">
        <v>1012</v>
      </c>
      <c r="N206" s="4" t="s">
        <v>81</v>
      </c>
      <c r="O206" s="4" t="s">
        <v>71</v>
      </c>
      <c r="P206" s="4" t="s">
        <v>71</v>
      </c>
      <c r="Q206" s="4"/>
      <c r="R206" s="4" t="s">
        <v>143</v>
      </c>
      <c r="S206" s="4" t="s">
        <v>71</v>
      </c>
      <c r="T206" s="4" t="s">
        <v>71</v>
      </c>
      <c r="U206" s="4" t="str">
        <f t="shared" si="3"/>
        <v>NO</v>
      </c>
    </row>
    <row r="207" spans="1:21" ht="42" customHeight="1">
      <c r="A207" s="4" t="s">
        <v>1343</v>
      </c>
      <c r="B207" s="4" t="s">
        <v>579</v>
      </c>
      <c r="C207" s="4" t="s">
        <v>314</v>
      </c>
      <c r="D207" s="4" t="s">
        <v>579</v>
      </c>
      <c r="E207" s="4" t="s">
        <v>314</v>
      </c>
      <c r="F207" s="4" t="s">
        <v>1009</v>
      </c>
      <c r="G207" s="4" t="s">
        <v>1344</v>
      </c>
      <c r="H207" s="4" t="s">
        <v>1018</v>
      </c>
      <c r="I207" s="4"/>
      <c r="J207" s="4" t="s">
        <v>1018</v>
      </c>
      <c r="K207" s="4" t="s">
        <v>81</v>
      </c>
      <c r="L207" s="4" t="s">
        <v>79</v>
      </c>
      <c r="M207" s="4" t="s">
        <v>1012</v>
      </c>
      <c r="N207" s="4" t="s">
        <v>81</v>
      </c>
      <c r="O207" s="4" t="s">
        <v>71</v>
      </c>
      <c r="P207" s="4" t="s">
        <v>71</v>
      </c>
      <c r="Q207" s="4"/>
      <c r="R207" s="4" t="s">
        <v>143</v>
      </c>
      <c r="S207" s="4" t="s">
        <v>71</v>
      </c>
      <c r="T207" s="4" t="s">
        <v>71</v>
      </c>
      <c r="U207" s="4" t="str">
        <f t="shared" si="3"/>
        <v>NO</v>
      </c>
    </row>
    <row r="208" spans="1:21" ht="42" customHeight="1">
      <c r="A208" s="4" t="s">
        <v>1345</v>
      </c>
      <c r="B208" s="4" t="s">
        <v>583</v>
      </c>
      <c r="C208" s="4" t="s">
        <v>380</v>
      </c>
      <c r="D208" s="4" t="s">
        <v>583</v>
      </c>
      <c r="E208" s="4" t="s">
        <v>380</v>
      </c>
      <c r="F208" s="4" t="s">
        <v>1009</v>
      </c>
      <c r="G208" s="4" t="s">
        <v>1346</v>
      </c>
      <c r="H208" s="4" t="s">
        <v>1018</v>
      </c>
      <c r="I208" s="4"/>
      <c r="J208" s="4" t="s">
        <v>1018</v>
      </c>
      <c r="K208" s="4" t="s">
        <v>77</v>
      </c>
      <c r="L208" s="4" t="s">
        <v>58</v>
      </c>
      <c r="M208" s="4" t="s">
        <v>1012</v>
      </c>
      <c r="N208" s="4" t="s">
        <v>77</v>
      </c>
      <c r="O208" s="4" t="s">
        <v>71</v>
      </c>
      <c r="P208" s="4" t="s">
        <v>71</v>
      </c>
      <c r="Q208" s="4"/>
      <c r="R208" s="4" t="s">
        <v>143</v>
      </c>
      <c r="S208" s="4" t="s">
        <v>71</v>
      </c>
      <c r="T208" s="4" t="s">
        <v>71</v>
      </c>
      <c r="U208" s="4" t="str">
        <f t="shared" si="3"/>
        <v>NO</v>
      </c>
    </row>
    <row r="209" spans="1:21" ht="42" customHeight="1">
      <c r="A209" s="4" t="s">
        <v>1347</v>
      </c>
      <c r="B209" s="4" t="s">
        <v>585</v>
      </c>
      <c r="C209" s="4" t="s">
        <v>367</v>
      </c>
      <c r="D209" s="4" t="s">
        <v>585</v>
      </c>
      <c r="E209" s="4" t="s">
        <v>367</v>
      </c>
      <c r="F209" s="4" t="s">
        <v>1009</v>
      </c>
      <c r="G209" s="4" t="s">
        <v>1348</v>
      </c>
      <c r="H209" s="4" t="s">
        <v>1018</v>
      </c>
      <c r="I209" s="4"/>
      <c r="J209" s="4" t="s">
        <v>1018</v>
      </c>
      <c r="K209" s="4" t="s">
        <v>69</v>
      </c>
      <c r="L209" s="4" t="s">
        <v>92</v>
      </c>
      <c r="M209" s="4" t="s">
        <v>1012</v>
      </c>
      <c r="N209" s="4" t="s">
        <v>92</v>
      </c>
      <c r="O209" s="4" t="s">
        <v>71</v>
      </c>
      <c r="P209" s="4" t="s">
        <v>71</v>
      </c>
      <c r="Q209" s="4"/>
      <c r="R209" s="4" t="s">
        <v>143</v>
      </c>
      <c r="S209" s="4" t="s">
        <v>71</v>
      </c>
      <c r="T209" s="4" t="s">
        <v>71</v>
      </c>
      <c r="U209" s="4" t="str">
        <f t="shared" si="3"/>
        <v>NO</v>
      </c>
    </row>
    <row r="210" spans="1:21" ht="42" customHeight="1">
      <c r="A210" s="4" t="s">
        <v>1349</v>
      </c>
      <c r="B210" s="4" t="s">
        <v>585</v>
      </c>
      <c r="C210" s="4" t="s">
        <v>486</v>
      </c>
      <c r="D210" s="4" t="s">
        <v>585</v>
      </c>
      <c r="E210" s="4" t="s">
        <v>486</v>
      </c>
      <c r="F210" s="4" t="s">
        <v>1009</v>
      </c>
      <c r="G210" s="4" t="s">
        <v>1350</v>
      </c>
      <c r="H210" s="4" t="s">
        <v>1018</v>
      </c>
      <c r="I210" s="4"/>
      <c r="J210" s="4" t="s">
        <v>1018</v>
      </c>
      <c r="K210" s="4" t="s">
        <v>69</v>
      </c>
      <c r="L210" s="4" t="s">
        <v>58</v>
      </c>
      <c r="M210" s="4" t="s">
        <v>1012</v>
      </c>
      <c r="N210" s="4" t="s">
        <v>69</v>
      </c>
      <c r="O210" s="4" t="s">
        <v>71</v>
      </c>
      <c r="P210" s="4" t="s">
        <v>71</v>
      </c>
      <c r="Q210" s="4"/>
      <c r="R210" s="4" t="s">
        <v>143</v>
      </c>
      <c r="S210" s="4" t="s">
        <v>71</v>
      </c>
      <c r="T210" s="4" t="s">
        <v>71</v>
      </c>
      <c r="U210" s="4" t="str">
        <f t="shared" si="3"/>
        <v>NO</v>
      </c>
    </row>
    <row r="211" spans="1:21" ht="42" customHeight="1">
      <c r="A211" s="4" t="s">
        <v>1351</v>
      </c>
      <c r="B211" s="4" t="s">
        <v>588</v>
      </c>
      <c r="C211" s="4" t="s">
        <v>469</v>
      </c>
      <c r="D211" s="4" t="s">
        <v>588</v>
      </c>
      <c r="E211" s="4" t="s">
        <v>469</v>
      </c>
      <c r="F211" s="4" t="s">
        <v>1009</v>
      </c>
      <c r="G211" s="4" t="s">
        <v>1352</v>
      </c>
      <c r="H211" s="4" t="s">
        <v>1018</v>
      </c>
      <c r="I211" s="4"/>
      <c r="J211" s="4" t="s">
        <v>1018</v>
      </c>
      <c r="K211" s="4" t="s">
        <v>83</v>
      </c>
      <c r="L211" s="4" t="s">
        <v>83</v>
      </c>
      <c r="M211" s="4" t="s">
        <v>1021</v>
      </c>
      <c r="N211" s="4" t="s">
        <v>83</v>
      </c>
      <c r="O211" s="4" t="s">
        <v>71</v>
      </c>
      <c r="P211" s="4" t="s">
        <v>71</v>
      </c>
      <c r="Q211" s="4"/>
      <c r="R211" s="4" t="s">
        <v>143</v>
      </c>
      <c r="S211" s="4" t="s">
        <v>71</v>
      </c>
      <c r="T211" s="4" t="s">
        <v>71</v>
      </c>
      <c r="U211" s="4" t="str">
        <f t="shared" si="3"/>
        <v>NO</v>
      </c>
    </row>
    <row r="212" spans="1:21" ht="42" customHeight="1">
      <c r="A212" s="4" t="s">
        <v>1353</v>
      </c>
      <c r="B212" s="4" t="s">
        <v>588</v>
      </c>
      <c r="C212" s="4" t="s">
        <v>144</v>
      </c>
      <c r="D212" s="4" t="s">
        <v>588</v>
      </c>
      <c r="E212" s="4" t="s">
        <v>144</v>
      </c>
      <c r="F212" s="4" t="s">
        <v>1009</v>
      </c>
      <c r="G212" s="4" t="s">
        <v>1354</v>
      </c>
      <c r="H212" s="4" t="s">
        <v>1018</v>
      </c>
      <c r="I212" s="4"/>
      <c r="J212" s="4" t="s">
        <v>1018</v>
      </c>
      <c r="K212" s="4" t="s">
        <v>83</v>
      </c>
      <c r="L212" s="4" t="s">
        <v>83</v>
      </c>
      <c r="M212" s="4" t="s">
        <v>1021</v>
      </c>
      <c r="N212" s="4" t="s">
        <v>83</v>
      </c>
      <c r="O212" s="4" t="s">
        <v>71</v>
      </c>
      <c r="P212" s="4" t="s">
        <v>71</v>
      </c>
      <c r="Q212" s="4"/>
      <c r="R212" s="4" t="s">
        <v>143</v>
      </c>
      <c r="S212" s="4" t="s">
        <v>71</v>
      </c>
      <c r="T212" s="4" t="s">
        <v>71</v>
      </c>
      <c r="U212" s="4" t="str">
        <f t="shared" si="3"/>
        <v>NO</v>
      </c>
    </row>
    <row r="213" spans="1:21" ht="42" customHeight="1">
      <c r="A213" s="4" t="s">
        <v>1355</v>
      </c>
      <c r="B213" s="4" t="s">
        <v>591</v>
      </c>
      <c r="C213" s="4" t="s">
        <v>191</v>
      </c>
      <c r="D213" s="4" t="s">
        <v>591</v>
      </c>
      <c r="E213" s="4" t="s">
        <v>191</v>
      </c>
      <c r="F213" s="4" t="s">
        <v>1009</v>
      </c>
      <c r="G213" s="4" t="s">
        <v>1356</v>
      </c>
      <c r="H213" s="4" t="s">
        <v>1018</v>
      </c>
      <c r="I213" s="4"/>
      <c r="J213" s="4" t="s">
        <v>1018</v>
      </c>
      <c r="K213" s="4" t="s">
        <v>83</v>
      </c>
      <c r="L213" s="4" t="s">
        <v>55</v>
      </c>
      <c r="M213" s="4" t="s">
        <v>1012</v>
      </c>
      <c r="N213" s="4" t="s">
        <v>83</v>
      </c>
      <c r="O213" s="4" t="s">
        <v>71</v>
      </c>
      <c r="P213" s="4" t="s">
        <v>71</v>
      </c>
      <c r="Q213" s="4"/>
      <c r="R213" s="4" t="s">
        <v>143</v>
      </c>
      <c r="S213" s="4" t="s">
        <v>71</v>
      </c>
      <c r="T213" s="4" t="s">
        <v>71</v>
      </c>
      <c r="U213" s="4" t="str">
        <f t="shared" si="3"/>
        <v>NO</v>
      </c>
    </row>
    <row r="214" spans="1:21" ht="42" customHeight="1">
      <c r="A214" s="4" t="s">
        <v>1357</v>
      </c>
      <c r="B214" s="4" t="s">
        <v>591</v>
      </c>
      <c r="C214" s="4" t="s">
        <v>186</v>
      </c>
      <c r="D214" s="4" t="s">
        <v>591</v>
      </c>
      <c r="E214" s="4" t="s">
        <v>186</v>
      </c>
      <c r="F214" s="4" t="s">
        <v>1009</v>
      </c>
      <c r="G214" s="4" t="s">
        <v>1358</v>
      </c>
      <c r="H214" s="4" t="s">
        <v>1018</v>
      </c>
      <c r="I214" s="4"/>
      <c r="J214" s="4" t="s">
        <v>1018</v>
      </c>
      <c r="K214" s="4" t="s">
        <v>83</v>
      </c>
      <c r="L214" s="4" t="s">
        <v>55</v>
      </c>
      <c r="M214" s="4" t="s">
        <v>1012</v>
      </c>
      <c r="N214" s="4" t="s">
        <v>83</v>
      </c>
      <c r="O214" s="4" t="s">
        <v>71</v>
      </c>
      <c r="P214" s="4" t="s">
        <v>71</v>
      </c>
      <c r="Q214" s="4"/>
      <c r="R214" s="4" t="s">
        <v>143</v>
      </c>
      <c r="S214" s="4" t="s">
        <v>71</v>
      </c>
      <c r="T214" s="4" t="s">
        <v>71</v>
      </c>
      <c r="U214" s="4" t="str">
        <f t="shared" si="3"/>
        <v>NO</v>
      </c>
    </row>
    <row r="215" spans="1:21" ht="42" customHeight="1">
      <c r="A215" s="4" t="s">
        <v>1359</v>
      </c>
      <c r="B215" s="4" t="s">
        <v>594</v>
      </c>
      <c r="C215" s="4" t="s">
        <v>179</v>
      </c>
      <c r="D215" s="4" t="s">
        <v>594</v>
      </c>
      <c r="E215" s="4" t="s">
        <v>179</v>
      </c>
      <c r="F215" s="4" t="s">
        <v>1009</v>
      </c>
      <c r="G215" s="4" t="s">
        <v>1360</v>
      </c>
      <c r="H215" s="4" t="s">
        <v>1018</v>
      </c>
      <c r="I215" s="4"/>
      <c r="J215" s="4" t="s">
        <v>1018</v>
      </c>
      <c r="K215" s="4" t="s">
        <v>83</v>
      </c>
      <c r="L215" s="4" t="s">
        <v>55</v>
      </c>
      <c r="M215" s="4" t="s">
        <v>1012</v>
      </c>
      <c r="N215" s="4" t="s">
        <v>83</v>
      </c>
      <c r="O215" s="4" t="s">
        <v>71</v>
      </c>
      <c r="P215" s="4" t="s">
        <v>71</v>
      </c>
      <c r="Q215" s="4"/>
      <c r="R215" s="4" t="s">
        <v>143</v>
      </c>
      <c r="S215" s="4" t="s">
        <v>71</v>
      </c>
      <c r="T215" s="4" t="s">
        <v>71</v>
      </c>
      <c r="U215" s="4" t="str">
        <f t="shared" si="3"/>
        <v>NO</v>
      </c>
    </row>
    <row r="216" spans="1:21" ht="42" customHeight="1">
      <c r="A216" s="4" t="s">
        <v>1361</v>
      </c>
      <c r="B216" s="4" t="s">
        <v>597</v>
      </c>
      <c r="C216" s="4" t="s">
        <v>241</v>
      </c>
      <c r="D216" s="4" t="s">
        <v>597</v>
      </c>
      <c r="E216" s="4" t="s">
        <v>241</v>
      </c>
      <c r="F216" s="4" t="s">
        <v>1009</v>
      </c>
      <c r="G216" s="4" t="s">
        <v>1362</v>
      </c>
      <c r="H216" s="4" t="s">
        <v>1018</v>
      </c>
      <c r="I216" s="4"/>
      <c r="J216" s="4" t="s">
        <v>1018</v>
      </c>
      <c r="K216" s="4" t="s">
        <v>77</v>
      </c>
      <c r="L216" s="4" t="s">
        <v>81</v>
      </c>
      <c r="M216" s="4" t="s">
        <v>1012</v>
      </c>
      <c r="N216" s="4" t="s">
        <v>81</v>
      </c>
      <c r="O216" s="4" t="s">
        <v>71</v>
      </c>
      <c r="P216" s="4" t="s">
        <v>71</v>
      </c>
      <c r="Q216" s="4"/>
      <c r="R216" s="4" t="s">
        <v>143</v>
      </c>
      <c r="S216" s="4" t="s">
        <v>71</v>
      </c>
      <c r="T216" s="4" t="s">
        <v>71</v>
      </c>
      <c r="U216" s="4" t="str">
        <f t="shared" si="3"/>
        <v>NO</v>
      </c>
    </row>
    <row r="217" spans="1:21" ht="42" customHeight="1">
      <c r="A217" s="4" t="s">
        <v>1363</v>
      </c>
      <c r="B217" s="4" t="s">
        <v>600</v>
      </c>
      <c r="C217" s="4" t="s">
        <v>245</v>
      </c>
      <c r="D217" s="4" t="s">
        <v>600</v>
      </c>
      <c r="E217" s="4" t="s">
        <v>245</v>
      </c>
      <c r="F217" s="4" t="s">
        <v>1009</v>
      </c>
      <c r="G217" s="4" t="s">
        <v>1364</v>
      </c>
      <c r="H217" s="4" t="s">
        <v>1018</v>
      </c>
      <c r="I217" s="4"/>
      <c r="J217" s="4" t="s">
        <v>1018</v>
      </c>
      <c r="K217" s="4" t="s">
        <v>86</v>
      </c>
      <c r="L217" s="4" t="s">
        <v>86</v>
      </c>
      <c r="M217" s="4" t="s">
        <v>1021</v>
      </c>
      <c r="N217" s="4" t="s">
        <v>86</v>
      </c>
      <c r="O217" s="4" t="s">
        <v>71</v>
      </c>
      <c r="P217" s="4" t="s">
        <v>71</v>
      </c>
      <c r="Q217" s="4"/>
      <c r="R217" s="4" t="s">
        <v>143</v>
      </c>
      <c r="S217" s="4" t="s">
        <v>71</v>
      </c>
      <c r="T217" s="4" t="s">
        <v>71</v>
      </c>
      <c r="U217" s="4" t="str">
        <f t="shared" si="3"/>
        <v>NO</v>
      </c>
    </row>
    <row r="218" spans="1:21" ht="42" customHeight="1">
      <c r="A218" s="4" t="s">
        <v>1365</v>
      </c>
      <c r="B218" s="4" t="s">
        <v>600</v>
      </c>
      <c r="C218" s="4" t="s">
        <v>537</v>
      </c>
      <c r="D218" s="4" t="s">
        <v>600</v>
      </c>
      <c r="E218" s="4" t="s">
        <v>537</v>
      </c>
      <c r="F218" s="4" t="s">
        <v>1009</v>
      </c>
      <c r="G218" s="4" t="s">
        <v>1366</v>
      </c>
      <c r="H218" s="4" t="s">
        <v>1018</v>
      </c>
      <c r="I218" s="4"/>
      <c r="J218" s="4" t="s">
        <v>1018</v>
      </c>
      <c r="K218" s="4" t="s">
        <v>86</v>
      </c>
      <c r="L218" s="4" t="s">
        <v>92</v>
      </c>
      <c r="M218" s="4" t="s">
        <v>1012</v>
      </c>
      <c r="N218" s="4" t="s">
        <v>92</v>
      </c>
      <c r="O218" s="4" t="s">
        <v>71</v>
      </c>
      <c r="P218" s="4" t="s">
        <v>71</v>
      </c>
      <c r="Q218" s="4"/>
      <c r="R218" s="4" t="s">
        <v>143</v>
      </c>
      <c r="S218" s="4" t="s">
        <v>71</v>
      </c>
      <c r="T218" s="4" t="s">
        <v>71</v>
      </c>
      <c r="U218" s="4" t="str">
        <f t="shared" si="3"/>
        <v>NO</v>
      </c>
    </row>
    <row r="219" spans="1:21" ht="42" customHeight="1">
      <c r="A219" s="4" t="s">
        <v>1367</v>
      </c>
      <c r="B219" s="4" t="s">
        <v>600</v>
      </c>
      <c r="C219" s="4" t="s">
        <v>597</v>
      </c>
      <c r="D219" s="4" t="s">
        <v>600</v>
      </c>
      <c r="E219" s="4" t="s">
        <v>597</v>
      </c>
      <c r="F219" s="4" t="s">
        <v>1009</v>
      </c>
      <c r="G219" s="4" t="s">
        <v>1368</v>
      </c>
      <c r="H219" s="4" t="s">
        <v>1018</v>
      </c>
      <c r="I219" s="4"/>
      <c r="J219" s="4" t="s">
        <v>1018</v>
      </c>
      <c r="K219" s="4" t="s">
        <v>86</v>
      </c>
      <c r="L219" s="4" t="s">
        <v>77</v>
      </c>
      <c r="M219" s="4" t="s">
        <v>1012</v>
      </c>
      <c r="N219" s="4" t="s">
        <v>86</v>
      </c>
      <c r="O219" s="4" t="s">
        <v>71</v>
      </c>
      <c r="P219" s="4" t="s">
        <v>71</v>
      </c>
      <c r="Q219" s="4"/>
      <c r="R219" s="4" t="s">
        <v>143</v>
      </c>
      <c r="S219" s="4" t="s">
        <v>71</v>
      </c>
      <c r="T219" s="4" t="s">
        <v>71</v>
      </c>
      <c r="U219" s="4" t="str">
        <f t="shared" si="3"/>
        <v>NO</v>
      </c>
    </row>
    <row r="220" spans="1:21" ht="42" customHeight="1">
      <c r="A220" s="4" t="s">
        <v>1369</v>
      </c>
      <c r="B220" s="4" t="s">
        <v>604</v>
      </c>
      <c r="C220" s="4" t="s">
        <v>402</v>
      </c>
      <c r="D220" s="4" t="s">
        <v>604</v>
      </c>
      <c r="E220" s="4" t="s">
        <v>402</v>
      </c>
      <c r="F220" s="4" t="s">
        <v>1009</v>
      </c>
      <c r="G220" s="4" t="s">
        <v>1370</v>
      </c>
      <c r="H220" s="4" t="s">
        <v>1018</v>
      </c>
      <c r="I220" s="4"/>
      <c r="J220" s="4" t="s">
        <v>1018</v>
      </c>
      <c r="K220" s="4" t="s">
        <v>55</v>
      </c>
      <c r="L220" s="4" t="s">
        <v>75</v>
      </c>
      <c r="M220" s="4" t="s">
        <v>1012</v>
      </c>
      <c r="N220" s="4" t="s">
        <v>75</v>
      </c>
      <c r="O220" s="4" t="s">
        <v>71</v>
      </c>
      <c r="P220" s="4" t="s">
        <v>71</v>
      </c>
      <c r="Q220" s="4"/>
      <c r="R220" s="4" t="s">
        <v>143</v>
      </c>
      <c r="S220" s="4" t="s">
        <v>71</v>
      </c>
      <c r="T220" s="4" t="s">
        <v>71</v>
      </c>
      <c r="U220" s="4" t="str">
        <f t="shared" si="3"/>
        <v>NO</v>
      </c>
    </row>
    <row r="221" spans="1:21" ht="42" customHeight="1">
      <c r="A221" s="4" t="s">
        <v>1371</v>
      </c>
      <c r="B221" s="4" t="s">
        <v>608</v>
      </c>
      <c r="C221" s="4" t="s">
        <v>384</v>
      </c>
      <c r="D221" s="4" t="s">
        <v>608</v>
      </c>
      <c r="E221" s="4" t="s">
        <v>384</v>
      </c>
      <c r="F221" s="4" t="s">
        <v>1009</v>
      </c>
      <c r="G221" s="4" t="s">
        <v>1372</v>
      </c>
      <c r="H221" s="4" t="s">
        <v>1018</v>
      </c>
      <c r="I221" s="4"/>
      <c r="J221" s="4" t="s">
        <v>1018</v>
      </c>
      <c r="K221" s="4" t="s">
        <v>72</v>
      </c>
      <c r="L221" s="4" t="s">
        <v>58</v>
      </c>
      <c r="M221" s="4" t="s">
        <v>1012</v>
      </c>
      <c r="N221" s="4" t="s">
        <v>72</v>
      </c>
      <c r="O221" s="4" t="s">
        <v>71</v>
      </c>
      <c r="P221" s="4" t="s">
        <v>71</v>
      </c>
      <c r="Q221" s="4"/>
      <c r="R221" s="4" t="s">
        <v>143</v>
      </c>
      <c r="S221" s="4" t="s">
        <v>71</v>
      </c>
      <c r="T221" s="4" t="s">
        <v>71</v>
      </c>
      <c r="U221" s="4" t="str">
        <f t="shared" si="3"/>
        <v>NO</v>
      </c>
    </row>
    <row r="222" spans="1:21" ht="42" customHeight="1">
      <c r="A222" s="4" t="s">
        <v>1373</v>
      </c>
      <c r="B222" s="4" t="s">
        <v>611</v>
      </c>
      <c r="C222" s="4" t="s">
        <v>501</v>
      </c>
      <c r="D222" s="4" t="s">
        <v>611</v>
      </c>
      <c r="E222" s="4" t="s">
        <v>501</v>
      </c>
      <c r="F222" s="4" t="s">
        <v>1009</v>
      </c>
      <c r="G222" s="4" t="s">
        <v>1374</v>
      </c>
      <c r="H222" s="4" t="s">
        <v>1018</v>
      </c>
      <c r="I222" s="4"/>
      <c r="J222" s="4" t="s">
        <v>1018</v>
      </c>
      <c r="K222" s="4" t="s">
        <v>77</v>
      </c>
      <c r="L222" s="4" t="s">
        <v>81</v>
      </c>
      <c r="M222" s="4" t="s">
        <v>1012</v>
      </c>
      <c r="N222" s="4" t="s">
        <v>81</v>
      </c>
      <c r="O222" s="4" t="s">
        <v>71</v>
      </c>
      <c r="P222" s="4" t="s">
        <v>71</v>
      </c>
      <c r="Q222" s="4"/>
      <c r="R222" s="4" t="s">
        <v>143</v>
      </c>
      <c r="S222" s="4" t="s">
        <v>71</v>
      </c>
      <c r="T222" s="4" t="s">
        <v>71</v>
      </c>
      <c r="U222" s="4" t="str">
        <f t="shared" si="3"/>
        <v>NO</v>
      </c>
    </row>
    <row r="223" spans="1:21" ht="42" customHeight="1">
      <c r="A223" s="4" t="s">
        <v>1375</v>
      </c>
      <c r="B223" s="4" t="s">
        <v>614</v>
      </c>
      <c r="C223" s="4" t="s">
        <v>472</v>
      </c>
      <c r="D223" s="4" t="s">
        <v>614</v>
      </c>
      <c r="E223" s="4" t="s">
        <v>472</v>
      </c>
      <c r="F223" s="4" t="s">
        <v>1009</v>
      </c>
      <c r="G223" s="4" t="s">
        <v>1376</v>
      </c>
      <c r="H223" s="4" t="s">
        <v>1018</v>
      </c>
      <c r="I223" s="4"/>
      <c r="J223" s="4" t="s">
        <v>1018</v>
      </c>
      <c r="K223" s="4" t="s">
        <v>61</v>
      </c>
      <c r="L223" s="4" t="s">
        <v>90</v>
      </c>
      <c r="M223" s="4" t="s">
        <v>1012</v>
      </c>
      <c r="N223" s="4" t="s">
        <v>90</v>
      </c>
      <c r="O223" s="4" t="s">
        <v>71</v>
      </c>
      <c r="P223" s="4" t="s">
        <v>71</v>
      </c>
      <c r="Q223" s="4"/>
      <c r="R223" s="4" t="s">
        <v>143</v>
      </c>
      <c r="S223" s="4" t="s">
        <v>71</v>
      </c>
      <c r="T223" s="4" t="s">
        <v>71</v>
      </c>
      <c r="U223" s="4" t="str">
        <f t="shared" si="3"/>
        <v>NO</v>
      </c>
    </row>
    <row r="224" spans="1:21" ht="42" customHeight="1">
      <c r="A224" s="4" t="s">
        <v>1377</v>
      </c>
      <c r="B224" s="4" t="s">
        <v>614</v>
      </c>
      <c r="C224" s="4" t="s">
        <v>583</v>
      </c>
      <c r="D224" s="4" t="s">
        <v>614</v>
      </c>
      <c r="E224" s="4" t="s">
        <v>583</v>
      </c>
      <c r="F224" s="4" t="s">
        <v>1009</v>
      </c>
      <c r="G224" s="4" t="s">
        <v>1378</v>
      </c>
      <c r="H224" s="4" t="s">
        <v>1018</v>
      </c>
      <c r="I224" s="4"/>
      <c r="J224" s="4" t="s">
        <v>1018</v>
      </c>
      <c r="K224" s="4" t="s">
        <v>61</v>
      </c>
      <c r="L224" s="4" t="s">
        <v>77</v>
      </c>
      <c r="M224" s="4" t="s">
        <v>1012</v>
      </c>
      <c r="N224" s="4" t="s">
        <v>77</v>
      </c>
      <c r="O224" s="4" t="s">
        <v>71</v>
      </c>
      <c r="P224" s="4" t="s">
        <v>71</v>
      </c>
      <c r="Q224" s="4"/>
      <c r="R224" s="4" t="s">
        <v>143</v>
      </c>
      <c r="S224" s="4" t="s">
        <v>71</v>
      </c>
      <c r="T224" s="4" t="s">
        <v>71</v>
      </c>
      <c r="U224" s="4" t="str">
        <f t="shared" si="3"/>
        <v>NO</v>
      </c>
    </row>
    <row r="225" spans="1:21" ht="42" customHeight="1">
      <c r="A225" s="4" t="s">
        <v>1379</v>
      </c>
      <c r="B225" s="4" t="s">
        <v>617</v>
      </c>
      <c r="C225" s="4" t="s">
        <v>354</v>
      </c>
      <c r="D225" s="4" t="s">
        <v>617</v>
      </c>
      <c r="E225" s="4" t="s">
        <v>354</v>
      </c>
      <c r="F225" s="4" t="s">
        <v>1009</v>
      </c>
      <c r="G225" s="4" t="s">
        <v>1380</v>
      </c>
      <c r="H225" s="4" t="s">
        <v>1018</v>
      </c>
      <c r="I225" s="4"/>
      <c r="J225" s="4" t="s">
        <v>1018</v>
      </c>
      <c r="K225" s="4" t="s">
        <v>75</v>
      </c>
      <c r="L225" s="4" t="s">
        <v>75</v>
      </c>
      <c r="M225" s="4" t="s">
        <v>1021</v>
      </c>
      <c r="N225" s="4" t="s">
        <v>75</v>
      </c>
      <c r="O225" s="4" t="s">
        <v>71</v>
      </c>
      <c r="P225" s="4" t="s">
        <v>71</v>
      </c>
      <c r="Q225" s="4"/>
      <c r="R225" s="4" t="s">
        <v>143</v>
      </c>
      <c r="S225" s="4" t="s">
        <v>71</v>
      </c>
      <c r="T225" s="4" t="s">
        <v>71</v>
      </c>
      <c r="U225" s="4" t="str">
        <f t="shared" si="3"/>
        <v>NO</v>
      </c>
    </row>
    <row r="226" spans="1:21" ht="42" customHeight="1">
      <c r="A226" s="4" t="s">
        <v>1381</v>
      </c>
      <c r="B226" s="4" t="s">
        <v>617</v>
      </c>
      <c r="C226" s="4" t="s">
        <v>148</v>
      </c>
      <c r="D226" s="4" t="s">
        <v>617</v>
      </c>
      <c r="E226" s="4" t="s">
        <v>148</v>
      </c>
      <c r="F226" s="4" t="s">
        <v>1009</v>
      </c>
      <c r="G226" s="4" t="s">
        <v>1382</v>
      </c>
      <c r="H226" s="4" t="s">
        <v>1018</v>
      </c>
      <c r="I226" s="4"/>
      <c r="J226" s="4" t="s">
        <v>1018</v>
      </c>
      <c r="K226" s="4" t="s">
        <v>75</v>
      </c>
      <c r="L226" s="4" t="s">
        <v>48</v>
      </c>
      <c r="M226" s="4" t="s">
        <v>1012</v>
      </c>
      <c r="N226" s="4" t="s">
        <v>75</v>
      </c>
      <c r="O226" s="4" t="s">
        <v>71</v>
      </c>
      <c r="P226" s="4" t="s">
        <v>71</v>
      </c>
      <c r="Q226" s="4"/>
      <c r="R226" s="4" t="s">
        <v>143</v>
      </c>
      <c r="S226" s="4" t="s">
        <v>71</v>
      </c>
      <c r="T226" s="4" t="s">
        <v>71</v>
      </c>
      <c r="U226" s="4" t="str">
        <f t="shared" si="3"/>
        <v>NO</v>
      </c>
    </row>
    <row r="227" spans="1:21" ht="42" customHeight="1">
      <c r="A227" s="4" t="s">
        <v>1383</v>
      </c>
      <c r="B227" s="4" t="s">
        <v>620</v>
      </c>
      <c r="C227" s="4" t="s">
        <v>633</v>
      </c>
      <c r="D227" s="4" t="s">
        <v>620</v>
      </c>
      <c r="E227" s="4" t="s">
        <v>633</v>
      </c>
      <c r="F227" s="4" t="s">
        <v>1009</v>
      </c>
      <c r="G227" s="4" t="s">
        <v>1384</v>
      </c>
      <c r="H227" s="4" t="s">
        <v>1018</v>
      </c>
      <c r="I227" s="4"/>
      <c r="J227" s="4" t="s">
        <v>1018</v>
      </c>
      <c r="K227" s="4" t="s">
        <v>83</v>
      </c>
      <c r="L227" s="4" t="s">
        <v>58</v>
      </c>
      <c r="M227" s="4" t="s">
        <v>1012</v>
      </c>
      <c r="N227" s="4" t="s">
        <v>83</v>
      </c>
      <c r="O227" s="4" t="s">
        <v>71</v>
      </c>
      <c r="P227" s="4" t="s">
        <v>71</v>
      </c>
      <c r="Q227" s="4"/>
      <c r="R227" s="4" t="s">
        <v>143</v>
      </c>
      <c r="S227" s="4" t="s">
        <v>71</v>
      </c>
      <c r="T227" s="4" t="s">
        <v>71</v>
      </c>
      <c r="U227" s="4" t="str">
        <f t="shared" si="3"/>
        <v>NO</v>
      </c>
    </row>
    <row r="228" spans="1:21" ht="42" customHeight="1">
      <c r="A228" s="4" t="s">
        <v>1385</v>
      </c>
      <c r="B228" s="4" t="s">
        <v>624</v>
      </c>
      <c r="C228" s="4" t="s">
        <v>478</v>
      </c>
      <c r="D228" s="4" t="s">
        <v>624</v>
      </c>
      <c r="E228" s="4" t="s">
        <v>478</v>
      </c>
      <c r="F228" s="4" t="s">
        <v>1009</v>
      </c>
      <c r="G228" s="4" t="s">
        <v>1386</v>
      </c>
      <c r="H228" s="4" t="s">
        <v>1018</v>
      </c>
      <c r="I228" s="4"/>
      <c r="J228" s="4" t="s">
        <v>1018</v>
      </c>
      <c r="K228" s="4" t="s">
        <v>58</v>
      </c>
      <c r="L228" s="4" t="s">
        <v>58</v>
      </c>
      <c r="M228" s="4" t="s">
        <v>1021</v>
      </c>
      <c r="N228" s="4" t="s">
        <v>58</v>
      </c>
      <c r="O228" s="4" t="s">
        <v>71</v>
      </c>
      <c r="P228" s="4" t="s">
        <v>71</v>
      </c>
      <c r="Q228" s="4"/>
      <c r="R228" s="4" t="s">
        <v>143</v>
      </c>
      <c r="S228" s="4" t="s">
        <v>71</v>
      </c>
      <c r="T228" s="4" t="s">
        <v>71</v>
      </c>
      <c r="U228" s="4" t="str">
        <f t="shared" si="3"/>
        <v>NO</v>
      </c>
    </row>
    <row r="229" spans="1:21" ht="42" customHeight="1">
      <c r="A229" s="4" t="s">
        <v>1387</v>
      </c>
      <c r="B229" s="4" t="s">
        <v>624</v>
      </c>
      <c r="C229" s="4" t="s">
        <v>440</v>
      </c>
      <c r="D229" s="4" t="s">
        <v>624</v>
      </c>
      <c r="E229" s="4" t="s">
        <v>440</v>
      </c>
      <c r="F229" s="4" t="s">
        <v>1009</v>
      </c>
      <c r="G229" s="4" t="s">
        <v>1388</v>
      </c>
      <c r="H229" s="4" t="s">
        <v>1018</v>
      </c>
      <c r="I229" s="4"/>
      <c r="J229" s="4" t="s">
        <v>1018</v>
      </c>
      <c r="K229" s="4" t="s">
        <v>58</v>
      </c>
      <c r="L229" s="4" t="s">
        <v>83</v>
      </c>
      <c r="M229" s="4" t="s">
        <v>1012</v>
      </c>
      <c r="N229" s="4" t="s">
        <v>83</v>
      </c>
      <c r="O229" s="4" t="s">
        <v>71</v>
      </c>
      <c r="P229" s="4" t="s">
        <v>71</v>
      </c>
      <c r="Q229" s="4"/>
      <c r="R229" s="4" t="s">
        <v>143</v>
      </c>
      <c r="S229" s="4" t="s">
        <v>71</v>
      </c>
      <c r="T229" s="4" t="s">
        <v>71</v>
      </c>
      <c r="U229" s="4" t="str">
        <f t="shared" si="3"/>
        <v>NO</v>
      </c>
    </row>
    <row r="230" spans="1:21" ht="42" customHeight="1">
      <c r="A230" s="4" t="s">
        <v>1389</v>
      </c>
      <c r="B230" s="4" t="s">
        <v>627</v>
      </c>
      <c r="C230" s="4" t="s">
        <v>261</v>
      </c>
      <c r="D230" s="4" t="s">
        <v>627</v>
      </c>
      <c r="E230" s="4" t="s">
        <v>261</v>
      </c>
      <c r="F230" s="4" t="s">
        <v>1009</v>
      </c>
      <c r="G230" s="4" t="s">
        <v>1390</v>
      </c>
      <c r="H230" s="4" t="s">
        <v>1011</v>
      </c>
      <c r="I230" s="4"/>
      <c r="J230" s="4" t="s">
        <v>1011</v>
      </c>
      <c r="K230" s="4" t="s">
        <v>83</v>
      </c>
      <c r="L230" s="4" t="s">
        <v>77</v>
      </c>
      <c r="M230" s="4" t="s">
        <v>1012</v>
      </c>
      <c r="N230" s="4" t="s">
        <v>83</v>
      </c>
      <c r="O230" s="4" t="s">
        <v>71</v>
      </c>
      <c r="P230" s="4" t="s">
        <v>71</v>
      </c>
      <c r="Q230" s="4"/>
      <c r="R230" s="4" t="s">
        <v>143</v>
      </c>
      <c r="S230" s="4" t="s">
        <v>71</v>
      </c>
      <c r="T230" s="4" t="s">
        <v>71</v>
      </c>
      <c r="U230" s="4" t="str">
        <f t="shared" si="3"/>
        <v>NO</v>
      </c>
    </row>
    <row r="231" spans="1:21" ht="42" customHeight="1">
      <c r="A231" s="4" t="s">
        <v>1391</v>
      </c>
      <c r="B231" s="4" t="s">
        <v>630</v>
      </c>
      <c r="C231" s="4" t="s">
        <v>478</v>
      </c>
      <c r="D231" s="4" t="s">
        <v>630</v>
      </c>
      <c r="E231" s="4" t="s">
        <v>478</v>
      </c>
      <c r="F231" s="4" t="s">
        <v>1009</v>
      </c>
      <c r="G231" s="4" t="s">
        <v>1392</v>
      </c>
      <c r="H231" s="4" t="s">
        <v>1018</v>
      </c>
      <c r="I231" s="4"/>
      <c r="J231" s="4" t="s">
        <v>1018</v>
      </c>
      <c r="K231" s="4" t="s">
        <v>72</v>
      </c>
      <c r="L231" s="4" t="s">
        <v>58</v>
      </c>
      <c r="M231" s="4" t="s">
        <v>1012</v>
      </c>
      <c r="N231" s="4" t="s">
        <v>72</v>
      </c>
      <c r="O231" s="4" t="s">
        <v>71</v>
      </c>
      <c r="P231" s="4" t="s">
        <v>71</v>
      </c>
      <c r="Q231" s="4"/>
      <c r="R231" s="4" t="s">
        <v>143</v>
      </c>
      <c r="S231" s="4" t="s">
        <v>71</v>
      </c>
      <c r="T231" s="4" t="s">
        <v>71</v>
      </c>
      <c r="U231" s="4" t="str">
        <f t="shared" si="3"/>
        <v>NO</v>
      </c>
    </row>
    <row r="232" spans="1:21" ht="42" customHeight="1">
      <c r="A232" s="4" t="s">
        <v>1393</v>
      </c>
      <c r="B232" s="4" t="s">
        <v>630</v>
      </c>
      <c r="C232" s="4" t="s">
        <v>427</v>
      </c>
      <c r="D232" s="4" t="s">
        <v>630</v>
      </c>
      <c r="E232" s="4" t="s">
        <v>427</v>
      </c>
      <c r="F232" s="4" t="s">
        <v>1009</v>
      </c>
      <c r="G232" s="4" t="s">
        <v>1394</v>
      </c>
      <c r="H232" s="4" t="s">
        <v>1018</v>
      </c>
      <c r="I232" s="4"/>
      <c r="J232" s="4" t="s">
        <v>1018</v>
      </c>
      <c r="K232" s="4" t="s">
        <v>72</v>
      </c>
      <c r="L232" s="4" t="s">
        <v>72</v>
      </c>
      <c r="M232" s="4" t="s">
        <v>1021</v>
      </c>
      <c r="N232" s="4" t="s">
        <v>72</v>
      </c>
      <c r="O232" s="4" t="s">
        <v>71</v>
      </c>
      <c r="P232" s="4" t="s">
        <v>71</v>
      </c>
      <c r="Q232" s="4"/>
      <c r="R232" s="4" t="s">
        <v>143</v>
      </c>
      <c r="S232" s="4" t="s">
        <v>71</v>
      </c>
      <c r="T232" s="4" t="s">
        <v>71</v>
      </c>
      <c r="U232" s="4" t="str">
        <f t="shared" si="3"/>
        <v>NO</v>
      </c>
    </row>
    <row r="233" spans="1:21" ht="42" customHeight="1">
      <c r="A233" s="4" t="s">
        <v>1395</v>
      </c>
      <c r="B233" s="4" t="s">
        <v>633</v>
      </c>
      <c r="C233" s="4" t="s">
        <v>297</v>
      </c>
      <c r="D233" s="4" t="s">
        <v>633</v>
      </c>
      <c r="E233" s="4" t="s">
        <v>297</v>
      </c>
      <c r="F233" s="4" t="s">
        <v>1009</v>
      </c>
      <c r="G233" s="4" t="s">
        <v>1396</v>
      </c>
      <c r="H233" s="4" t="s">
        <v>1018</v>
      </c>
      <c r="I233" s="4"/>
      <c r="J233" s="4" t="s">
        <v>1018</v>
      </c>
      <c r="K233" s="4" t="s">
        <v>58</v>
      </c>
      <c r="L233" s="4" t="s">
        <v>75</v>
      </c>
      <c r="M233" s="4" t="s">
        <v>1012</v>
      </c>
      <c r="N233" s="4" t="s">
        <v>75</v>
      </c>
      <c r="O233" s="4" t="s">
        <v>71</v>
      </c>
      <c r="P233" s="4" t="s">
        <v>71</v>
      </c>
      <c r="Q233" s="4"/>
      <c r="R233" s="4" t="s">
        <v>143</v>
      </c>
      <c r="S233" s="4" t="s">
        <v>71</v>
      </c>
      <c r="T233" s="4" t="s">
        <v>71</v>
      </c>
      <c r="U233" s="4" t="str">
        <f t="shared" si="3"/>
        <v>NO</v>
      </c>
    </row>
    <row r="234" spans="1:21" ht="42" customHeight="1">
      <c r="A234" s="4" t="s">
        <v>1397</v>
      </c>
      <c r="B234" s="4" t="s">
        <v>636</v>
      </c>
      <c r="C234" s="4" t="s">
        <v>120</v>
      </c>
      <c r="D234" s="4" t="s">
        <v>636</v>
      </c>
      <c r="E234" s="4" t="s">
        <v>120</v>
      </c>
      <c r="F234" s="4" t="s">
        <v>1009</v>
      </c>
      <c r="G234" s="4" t="s">
        <v>1398</v>
      </c>
      <c r="H234" s="4" t="s">
        <v>1018</v>
      </c>
      <c r="I234" s="4"/>
      <c r="J234" s="4" t="s">
        <v>1018</v>
      </c>
      <c r="K234" s="4" t="s">
        <v>86</v>
      </c>
      <c r="L234" s="4" t="s">
        <v>48</v>
      </c>
      <c r="M234" s="4" t="s">
        <v>1012</v>
      </c>
      <c r="N234" s="4" t="s">
        <v>86</v>
      </c>
      <c r="O234" s="4" t="s">
        <v>71</v>
      </c>
      <c r="P234" s="4" t="s">
        <v>71</v>
      </c>
      <c r="Q234" s="4"/>
      <c r="R234" s="4" t="s">
        <v>143</v>
      </c>
      <c r="S234" s="4" t="s">
        <v>71</v>
      </c>
      <c r="T234" s="4" t="s">
        <v>71</v>
      </c>
      <c r="U234" s="4" t="str">
        <f t="shared" si="3"/>
        <v>NO</v>
      </c>
    </row>
    <row r="235" spans="1:21" ht="42" customHeight="1">
      <c r="A235" s="4" t="s">
        <v>1399</v>
      </c>
      <c r="B235" s="4" t="s">
        <v>636</v>
      </c>
      <c r="C235" s="4" t="s">
        <v>135</v>
      </c>
      <c r="D235" s="4" t="s">
        <v>636</v>
      </c>
      <c r="E235" s="4" t="s">
        <v>135</v>
      </c>
      <c r="F235" s="4" t="s">
        <v>1009</v>
      </c>
      <c r="G235" s="4" t="s">
        <v>1400</v>
      </c>
      <c r="H235" s="4" t="s">
        <v>1011</v>
      </c>
      <c r="I235" s="4"/>
      <c r="J235" s="4" t="s">
        <v>1011</v>
      </c>
      <c r="K235" s="4" t="s">
        <v>86</v>
      </c>
      <c r="L235" s="4" t="s">
        <v>90</v>
      </c>
      <c r="M235" s="4" t="s">
        <v>1012</v>
      </c>
      <c r="N235" s="4" t="s">
        <v>90</v>
      </c>
      <c r="O235" s="4" t="s">
        <v>71</v>
      </c>
      <c r="P235" s="4" t="s">
        <v>71</v>
      </c>
      <c r="Q235" s="4"/>
      <c r="R235" s="4" t="s">
        <v>143</v>
      </c>
      <c r="S235" s="4" t="s">
        <v>71</v>
      </c>
      <c r="T235" s="4" t="s">
        <v>71</v>
      </c>
      <c r="U235" s="4" t="str">
        <f t="shared" si="3"/>
        <v>NO</v>
      </c>
    </row>
    <row r="236" spans="1:21" ht="42" customHeight="1">
      <c r="A236" s="4" t="s">
        <v>1401</v>
      </c>
      <c r="B236" s="4" t="s">
        <v>639</v>
      </c>
      <c r="C236" s="4" t="s">
        <v>472</v>
      </c>
      <c r="D236" s="4" t="s">
        <v>639</v>
      </c>
      <c r="E236" s="4" t="s">
        <v>472</v>
      </c>
      <c r="F236" s="4" t="s">
        <v>1009</v>
      </c>
      <c r="G236" s="4" t="s">
        <v>1402</v>
      </c>
      <c r="H236" s="4" t="s">
        <v>1018</v>
      </c>
      <c r="I236" s="4"/>
      <c r="J236" s="4" t="s">
        <v>1018</v>
      </c>
      <c r="K236" s="4" t="s">
        <v>61</v>
      </c>
      <c r="L236" s="4" t="s">
        <v>90</v>
      </c>
      <c r="M236" s="4" t="s">
        <v>1012</v>
      </c>
      <c r="N236" s="4" t="s">
        <v>90</v>
      </c>
      <c r="O236" s="4" t="s">
        <v>71</v>
      </c>
      <c r="P236" s="4" t="s">
        <v>71</v>
      </c>
      <c r="Q236" s="4"/>
      <c r="R236" s="4" t="s">
        <v>143</v>
      </c>
      <c r="S236" s="4" t="s">
        <v>71</v>
      </c>
      <c r="T236" s="4" t="s">
        <v>71</v>
      </c>
      <c r="U236" s="4" t="str">
        <f t="shared" si="3"/>
        <v>NO</v>
      </c>
    </row>
    <row r="237" spans="1:21" ht="42" customHeight="1">
      <c r="A237" s="4" t="s">
        <v>1403</v>
      </c>
      <c r="B237" s="4" t="s">
        <v>639</v>
      </c>
      <c r="C237" s="4" t="s">
        <v>583</v>
      </c>
      <c r="D237" s="4" t="s">
        <v>639</v>
      </c>
      <c r="E237" s="4" t="s">
        <v>583</v>
      </c>
      <c r="F237" s="4" t="s">
        <v>1009</v>
      </c>
      <c r="G237" s="4" t="s">
        <v>1404</v>
      </c>
      <c r="H237" s="4" t="s">
        <v>1018</v>
      </c>
      <c r="I237" s="4"/>
      <c r="J237" s="4" t="s">
        <v>1018</v>
      </c>
      <c r="K237" s="4" t="s">
        <v>61</v>
      </c>
      <c r="L237" s="4" t="s">
        <v>77</v>
      </c>
      <c r="M237" s="4" t="s">
        <v>1012</v>
      </c>
      <c r="N237" s="4" t="s">
        <v>77</v>
      </c>
      <c r="O237" s="4" t="s">
        <v>71</v>
      </c>
      <c r="P237" s="4" t="s">
        <v>71</v>
      </c>
      <c r="Q237" s="4"/>
      <c r="R237" s="4" t="s">
        <v>143</v>
      </c>
      <c r="S237" s="4" t="s">
        <v>71</v>
      </c>
      <c r="T237" s="4" t="s">
        <v>71</v>
      </c>
      <c r="U237" s="4" t="str">
        <f t="shared" si="3"/>
        <v>NO</v>
      </c>
    </row>
    <row r="238" spans="1:21" ht="42" customHeight="1">
      <c r="A238" s="4" t="s">
        <v>1405</v>
      </c>
      <c r="B238" s="4" t="s">
        <v>642</v>
      </c>
      <c r="C238" s="4" t="s">
        <v>245</v>
      </c>
      <c r="D238" s="4" t="s">
        <v>642</v>
      </c>
      <c r="E238" s="4" t="s">
        <v>245</v>
      </c>
      <c r="F238" s="4" t="s">
        <v>1009</v>
      </c>
      <c r="G238" s="4" t="s">
        <v>1406</v>
      </c>
      <c r="H238" s="4" t="s">
        <v>1018</v>
      </c>
      <c r="I238" s="4"/>
      <c r="J238" s="4" t="s">
        <v>1018</v>
      </c>
      <c r="K238" s="4" t="s">
        <v>61</v>
      </c>
      <c r="L238" s="4" t="s">
        <v>86</v>
      </c>
      <c r="M238" s="4" t="s">
        <v>1012</v>
      </c>
      <c r="N238" s="4" t="s">
        <v>86</v>
      </c>
      <c r="O238" s="4" t="s">
        <v>71</v>
      </c>
      <c r="P238" s="4" t="s">
        <v>71</v>
      </c>
      <c r="Q238" s="4"/>
      <c r="R238" s="4" t="s">
        <v>143</v>
      </c>
      <c r="S238" s="4" t="s">
        <v>71</v>
      </c>
      <c r="T238" s="4" t="s">
        <v>71</v>
      </c>
      <c r="U238" s="4" t="str">
        <f t="shared" si="3"/>
        <v>NO</v>
      </c>
    </row>
    <row r="239" spans="1:21" ht="42" customHeight="1">
      <c r="A239" s="4" t="s">
        <v>1407</v>
      </c>
      <c r="B239" s="4" t="s">
        <v>642</v>
      </c>
      <c r="C239" s="4" t="s">
        <v>261</v>
      </c>
      <c r="D239" s="4" t="s">
        <v>642</v>
      </c>
      <c r="E239" s="4" t="s">
        <v>261</v>
      </c>
      <c r="F239" s="4" t="s">
        <v>1009</v>
      </c>
      <c r="G239" s="4" t="s">
        <v>1408</v>
      </c>
      <c r="H239" s="4" t="s">
        <v>1018</v>
      </c>
      <c r="I239" s="4"/>
      <c r="J239" s="4" t="s">
        <v>1018</v>
      </c>
      <c r="K239" s="4" t="s">
        <v>61</v>
      </c>
      <c r="L239" s="4" t="s">
        <v>77</v>
      </c>
      <c r="M239" s="4" t="s">
        <v>1012</v>
      </c>
      <c r="N239" s="4" t="s">
        <v>77</v>
      </c>
      <c r="O239" s="4" t="s">
        <v>71</v>
      </c>
      <c r="P239" s="4" t="s">
        <v>71</v>
      </c>
      <c r="Q239" s="4"/>
      <c r="R239" s="4" t="s">
        <v>143</v>
      </c>
      <c r="S239" s="4" t="s">
        <v>71</v>
      </c>
      <c r="T239" s="4" t="s">
        <v>71</v>
      </c>
      <c r="U239" s="4" t="str">
        <f t="shared" si="3"/>
        <v>NO</v>
      </c>
    </row>
    <row r="240" spans="1:21" ht="42" customHeight="1">
      <c r="A240" s="4" t="s">
        <v>1409</v>
      </c>
      <c r="B240" s="4" t="s">
        <v>645</v>
      </c>
      <c r="C240" s="4" t="s">
        <v>120</v>
      </c>
      <c r="D240" s="4" t="s">
        <v>645</v>
      </c>
      <c r="E240" s="4" t="s">
        <v>120</v>
      </c>
      <c r="F240" s="4" t="s">
        <v>1009</v>
      </c>
      <c r="G240" s="4" t="s">
        <v>1410</v>
      </c>
      <c r="H240" s="4" t="s">
        <v>1018</v>
      </c>
      <c r="I240" s="4"/>
      <c r="J240" s="4" t="s">
        <v>1018</v>
      </c>
      <c r="K240" s="4" t="s">
        <v>69</v>
      </c>
      <c r="L240" s="4" t="s">
        <v>48</v>
      </c>
      <c r="M240" s="4" t="s">
        <v>1012</v>
      </c>
      <c r="N240" s="4" t="s">
        <v>69</v>
      </c>
      <c r="O240" s="4" t="s">
        <v>71</v>
      </c>
      <c r="P240" s="4" t="s">
        <v>71</v>
      </c>
      <c r="Q240" s="4"/>
      <c r="R240" s="4" t="s">
        <v>143</v>
      </c>
      <c r="S240" s="4" t="s">
        <v>71</v>
      </c>
      <c r="T240" s="4" t="s">
        <v>71</v>
      </c>
      <c r="U240" s="4" t="str">
        <f t="shared" si="3"/>
        <v>NO</v>
      </c>
    </row>
    <row r="241" spans="1:21" ht="42" customHeight="1">
      <c r="A241" s="4" t="s">
        <v>1411</v>
      </c>
      <c r="B241" s="4" t="s">
        <v>645</v>
      </c>
      <c r="C241" s="4" t="s">
        <v>161</v>
      </c>
      <c r="D241" s="4" t="s">
        <v>645</v>
      </c>
      <c r="E241" s="4" t="s">
        <v>161</v>
      </c>
      <c r="F241" s="4" t="s">
        <v>1009</v>
      </c>
      <c r="G241" s="4" t="s">
        <v>1412</v>
      </c>
      <c r="H241" s="4" t="s">
        <v>1018</v>
      </c>
      <c r="I241" s="4"/>
      <c r="J241" s="4" t="s">
        <v>1018</v>
      </c>
      <c r="K241" s="4" t="s">
        <v>69</v>
      </c>
      <c r="L241" s="4" t="s">
        <v>72</v>
      </c>
      <c r="M241" s="4" t="s">
        <v>1012</v>
      </c>
      <c r="N241" s="4" t="s">
        <v>72</v>
      </c>
      <c r="O241" s="4" t="s">
        <v>71</v>
      </c>
      <c r="P241" s="4" t="s">
        <v>71</v>
      </c>
      <c r="Q241" s="4"/>
      <c r="R241" s="4" t="s">
        <v>143</v>
      </c>
      <c r="S241" s="4" t="s">
        <v>71</v>
      </c>
      <c r="T241" s="4" t="s">
        <v>71</v>
      </c>
      <c r="U241" s="4" t="str">
        <f t="shared" si="3"/>
        <v>NO</v>
      </c>
    </row>
    <row r="242" spans="1:21" ht="42" customHeight="1">
      <c r="A242" s="4" t="s">
        <v>1413</v>
      </c>
      <c r="B242" s="4" t="s">
        <v>645</v>
      </c>
      <c r="C242" s="4" t="s">
        <v>461</v>
      </c>
      <c r="D242" s="4" t="s">
        <v>645</v>
      </c>
      <c r="E242" s="4" t="s">
        <v>461</v>
      </c>
      <c r="F242" s="4" t="s">
        <v>1009</v>
      </c>
      <c r="G242" s="4" t="s">
        <v>1414</v>
      </c>
      <c r="H242" s="4" t="s">
        <v>1018</v>
      </c>
      <c r="I242" s="4"/>
      <c r="J242" s="4" t="s">
        <v>1018</v>
      </c>
      <c r="K242" s="4" t="s">
        <v>69</v>
      </c>
      <c r="L242" s="4" t="s">
        <v>92</v>
      </c>
      <c r="M242" s="4" t="s">
        <v>1012</v>
      </c>
      <c r="N242" s="4" t="s">
        <v>92</v>
      </c>
      <c r="O242" s="4" t="s">
        <v>71</v>
      </c>
      <c r="P242" s="4" t="s">
        <v>71</v>
      </c>
      <c r="Q242" s="4"/>
      <c r="R242" s="4" t="s">
        <v>143</v>
      </c>
      <c r="S242" s="4" t="s">
        <v>71</v>
      </c>
      <c r="T242" s="4" t="s">
        <v>71</v>
      </c>
      <c r="U242" s="4" t="str">
        <f t="shared" si="3"/>
        <v>NO</v>
      </c>
    </row>
    <row r="243" spans="1:21" ht="42" customHeight="1">
      <c r="A243" s="4" t="s">
        <v>1415</v>
      </c>
      <c r="B243" s="4" t="s">
        <v>645</v>
      </c>
      <c r="C243" s="4" t="s">
        <v>469</v>
      </c>
      <c r="D243" s="4" t="s">
        <v>645</v>
      </c>
      <c r="E243" s="4" t="s">
        <v>469</v>
      </c>
      <c r="F243" s="4" t="s">
        <v>1009</v>
      </c>
      <c r="G243" s="4" t="s">
        <v>1416</v>
      </c>
      <c r="H243" s="4" t="s">
        <v>1018</v>
      </c>
      <c r="I243" s="4"/>
      <c r="J243" s="4" t="s">
        <v>1018</v>
      </c>
      <c r="K243" s="4" t="s">
        <v>69</v>
      </c>
      <c r="L243" s="4" t="s">
        <v>83</v>
      </c>
      <c r="M243" s="4" t="s">
        <v>1012</v>
      </c>
      <c r="N243" s="4" t="s">
        <v>83</v>
      </c>
      <c r="O243" s="4" t="s">
        <v>71</v>
      </c>
      <c r="P243" s="4" t="s">
        <v>71</v>
      </c>
      <c r="Q243" s="4"/>
      <c r="R243" s="4" t="s">
        <v>143</v>
      </c>
      <c r="S243" s="4" t="s">
        <v>71</v>
      </c>
      <c r="T243" s="4" t="s">
        <v>71</v>
      </c>
      <c r="U243" s="4" t="str">
        <f t="shared" si="3"/>
        <v>NO</v>
      </c>
    </row>
    <row r="244" spans="1:21" ht="42" customHeight="1">
      <c r="A244" s="4" t="s">
        <v>1417</v>
      </c>
      <c r="B244" s="4" t="s">
        <v>645</v>
      </c>
      <c r="C244" s="4" t="s">
        <v>360</v>
      </c>
      <c r="D244" s="4" t="s">
        <v>645</v>
      </c>
      <c r="E244" s="4" t="s">
        <v>360</v>
      </c>
      <c r="F244" s="4" t="s">
        <v>1009</v>
      </c>
      <c r="G244" s="4" t="s">
        <v>1418</v>
      </c>
      <c r="H244" s="4" t="s">
        <v>1018</v>
      </c>
      <c r="I244" s="4"/>
      <c r="J244" s="4" t="s">
        <v>1018</v>
      </c>
      <c r="K244" s="4" t="s">
        <v>69</v>
      </c>
      <c r="L244" s="4" t="s">
        <v>90</v>
      </c>
      <c r="M244" s="4" t="s">
        <v>1012</v>
      </c>
      <c r="N244" s="4" t="s">
        <v>90</v>
      </c>
      <c r="O244" s="4" t="s">
        <v>71</v>
      </c>
      <c r="P244" s="4" t="s">
        <v>71</v>
      </c>
      <c r="Q244" s="4"/>
      <c r="R244" s="4" t="s">
        <v>143</v>
      </c>
      <c r="S244" s="4" t="s">
        <v>71</v>
      </c>
      <c r="T244" s="4" t="s">
        <v>71</v>
      </c>
      <c r="U244" s="4" t="str">
        <f t="shared" si="3"/>
        <v>NO</v>
      </c>
    </row>
    <row r="245" spans="1:21" ht="42" customHeight="1">
      <c r="A245" s="4" t="s">
        <v>1419</v>
      </c>
      <c r="B245" s="4" t="s">
        <v>645</v>
      </c>
      <c r="C245" s="4" t="s">
        <v>472</v>
      </c>
      <c r="D245" s="4" t="s">
        <v>645</v>
      </c>
      <c r="E245" s="4" t="s">
        <v>472</v>
      </c>
      <c r="F245" s="4" t="s">
        <v>1009</v>
      </c>
      <c r="G245" s="4" t="s">
        <v>1420</v>
      </c>
      <c r="H245" s="4" t="s">
        <v>1018</v>
      </c>
      <c r="I245" s="4"/>
      <c r="J245" s="4" t="s">
        <v>1018</v>
      </c>
      <c r="K245" s="4" t="s">
        <v>69</v>
      </c>
      <c r="L245" s="4" t="s">
        <v>90</v>
      </c>
      <c r="M245" s="4" t="s">
        <v>1012</v>
      </c>
      <c r="N245" s="4" t="s">
        <v>90</v>
      </c>
      <c r="O245" s="4" t="s">
        <v>71</v>
      </c>
      <c r="P245" s="4" t="s">
        <v>71</v>
      </c>
      <c r="Q245" s="4"/>
      <c r="R245" s="4" t="s">
        <v>143</v>
      </c>
      <c r="S245" s="4" t="s">
        <v>71</v>
      </c>
      <c r="T245" s="4" t="s">
        <v>71</v>
      </c>
      <c r="U245" s="4" t="str">
        <f t="shared" si="3"/>
        <v>NO</v>
      </c>
    </row>
    <row r="246" spans="1:21" ht="42" customHeight="1">
      <c r="A246" s="4" t="s">
        <v>1421</v>
      </c>
      <c r="B246" s="4" t="s">
        <v>645</v>
      </c>
      <c r="C246" s="4" t="s">
        <v>144</v>
      </c>
      <c r="D246" s="4" t="s">
        <v>645</v>
      </c>
      <c r="E246" s="4" t="s">
        <v>144</v>
      </c>
      <c r="F246" s="4" t="s">
        <v>1016</v>
      </c>
      <c r="G246" s="4" t="s">
        <v>1010</v>
      </c>
      <c r="H246" s="4" t="s">
        <v>1011</v>
      </c>
      <c r="I246" s="4"/>
      <c r="J246" s="4" t="s">
        <v>1011</v>
      </c>
      <c r="K246" s="4" t="s">
        <v>69</v>
      </c>
      <c r="L246" s="4" t="s">
        <v>83</v>
      </c>
      <c r="M246" s="4" t="s">
        <v>1012</v>
      </c>
      <c r="N246" s="4" t="s">
        <v>83</v>
      </c>
      <c r="O246" s="4" t="s">
        <v>71</v>
      </c>
      <c r="P246" s="4" t="s">
        <v>71</v>
      </c>
      <c r="Q246" s="4"/>
      <c r="R246" s="4" t="s">
        <v>143</v>
      </c>
      <c r="S246" s="4" t="s">
        <v>71</v>
      </c>
      <c r="T246" s="4" t="s">
        <v>71</v>
      </c>
      <c r="U246" s="4" t="str">
        <f t="shared" si="3"/>
        <v>NO</v>
      </c>
    </row>
    <row r="247" spans="1:21" ht="42" customHeight="1">
      <c r="A247" s="4" t="s">
        <v>1422</v>
      </c>
      <c r="B247" s="4" t="s">
        <v>647</v>
      </c>
      <c r="C247" s="4" t="s">
        <v>624</v>
      </c>
      <c r="D247" s="4" t="s">
        <v>647</v>
      </c>
      <c r="E247" s="4" t="s">
        <v>624</v>
      </c>
      <c r="F247" s="4" t="s">
        <v>1009</v>
      </c>
      <c r="G247" s="4" t="s">
        <v>1010</v>
      </c>
      <c r="H247" s="4" t="s">
        <v>1011</v>
      </c>
      <c r="I247" s="4"/>
      <c r="J247" s="4" t="s">
        <v>1011</v>
      </c>
      <c r="K247" s="4" t="s">
        <v>83</v>
      </c>
      <c r="L247" s="4" t="s">
        <v>58</v>
      </c>
      <c r="M247" s="4" t="s">
        <v>1012</v>
      </c>
      <c r="N247" s="4" t="s">
        <v>83</v>
      </c>
      <c r="O247" s="4" t="s">
        <v>71</v>
      </c>
      <c r="P247" s="4" t="s">
        <v>71</v>
      </c>
      <c r="Q247" s="4"/>
      <c r="R247" s="4" t="s">
        <v>143</v>
      </c>
      <c r="S247" s="4" t="s">
        <v>71</v>
      </c>
      <c r="T247" s="4" t="s">
        <v>71</v>
      </c>
      <c r="U247" s="4" t="str">
        <f t="shared" si="3"/>
        <v>NO</v>
      </c>
    </row>
    <row r="248" spans="1:21" ht="42" customHeight="1">
      <c r="A248" s="4" t="s">
        <v>1423</v>
      </c>
      <c r="B248" s="4" t="s">
        <v>647</v>
      </c>
      <c r="C248" s="4" t="s">
        <v>642</v>
      </c>
      <c r="D248" s="4" t="s">
        <v>647</v>
      </c>
      <c r="E248" s="4" t="s">
        <v>642</v>
      </c>
      <c r="F248" s="4" t="s">
        <v>1009</v>
      </c>
      <c r="G248" s="4" t="s">
        <v>1010</v>
      </c>
      <c r="H248" s="4" t="s">
        <v>1011</v>
      </c>
      <c r="I248" s="4"/>
      <c r="J248" s="4" t="s">
        <v>1011</v>
      </c>
      <c r="K248" s="4" t="s">
        <v>83</v>
      </c>
      <c r="L248" s="4" t="s">
        <v>61</v>
      </c>
      <c r="M248" s="4" t="s">
        <v>1012</v>
      </c>
      <c r="N248" s="4" t="s">
        <v>83</v>
      </c>
      <c r="O248" s="4" t="s">
        <v>71</v>
      </c>
      <c r="P248" s="4" t="s">
        <v>71</v>
      </c>
      <c r="Q248" s="4"/>
      <c r="R248" s="4" t="s">
        <v>143</v>
      </c>
      <c r="S248" s="4" t="s">
        <v>71</v>
      </c>
      <c r="T248" s="4" t="s">
        <v>71</v>
      </c>
      <c r="U248" s="4" t="str">
        <f t="shared" si="3"/>
        <v>NO</v>
      </c>
    </row>
    <row r="249" spans="1:21" ht="42" customHeight="1">
      <c r="A249" s="4" t="s">
        <v>1424</v>
      </c>
      <c r="B249" s="4" t="s">
        <v>647</v>
      </c>
      <c r="C249" s="4" t="s">
        <v>257</v>
      </c>
      <c r="D249" s="4" t="s">
        <v>647</v>
      </c>
      <c r="E249" s="4" t="s">
        <v>257</v>
      </c>
      <c r="F249" s="4" t="s">
        <v>1009</v>
      </c>
      <c r="G249" s="4" t="s">
        <v>1010</v>
      </c>
      <c r="H249" s="4" t="s">
        <v>1011</v>
      </c>
      <c r="I249" s="4"/>
      <c r="J249" s="4" t="s">
        <v>1011</v>
      </c>
      <c r="K249" s="4" t="s">
        <v>83</v>
      </c>
      <c r="L249" s="4" t="s">
        <v>61</v>
      </c>
      <c r="M249" s="4" t="s">
        <v>1012</v>
      </c>
      <c r="N249" s="4" t="s">
        <v>83</v>
      </c>
      <c r="O249" s="4" t="s">
        <v>71</v>
      </c>
      <c r="P249" s="4" t="s">
        <v>71</v>
      </c>
      <c r="Q249" s="4"/>
      <c r="R249" s="4" t="s">
        <v>143</v>
      </c>
      <c r="S249" s="4" t="s">
        <v>71</v>
      </c>
      <c r="T249" s="4" t="s">
        <v>71</v>
      </c>
      <c r="U249" s="4" t="str">
        <f t="shared" si="3"/>
        <v>NO</v>
      </c>
    </row>
    <row r="250" spans="1:21" ht="42" customHeight="1">
      <c r="A250" s="4" t="s">
        <v>1425</v>
      </c>
      <c r="B250" s="4" t="s">
        <v>647</v>
      </c>
      <c r="C250" s="4" t="s">
        <v>120</v>
      </c>
      <c r="D250" s="4" t="s">
        <v>647</v>
      </c>
      <c r="E250" s="4" t="s">
        <v>120</v>
      </c>
      <c r="F250" s="4" t="s">
        <v>1009</v>
      </c>
      <c r="G250" s="4" t="s">
        <v>1010</v>
      </c>
      <c r="H250" s="4" t="s">
        <v>1011</v>
      </c>
      <c r="I250" s="4"/>
      <c r="J250" s="4" t="s">
        <v>1011</v>
      </c>
      <c r="K250" s="4" t="s">
        <v>83</v>
      </c>
      <c r="L250" s="4" t="s">
        <v>48</v>
      </c>
      <c r="M250" s="4" t="s">
        <v>1012</v>
      </c>
      <c r="N250" s="4" t="s">
        <v>83</v>
      </c>
      <c r="O250" s="4" t="s">
        <v>71</v>
      </c>
      <c r="P250" s="4" t="s">
        <v>71</v>
      </c>
      <c r="Q250" s="4"/>
      <c r="R250" s="4" t="s">
        <v>143</v>
      </c>
      <c r="S250" s="4" t="s">
        <v>71</v>
      </c>
      <c r="T250" s="4" t="s">
        <v>71</v>
      </c>
      <c r="U250" s="4" t="str">
        <f t="shared" si="3"/>
        <v>NO</v>
      </c>
    </row>
    <row r="251" spans="1:21" ht="42" customHeight="1">
      <c r="A251" s="4" t="s">
        <v>1426</v>
      </c>
      <c r="B251" s="4" t="s">
        <v>650</v>
      </c>
      <c r="C251" s="4" t="s">
        <v>120</v>
      </c>
      <c r="D251" s="4" t="s">
        <v>650</v>
      </c>
      <c r="E251" s="4" t="s">
        <v>120</v>
      </c>
      <c r="F251" s="4" t="s">
        <v>1009</v>
      </c>
      <c r="G251" s="4" t="s">
        <v>1427</v>
      </c>
      <c r="H251" s="4" t="s">
        <v>1018</v>
      </c>
      <c r="I251" s="4"/>
      <c r="J251" s="4" t="s">
        <v>1018</v>
      </c>
      <c r="K251" s="4" t="s">
        <v>88</v>
      </c>
      <c r="L251" s="4" t="s">
        <v>48</v>
      </c>
      <c r="M251" s="4" t="s">
        <v>1012</v>
      </c>
      <c r="N251" s="4" t="s">
        <v>88</v>
      </c>
      <c r="O251" s="4" t="s">
        <v>71</v>
      </c>
      <c r="P251" s="4" t="s">
        <v>71</v>
      </c>
      <c r="Q251" s="4"/>
      <c r="R251" s="4" t="s">
        <v>143</v>
      </c>
      <c r="S251" s="4" t="s">
        <v>71</v>
      </c>
      <c r="T251" s="4" t="s">
        <v>71</v>
      </c>
      <c r="U251" s="4" t="str">
        <f t="shared" si="3"/>
        <v>NO</v>
      </c>
    </row>
    <row r="252" spans="1:21" ht="42" customHeight="1">
      <c r="A252" s="4" t="s">
        <v>1428</v>
      </c>
      <c r="B252" s="4" t="s">
        <v>650</v>
      </c>
      <c r="C252" s="4" t="s">
        <v>465</v>
      </c>
      <c r="D252" s="4" t="s">
        <v>650</v>
      </c>
      <c r="E252" s="4" t="s">
        <v>465</v>
      </c>
      <c r="F252" s="4" t="s">
        <v>1009</v>
      </c>
      <c r="G252" s="4" t="s">
        <v>1429</v>
      </c>
      <c r="H252" s="4" t="s">
        <v>1018</v>
      </c>
      <c r="I252" s="4"/>
      <c r="J252" s="4" t="s">
        <v>1018</v>
      </c>
      <c r="K252" s="4" t="s">
        <v>88</v>
      </c>
      <c r="L252" s="4" t="s">
        <v>83</v>
      </c>
      <c r="M252" s="4" t="s">
        <v>1012</v>
      </c>
      <c r="N252" s="4" t="s">
        <v>88</v>
      </c>
      <c r="O252" s="4" t="s">
        <v>71</v>
      </c>
      <c r="P252" s="4" t="s">
        <v>71</v>
      </c>
      <c r="Q252" s="4"/>
      <c r="R252" s="4" t="s">
        <v>143</v>
      </c>
      <c r="S252" s="4" t="s">
        <v>71</v>
      </c>
      <c r="T252" s="4" t="s">
        <v>71</v>
      </c>
      <c r="U252" s="4" t="str">
        <f t="shared" si="3"/>
        <v>NO</v>
      </c>
    </row>
    <row r="253" spans="1:21" ht="42" customHeight="1">
      <c r="A253" s="4" t="s">
        <v>1430</v>
      </c>
      <c r="B253" s="4" t="s">
        <v>650</v>
      </c>
      <c r="C253" s="4" t="s">
        <v>340</v>
      </c>
      <c r="D253" s="4" t="s">
        <v>650</v>
      </c>
      <c r="E253" s="4" t="s">
        <v>340</v>
      </c>
      <c r="F253" s="4" t="s">
        <v>1009</v>
      </c>
      <c r="G253" s="4" t="s">
        <v>1431</v>
      </c>
      <c r="H253" s="4" t="s">
        <v>1018</v>
      </c>
      <c r="I253" s="4"/>
      <c r="J253" s="4" t="s">
        <v>1018</v>
      </c>
      <c r="K253" s="4" t="s">
        <v>88</v>
      </c>
      <c r="L253" s="4" t="s">
        <v>75</v>
      </c>
      <c r="M253" s="4" t="s">
        <v>1012</v>
      </c>
      <c r="N253" s="4" t="s">
        <v>88</v>
      </c>
      <c r="O253" s="4" t="s">
        <v>71</v>
      </c>
      <c r="P253" s="4" t="s">
        <v>71</v>
      </c>
      <c r="Q253" s="4"/>
      <c r="R253" s="4" t="s">
        <v>143</v>
      </c>
      <c r="S253" s="4" t="s">
        <v>71</v>
      </c>
      <c r="T253" s="4" t="s">
        <v>71</v>
      </c>
      <c r="U253" s="4" t="str">
        <f t="shared" si="3"/>
        <v>NO</v>
      </c>
    </row>
    <row r="254" spans="1:21" ht="42" customHeight="1">
      <c r="A254" s="4" t="s">
        <v>1432</v>
      </c>
      <c r="B254" s="4" t="s">
        <v>650</v>
      </c>
      <c r="C254" s="4" t="s">
        <v>555</v>
      </c>
      <c r="D254" s="4" t="s">
        <v>650</v>
      </c>
      <c r="E254" s="4" t="s">
        <v>555</v>
      </c>
      <c r="F254" s="4" t="s">
        <v>1009</v>
      </c>
      <c r="G254" s="4" t="s">
        <v>1433</v>
      </c>
      <c r="H254" s="4" t="s">
        <v>1018</v>
      </c>
      <c r="I254" s="4"/>
      <c r="J254" s="4" t="s">
        <v>1018</v>
      </c>
      <c r="K254" s="4" t="s">
        <v>88</v>
      </c>
      <c r="L254" s="4" t="s">
        <v>75</v>
      </c>
      <c r="M254" s="4" t="s">
        <v>1012</v>
      </c>
      <c r="N254" s="4" t="s">
        <v>88</v>
      </c>
      <c r="O254" s="4" t="s">
        <v>71</v>
      </c>
      <c r="P254" s="4" t="s">
        <v>71</v>
      </c>
      <c r="Q254" s="4"/>
      <c r="R254" s="4" t="s">
        <v>143</v>
      </c>
      <c r="S254" s="4" t="s">
        <v>71</v>
      </c>
      <c r="T254" s="4" t="s">
        <v>71</v>
      </c>
      <c r="U254" s="4" t="str">
        <f t="shared" si="3"/>
        <v>NO</v>
      </c>
    </row>
    <row r="255" spans="1:21" ht="42" customHeight="1">
      <c r="A255" s="4" t="s">
        <v>1434</v>
      </c>
      <c r="B255" s="4" t="s">
        <v>650</v>
      </c>
      <c r="C255" s="4" t="s">
        <v>455</v>
      </c>
      <c r="D255" s="4" t="s">
        <v>650</v>
      </c>
      <c r="E255" s="4" t="s">
        <v>455</v>
      </c>
      <c r="F255" s="4" t="s">
        <v>1009</v>
      </c>
      <c r="G255" s="4" t="s">
        <v>1010</v>
      </c>
      <c r="H255" s="4" t="s">
        <v>1011</v>
      </c>
      <c r="I255" s="4"/>
      <c r="J255" s="4" t="s">
        <v>1011</v>
      </c>
      <c r="K255" s="4" t="s">
        <v>88</v>
      </c>
      <c r="L255" s="4" t="s">
        <v>86</v>
      </c>
      <c r="M255" s="4" t="s">
        <v>1012</v>
      </c>
      <c r="N255" s="4" t="s">
        <v>88</v>
      </c>
      <c r="O255" s="4" t="s">
        <v>71</v>
      </c>
      <c r="P255" s="4" t="s">
        <v>71</v>
      </c>
      <c r="Q255" s="4"/>
      <c r="R255" s="4" t="s">
        <v>143</v>
      </c>
      <c r="S255" s="4" t="s">
        <v>71</v>
      </c>
      <c r="T255" s="4" t="s">
        <v>71</v>
      </c>
      <c r="U255" s="4" t="str">
        <f t="shared" si="3"/>
        <v>NO</v>
      </c>
    </row>
    <row r="256" spans="1:21" ht="42" customHeight="1">
      <c r="A256" s="4" t="s">
        <v>1435</v>
      </c>
      <c r="B256" s="4" t="s">
        <v>650</v>
      </c>
      <c r="C256" s="4" t="s">
        <v>515</v>
      </c>
      <c r="D256" s="4" t="s">
        <v>650</v>
      </c>
      <c r="E256" s="4" t="s">
        <v>515</v>
      </c>
      <c r="F256" s="4" t="s">
        <v>1009</v>
      </c>
      <c r="G256" s="4" t="s">
        <v>1010</v>
      </c>
      <c r="H256" s="4" t="s">
        <v>1011</v>
      </c>
      <c r="I256" s="4"/>
      <c r="J256" s="4" t="s">
        <v>1011</v>
      </c>
      <c r="K256" s="4" t="s">
        <v>88</v>
      </c>
      <c r="L256" s="4" t="s">
        <v>48</v>
      </c>
      <c r="M256" s="4" t="s">
        <v>1012</v>
      </c>
      <c r="N256" s="4" t="s">
        <v>88</v>
      </c>
      <c r="O256" s="4" t="s">
        <v>71</v>
      </c>
      <c r="P256" s="4" t="s">
        <v>71</v>
      </c>
      <c r="Q256" s="4"/>
      <c r="R256" s="4" t="s">
        <v>143</v>
      </c>
      <c r="S256" s="4" t="s">
        <v>71</v>
      </c>
      <c r="T256" s="4" t="s">
        <v>71</v>
      </c>
      <c r="U256" s="4" t="str">
        <f t="shared" si="3"/>
        <v>NO</v>
      </c>
    </row>
    <row r="257" spans="1:21" ht="42" customHeight="1">
      <c r="A257" s="4" t="s">
        <v>1436</v>
      </c>
      <c r="B257" s="4" t="s">
        <v>653</v>
      </c>
      <c r="C257" s="4" t="s">
        <v>508</v>
      </c>
      <c r="D257" s="4" t="s">
        <v>653</v>
      </c>
      <c r="E257" s="4" t="s">
        <v>508</v>
      </c>
      <c r="F257" s="4" t="s">
        <v>1009</v>
      </c>
      <c r="G257" s="4" t="s">
        <v>1010</v>
      </c>
      <c r="H257" s="4" t="s">
        <v>1011</v>
      </c>
      <c r="I257" s="4"/>
      <c r="J257" s="4" t="s">
        <v>1011</v>
      </c>
      <c r="K257" s="4" t="s">
        <v>90</v>
      </c>
      <c r="L257" s="4" t="s">
        <v>58</v>
      </c>
      <c r="M257" s="4" t="s">
        <v>1012</v>
      </c>
      <c r="N257" s="4" t="s">
        <v>90</v>
      </c>
      <c r="O257" s="4" t="s">
        <v>71</v>
      </c>
      <c r="P257" s="4" t="s">
        <v>71</v>
      </c>
      <c r="Q257" s="4"/>
      <c r="R257" s="4" t="s">
        <v>143</v>
      </c>
      <c r="S257" s="4" t="s">
        <v>71</v>
      </c>
      <c r="T257" s="4" t="s">
        <v>71</v>
      </c>
      <c r="U257" s="4" t="str">
        <f t="shared" si="3"/>
        <v>NO</v>
      </c>
    </row>
    <row r="258" spans="1:21" ht="42" customHeight="1">
      <c r="A258" s="4" t="s">
        <v>1437</v>
      </c>
      <c r="B258" s="4" t="s">
        <v>653</v>
      </c>
      <c r="C258" s="4" t="s">
        <v>226</v>
      </c>
      <c r="D258" s="4" t="s">
        <v>653</v>
      </c>
      <c r="E258" s="4" t="s">
        <v>226</v>
      </c>
      <c r="F258" s="4" t="s">
        <v>1009</v>
      </c>
      <c r="G258" s="4" t="s">
        <v>1010</v>
      </c>
      <c r="H258" s="4" t="s">
        <v>1011</v>
      </c>
      <c r="I258" s="4"/>
      <c r="J258" s="4" t="s">
        <v>1011</v>
      </c>
      <c r="K258" s="4" t="s">
        <v>90</v>
      </c>
      <c r="L258" s="4" t="s">
        <v>92</v>
      </c>
      <c r="M258" s="4" t="s">
        <v>1012</v>
      </c>
      <c r="N258" s="4" t="s">
        <v>92</v>
      </c>
      <c r="O258" s="4" t="s">
        <v>71</v>
      </c>
      <c r="P258" s="4" t="s">
        <v>71</v>
      </c>
      <c r="Q258" s="4"/>
      <c r="R258" s="4" t="s">
        <v>143</v>
      </c>
      <c r="S258" s="4" t="s">
        <v>71</v>
      </c>
      <c r="T258" s="4" t="s">
        <v>71</v>
      </c>
      <c r="U258" s="4" t="str">
        <f t="shared" si="3"/>
        <v>NO</v>
      </c>
    </row>
    <row r="259" spans="1:21" ht="42" customHeight="1">
      <c r="A259" s="4" t="s">
        <v>1438</v>
      </c>
      <c r="B259" s="4" t="s">
        <v>653</v>
      </c>
      <c r="C259" s="4" t="s">
        <v>358</v>
      </c>
      <c r="D259" s="4" t="s">
        <v>653</v>
      </c>
      <c r="E259" s="4" t="s">
        <v>358</v>
      </c>
      <c r="F259" s="4" t="s">
        <v>1009</v>
      </c>
      <c r="G259" s="4" t="s">
        <v>1010</v>
      </c>
      <c r="H259" s="4" t="s">
        <v>1011</v>
      </c>
      <c r="I259" s="4"/>
      <c r="J259" s="4" t="s">
        <v>1011</v>
      </c>
      <c r="K259" s="4" t="s">
        <v>90</v>
      </c>
      <c r="L259" s="4" t="s">
        <v>90</v>
      </c>
      <c r="M259" s="4" t="s">
        <v>1021</v>
      </c>
      <c r="N259" s="4" t="s">
        <v>90</v>
      </c>
      <c r="O259" s="4" t="s">
        <v>71</v>
      </c>
      <c r="P259" s="4" t="s">
        <v>71</v>
      </c>
      <c r="Q259" s="4"/>
      <c r="R259" s="4" t="s">
        <v>143</v>
      </c>
      <c r="S259" s="4" t="s">
        <v>71</v>
      </c>
      <c r="T259" s="4" t="s">
        <v>71</v>
      </c>
      <c r="U259" s="4" t="str">
        <f t="shared" si="3"/>
        <v>NO</v>
      </c>
    </row>
    <row r="260" spans="1:21" ht="42" customHeight="1">
      <c r="A260" s="4" t="s">
        <v>1439</v>
      </c>
      <c r="B260" s="4" t="s">
        <v>653</v>
      </c>
      <c r="C260" s="4" t="s">
        <v>236</v>
      </c>
      <c r="D260" s="4" t="s">
        <v>653</v>
      </c>
      <c r="E260" s="4" t="s">
        <v>236</v>
      </c>
      <c r="F260" s="4" t="s">
        <v>1009</v>
      </c>
      <c r="G260" s="4" t="s">
        <v>1010</v>
      </c>
      <c r="H260" s="4" t="s">
        <v>1011</v>
      </c>
      <c r="I260" s="4"/>
      <c r="J260" s="4" t="s">
        <v>1011</v>
      </c>
      <c r="K260" s="4" t="s">
        <v>90</v>
      </c>
      <c r="L260" s="4" t="s">
        <v>81</v>
      </c>
      <c r="M260" s="4" t="s">
        <v>1012</v>
      </c>
      <c r="N260" s="4" t="s">
        <v>90</v>
      </c>
      <c r="O260" s="4" t="s">
        <v>71</v>
      </c>
      <c r="P260" s="4" t="s">
        <v>71</v>
      </c>
      <c r="Q260" s="4"/>
      <c r="R260" s="4" t="s">
        <v>143</v>
      </c>
      <c r="S260" s="4" t="s">
        <v>71</v>
      </c>
      <c r="T260" s="4" t="s">
        <v>71</v>
      </c>
      <c r="U260" s="4" t="str">
        <f t="shared" si="3"/>
        <v>NO</v>
      </c>
    </row>
    <row r="261" spans="1:21" ht="42" customHeight="1">
      <c r="A261" s="4" t="s">
        <v>1440</v>
      </c>
      <c r="B261" s="4" t="s">
        <v>653</v>
      </c>
      <c r="C261" s="4" t="s">
        <v>475</v>
      </c>
      <c r="D261" s="4" t="s">
        <v>653</v>
      </c>
      <c r="E261" s="4" t="s">
        <v>475</v>
      </c>
      <c r="F261" s="4" t="s">
        <v>1009</v>
      </c>
      <c r="G261" s="4" t="s">
        <v>1010</v>
      </c>
      <c r="H261" s="4" t="s">
        <v>1011</v>
      </c>
      <c r="I261" s="4"/>
      <c r="J261" s="4" t="s">
        <v>1011</v>
      </c>
      <c r="K261" s="4" t="s">
        <v>90</v>
      </c>
      <c r="L261" s="4" t="s">
        <v>61</v>
      </c>
      <c r="M261" s="4" t="s">
        <v>1012</v>
      </c>
      <c r="N261" s="4" t="s">
        <v>90</v>
      </c>
      <c r="O261" s="4" t="s">
        <v>71</v>
      </c>
      <c r="P261" s="4" t="s">
        <v>71</v>
      </c>
      <c r="Q261" s="4"/>
      <c r="R261" s="4" t="s">
        <v>143</v>
      </c>
      <c r="S261" s="4" t="s">
        <v>71</v>
      </c>
      <c r="T261" s="4" t="s">
        <v>71</v>
      </c>
      <c r="U261" s="4" t="str">
        <f t="shared" ref="U261:U324" si="4">IF(AND(R261="revisada",S261="pasa",T261="aprobada",O261&lt;&gt;"pendiente",P261&lt;&gt;"pendiente",OR(J261="por_corroborar",AND(J261="corroborada",Q261&lt;&gt;""))),"SÍ","NO")</f>
        <v>NO</v>
      </c>
    </row>
    <row r="262" spans="1:21" ht="42" customHeight="1">
      <c r="A262" s="4" t="s">
        <v>1441</v>
      </c>
      <c r="B262" s="4" t="s">
        <v>653</v>
      </c>
      <c r="C262" s="4" t="s">
        <v>669</v>
      </c>
      <c r="D262" s="4" t="s">
        <v>653</v>
      </c>
      <c r="E262" s="4" t="s">
        <v>669</v>
      </c>
      <c r="F262" s="4" t="s">
        <v>1009</v>
      </c>
      <c r="G262" s="4" t="s">
        <v>1010</v>
      </c>
      <c r="H262" s="4" t="s">
        <v>1011</v>
      </c>
      <c r="I262" s="4"/>
      <c r="J262" s="4" t="s">
        <v>1011</v>
      </c>
      <c r="K262" s="4" t="s">
        <v>90</v>
      </c>
      <c r="L262" s="4" t="s">
        <v>92</v>
      </c>
      <c r="M262" s="4" t="s">
        <v>1012</v>
      </c>
      <c r="N262" s="4" t="s">
        <v>92</v>
      </c>
      <c r="O262" s="4" t="s">
        <v>71</v>
      </c>
      <c r="P262" s="4" t="s">
        <v>71</v>
      </c>
      <c r="Q262" s="4"/>
      <c r="R262" s="4" t="s">
        <v>143</v>
      </c>
      <c r="S262" s="4" t="s">
        <v>71</v>
      </c>
      <c r="T262" s="4" t="s">
        <v>71</v>
      </c>
      <c r="U262" s="4" t="str">
        <f t="shared" si="4"/>
        <v>NO</v>
      </c>
    </row>
    <row r="263" spans="1:21" ht="42" customHeight="1">
      <c r="A263" s="4" t="s">
        <v>1442</v>
      </c>
      <c r="B263" s="4" t="s">
        <v>656</v>
      </c>
      <c r="C263" s="4" t="s">
        <v>591</v>
      </c>
      <c r="D263" s="4" t="s">
        <v>656</v>
      </c>
      <c r="E263" s="4" t="s">
        <v>591</v>
      </c>
      <c r="F263" s="4" t="s">
        <v>1009</v>
      </c>
      <c r="G263" s="4" t="s">
        <v>1010</v>
      </c>
      <c r="H263" s="4" t="s">
        <v>1011</v>
      </c>
      <c r="I263" s="4"/>
      <c r="J263" s="4" t="s">
        <v>1011</v>
      </c>
      <c r="K263" s="4" t="s">
        <v>61</v>
      </c>
      <c r="L263" s="4" t="s">
        <v>83</v>
      </c>
      <c r="M263" s="4" t="s">
        <v>1012</v>
      </c>
      <c r="N263" s="4" t="s">
        <v>83</v>
      </c>
      <c r="O263" s="4" t="s">
        <v>71</v>
      </c>
      <c r="P263" s="4" t="s">
        <v>71</v>
      </c>
      <c r="Q263" s="4"/>
      <c r="R263" s="4" t="s">
        <v>143</v>
      </c>
      <c r="S263" s="4" t="s">
        <v>71</v>
      </c>
      <c r="T263" s="4" t="s">
        <v>71</v>
      </c>
      <c r="U263" s="4" t="str">
        <f t="shared" si="4"/>
        <v>NO</v>
      </c>
    </row>
    <row r="264" spans="1:21" ht="42" customHeight="1">
      <c r="A264" s="4" t="s">
        <v>1443</v>
      </c>
      <c r="B264" s="4" t="s">
        <v>656</v>
      </c>
      <c r="C264" s="4" t="s">
        <v>252</v>
      </c>
      <c r="D264" s="4" t="s">
        <v>656</v>
      </c>
      <c r="E264" s="4" t="s">
        <v>252</v>
      </c>
      <c r="F264" s="4" t="s">
        <v>1009</v>
      </c>
      <c r="G264" s="4" t="s">
        <v>1010</v>
      </c>
      <c r="H264" s="4" t="s">
        <v>1011</v>
      </c>
      <c r="I264" s="4"/>
      <c r="J264" s="4" t="s">
        <v>1011</v>
      </c>
      <c r="K264" s="4" t="s">
        <v>61</v>
      </c>
      <c r="L264" s="4" t="s">
        <v>83</v>
      </c>
      <c r="M264" s="4" t="s">
        <v>1012</v>
      </c>
      <c r="N264" s="4" t="s">
        <v>83</v>
      </c>
      <c r="O264" s="4" t="s">
        <v>71</v>
      </c>
      <c r="P264" s="4" t="s">
        <v>71</v>
      </c>
      <c r="Q264" s="4"/>
      <c r="R264" s="4" t="s">
        <v>143</v>
      </c>
      <c r="S264" s="4" t="s">
        <v>71</v>
      </c>
      <c r="T264" s="4" t="s">
        <v>71</v>
      </c>
      <c r="U264" s="4" t="str">
        <f t="shared" si="4"/>
        <v>NO</v>
      </c>
    </row>
    <row r="265" spans="1:21" ht="42" customHeight="1">
      <c r="A265" s="4" t="s">
        <v>1444</v>
      </c>
      <c r="B265" s="4" t="s">
        <v>656</v>
      </c>
      <c r="C265" s="4" t="s">
        <v>440</v>
      </c>
      <c r="D265" s="4" t="s">
        <v>656</v>
      </c>
      <c r="E265" s="4" t="s">
        <v>440</v>
      </c>
      <c r="F265" s="4" t="s">
        <v>1009</v>
      </c>
      <c r="G265" s="4" t="s">
        <v>1010</v>
      </c>
      <c r="H265" s="4" t="s">
        <v>1011</v>
      </c>
      <c r="I265" s="4"/>
      <c r="J265" s="4" t="s">
        <v>1011</v>
      </c>
      <c r="K265" s="4" t="s">
        <v>61</v>
      </c>
      <c r="L265" s="4" t="s">
        <v>83</v>
      </c>
      <c r="M265" s="4" t="s">
        <v>1012</v>
      </c>
      <c r="N265" s="4" t="s">
        <v>83</v>
      </c>
      <c r="O265" s="4" t="s">
        <v>71</v>
      </c>
      <c r="P265" s="4" t="s">
        <v>71</v>
      </c>
      <c r="Q265" s="4"/>
      <c r="R265" s="4" t="s">
        <v>143</v>
      </c>
      <c r="S265" s="4" t="s">
        <v>71</v>
      </c>
      <c r="T265" s="4" t="s">
        <v>71</v>
      </c>
      <c r="U265" s="4" t="str">
        <f t="shared" si="4"/>
        <v>NO</v>
      </c>
    </row>
    <row r="266" spans="1:21" ht="42" customHeight="1">
      <c r="A266" s="4" t="s">
        <v>1445</v>
      </c>
      <c r="B266" s="4" t="s">
        <v>656</v>
      </c>
      <c r="C266" s="4" t="s">
        <v>396</v>
      </c>
      <c r="D266" s="4" t="s">
        <v>656</v>
      </c>
      <c r="E266" s="4" t="s">
        <v>396</v>
      </c>
      <c r="F266" s="4" t="s">
        <v>1009</v>
      </c>
      <c r="G266" s="4" t="s">
        <v>1010</v>
      </c>
      <c r="H266" s="4" t="s">
        <v>1011</v>
      </c>
      <c r="I266" s="4"/>
      <c r="J266" s="4" t="s">
        <v>1011</v>
      </c>
      <c r="K266" s="4" t="s">
        <v>61</v>
      </c>
      <c r="L266" s="4" t="s">
        <v>79</v>
      </c>
      <c r="M266" s="4" t="s">
        <v>1012</v>
      </c>
      <c r="N266" s="4" t="s">
        <v>79</v>
      </c>
      <c r="O266" s="4" t="s">
        <v>71</v>
      </c>
      <c r="P266" s="4" t="s">
        <v>71</v>
      </c>
      <c r="Q266" s="4"/>
      <c r="R266" s="4" t="s">
        <v>143</v>
      </c>
      <c r="S266" s="4" t="s">
        <v>71</v>
      </c>
      <c r="T266" s="4" t="s">
        <v>71</v>
      </c>
      <c r="U266" s="4" t="str">
        <f t="shared" si="4"/>
        <v>NO</v>
      </c>
    </row>
    <row r="267" spans="1:21" ht="42" customHeight="1">
      <c r="A267" s="4" t="s">
        <v>1446</v>
      </c>
      <c r="B267" s="4" t="s">
        <v>656</v>
      </c>
      <c r="C267" s="4" t="s">
        <v>552</v>
      </c>
      <c r="D267" s="4" t="s">
        <v>656</v>
      </c>
      <c r="E267" s="4" t="s">
        <v>552</v>
      </c>
      <c r="F267" s="4" t="s">
        <v>1009</v>
      </c>
      <c r="G267" s="4" t="s">
        <v>1010</v>
      </c>
      <c r="H267" s="4" t="s">
        <v>1011</v>
      </c>
      <c r="I267" s="4"/>
      <c r="J267" s="4" t="s">
        <v>1011</v>
      </c>
      <c r="K267" s="4" t="s">
        <v>61</v>
      </c>
      <c r="L267" s="4" t="s">
        <v>79</v>
      </c>
      <c r="M267" s="4" t="s">
        <v>1012</v>
      </c>
      <c r="N267" s="4" t="s">
        <v>79</v>
      </c>
      <c r="O267" s="4" t="s">
        <v>71</v>
      </c>
      <c r="P267" s="4" t="s">
        <v>71</v>
      </c>
      <c r="Q267" s="4"/>
      <c r="R267" s="4" t="s">
        <v>143</v>
      </c>
      <c r="S267" s="4" t="s">
        <v>71</v>
      </c>
      <c r="T267" s="4" t="s">
        <v>71</v>
      </c>
      <c r="U267" s="4" t="str">
        <f t="shared" si="4"/>
        <v>NO</v>
      </c>
    </row>
    <row r="268" spans="1:21" ht="42" customHeight="1">
      <c r="A268" s="4" t="s">
        <v>1447</v>
      </c>
      <c r="B268" s="4" t="s">
        <v>656</v>
      </c>
      <c r="C268" s="4" t="s">
        <v>627</v>
      </c>
      <c r="D268" s="4" t="s">
        <v>656</v>
      </c>
      <c r="E268" s="4" t="s">
        <v>627</v>
      </c>
      <c r="F268" s="4" t="s">
        <v>1009</v>
      </c>
      <c r="G268" s="4" t="s">
        <v>1010</v>
      </c>
      <c r="H268" s="4" t="s">
        <v>1011</v>
      </c>
      <c r="I268" s="4"/>
      <c r="J268" s="4" t="s">
        <v>1011</v>
      </c>
      <c r="K268" s="4" t="s">
        <v>61</v>
      </c>
      <c r="L268" s="4" t="s">
        <v>83</v>
      </c>
      <c r="M268" s="4" t="s">
        <v>1012</v>
      </c>
      <c r="N268" s="4" t="s">
        <v>83</v>
      </c>
      <c r="O268" s="4" t="s">
        <v>71</v>
      </c>
      <c r="P268" s="4" t="s">
        <v>71</v>
      </c>
      <c r="Q268" s="4"/>
      <c r="R268" s="4" t="s">
        <v>143</v>
      </c>
      <c r="S268" s="4" t="s">
        <v>71</v>
      </c>
      <c r="T268" s="4" t="s">
        <v>71</v>
      </c>
      <c r="U268" s="4" t="str">
        <f t="shared" si="4"/>
        <v>NO</v>
      </c>
    </row>
    <row r="269" spans="1:21" ht="42" customHeight="1">
      <c r="A269" s="4" t="s">
        <v>1448</v>
      </c>
      <c r="B269" s="4" t="s">
        <v>659</v>
      </c>
      <c r="C269" s="4" t="s">
        <v>461</v>
      </c>
      <c r="D269" s="4" t="s">
        <v>659</v>
      </c>
      <c r="E269" s="4" t="s">
        <v>461</v>
      </c>
      <c r="F269" s="4" t="s">
        <v>1009</v>
      </c>
      <c r="G269" s="4" t="s">
        <v>1010</v>
      </c>
      <c r="H269" s="4" t="s">
        <v>1011</v>
      </c>
      <c r="I269" s="4"/>
      <c r="J269" s="4" t="s">
        <v>1011</v>
      </c>
      <c r="K269" s="4" t="s">
        <v>86</v>
      </c>
      <c r="L269" s="4" t="s">
        <v>92</v>
      </c>
      <c r="M269" s="4" t="s">
        <v>1012</v>
      </c>
      <c r="N269" s="4" t="s">
        <v>92</v>
      </c>
      <c r="O269" s="4" t="s">
        <v>71</v>
      </c>
      <c r="P269" s="4" t="s">
        <v>71</v>
      </c>
      <c r="Q269" s="4"/>
      <c r="R269" s="4" t="s">
        <v>143</v>
      </c>
      <c r="S269" s="4" t="s">
        <v>71</v>
      </c>
      <c r="T269" s="4" t="s">
        <v>71</v>
      </c>
      <c r="U269" s="4" t="str">
        <f t="shared" si="4"/>
        <v>NO</v>
      </c>
    </row>
    <row r="270" spans="1:21" ht="42" customHeight="1">
      <c r="A270" s="4" t="s">
        <v>1449</v>
      </c>
      <c r="B270" s="4" t="s">
        <v>659</v>
      </c>
      <c r="C270" s="4" t="s">
        <v>245</v>
      </c>
      <c r="D270" s="4" t="s">
        <v>659</v>
      </c>
      <c r="E270" s="4" t="s">
        <v>245</v>
      </c>
      <c r="F270" s="4" t="s">
        <v>1009</v>
      </c>
      <c r="G270" s="4" t="s">
        <v>1010</v>
      </c>
      <c r="H270" s="4" t="s">
        <v>1011</v>
      </c>
      <c r="I270" s="4"/>
      <c r="J270" s="4" t="s">
        <v>1011</v>
      </c>
      <c r="K270" s="4" t="s">
        <v>86</v>
      </c>
      <c r="L270" s="4" t="s">
        <v>86</v>
      </c>
      <c r="M270" s="4" t="s">
        <v>1021</v>
      </c>
      <c r="N270" s="4" t="s">
        <v>86</v>
      </c>
      <c r="O270" s="4" t="s">
        <v>71</v>
      </c>
      <c r="P270" s="4" t="s">
        <v>71</v>
      </c>
      <c r="Q270" s="4"/>
      <c r="R270" s="4" t="s">
        <v>143</v>
      </c>
      <c r="S270" s="4" t="s">
        <v>71</v>
      </c>
      <c r="T270" s="4" t="s">
        <v>71</v>
      </c>
      <c r="U270" s="4" t="str">
        <f t="shared" si="4"/>
        <v>NO</v>
      </c>
    </row>
    <row r="271" spans="1:21" ht="42" customHeight="1">
      <c r="A271" s="4" t="s">
        <v>1450</v>
      </c>
      <c r="B271" s="4" t="s">
        <v>659</v>
      </c>
      <c r="C271" s="4" t="s">
        <v>186</v>
      </c>
      <c r="D271" s="4" t="s">
        <v>659</v>
      </c>
      <c r="E271" s="4" t="s">
        <v>186</v>
      </c>
      <c r="F271" s="4" t="s">
        <v>1009</v>
      </c>
      <c r="G271" s="4" t="s">
        <v>1010</v>
      </c>
      <c r="H271" s="4" t="s">
        <v>1011</v>
      </c>
      <c r="I271" s="4"/>
      <c r="J271" s="4" t="s">
        <v>1011</v>
      </c>
      <c r="K271" s="4" t="s">
        <v>86</v>
      </c>
      <c r="L271" s="4" t="s">
        <v>55</v>
      </c>
      <c r="M271" s="4" t="s">
        <v>1012</v>
      </c>
      <c r="N271" s="4" t="s">
        <v>86</v>
      </c>
      <c r="O271" s="4" t="s">
        <v>71</v>
      </c>
      <c r="P271" s="4" t="s">
        <v>71</v>
      </c>
      <c r="Q271" s="4"/>
      <c r="R271" s="4" t="s">
        <v>143</v>
      </c>
      <c r="S271" s="4" t="s">
        <v>71</v>
      </c>
      <c r="T271" s="4" t="s">
        <v>71</v>
      </c>
      <c r="U271" s="4" t="str">
        <f t="shared" si="4"/>
        <v>NO</v>
      </c>
    </row>
    <row r="272" spans="1:21" ht="42" customHeight="1">
      <c r="A272" s="4" t="s">
        <v>1451</v>
      </c>
      <c r="B272" s="4" t="s">
        <v>659</v>
      </c>
      <c r="C272" s="4" t="s">
        <v>469</v>
      </c>
      <c r="D272" s="4" t="s">
        <v>659</v>
      </c>
      <c r="E272" s="4" t="s">
        <v>469</v>
      </c>
      <c r="F272" s="4" t="s">
        <v>1009</v>
      </c>
      <c r="G272" s="4" t="s">
        <v>1010</v>
      </c>
      <c r="H272" s="4" t="s">
        <v>1011</v>
      </c>
      <c r="I272" s="4"/>
      <c r="J272" s="4" t="s">
        <v>1011</v>
      </c>
      <c r="K272" s="4" t="s">
        <v>86</v>
      </c>
      <c r="L272" s="4" t="s">
        <v>83</v>
      </c>
      <c r="M272" s="4" t="s">
        <v>1012</v>
      </c>
      <c r="N272" s="4" t="s">
        <v>86</v>
      </c>
      <c r="O272" s="4" t="s">
        <v>71</v>
      </c>
      <c r="P272" s="4" t="s">
        <v>71</v>
      </c>
      <c r="Q272" s="4"/>
      <c r="R272" s="4" t="s">
        <v>143</v>
      </c>
      <c r="S272" s="4" t="s">
        <v>71</v>
      </c>
      <c r="T272" s="4" t="s">
        <v>71</v>
      </c>
      <c r="U272" s="4" t="str">
        <f t="shared" si="4"/>
        <v>NO</v>
      </c>
    </row>
    <row r="273" spans="1:21" ht="42" customHeight="1">
      <c r="A273" s="4" t="s">
        <v>1452</v>
      </c>
      <c r="B273" s="4" t="s">
        <v>659</v>
      </c>
      <c r="C273" s="4" t="s">
        <v>600</v>
      </c>
      <c r="D273" s="4" t="s">
        <v>659</v>
      </c>
      <c r="E273" s="4" t="s">
        <v>600</v>
      </c>
      <c r="F273" s="4" t="s">
        <v>1009</v>
      </c>
      <c r="G273" s="4" t="s">
        <v>1010</v>
      </c>
      <c r="H273" s="4" t="s">
        <v>1011</v>
      </c>
      <c r="I273" s="4"/>
      <c r="J273" s="4" t="s">
        <v>1011</v>
      </c>
      <c r="K273" s="4" t="s">
        <v>86</v>
      </c>
      <c r="L273" s="4" t="s">
        <v>86</v>
      </c>
      <c r="M273" s="4" t="s">
        <v>1021</v>
      </c>
      <c r="N273" s="4" t="s">
        <v>86</v>
      </c>
      <c r="O273" s="4" t="s">
        <v>71</v>
      </c>
      <c r="P273" s="4" t="s">
        <v>71</v>
      </c>
      <c r="Q273" s="4"/>
      <c r="R273" s="4" t="s">
        <v>143</v>
      </c>
      <c r="S273" s="4" t="s">
        <v>71</v>
      </c>
      <c r="T273" s="4" t="s">
        <v>71</v>
      </c>
      <c r="U273" s="4" t="str">
        <f t="shared" si="4"/>
        <v>NO</v>
      </c>
    </row>
    <row r="274" spans="1:21" ht="42" customHeight="1">
      <c r="A274" s="4" t="s">
        <v>1453</v>
      </c>
      <c r="B274" s="4" t="s">
        <v>662</v>
      </c>
      <c r="C274" s="4" t="s">
        <v>191</v>
      </c>
      <c r="D274" s="4" t="s">
        <v>662</v>
      </c>
      <c r="E274" s="4" t="s">
        <v>191</v>
      </c>
      <c r="F274" s="4" t="s">
        <v>1009</v>
      </c>
      <c r="G274" s="4" t="s">
        <v>1010</v>
      </c>
      <c r="H274" s="4" t="s">
        <v>1011</v>
      </c>
      <c r="I274" s="4"/>
      <c r="J274" s="4" t="s">
        <v>1011</v>
      </c>
      <c r="K274" s="4" t="s">
        <v>79</v>
      </c>
      <c r="L274" s="4" t="s">
        <v>55</v>
      </c>
      <c r="M274" s="4" t="s">
        <v>1012</v>
      </c>
      <c r="N274" s="4" t="s">
        <v>79</v>
      </c>
      <c r="O274" s="4" t="s">
        <v>71</v>
      </c>
      <c r="P274" s="4" t="s">
        <v>71</v>
      </c>
      <c r="Q274" s="4"/>
      <c r="R274" s="4" t="s">
        <v>143</v>
      </c>
      <c r="S274" s="4" t="s">
        <v>71</v>
      </c>
      <c r="T274" s="4" t="s">
        <v>71</v>
      </c>
      <c r="U274" s="4" t="str">
        <f t="shared" si="4"/>
        <v>NO</v>
      </c>
    </row>
    <row r="275" spans="1:21" ht="42" customHeight="1">
      <c r="A275" s="4" t="s">
        <v>1454</v>
      </c>
      <c r="B275" s="4" t="s">
        <v>662</v>
      </c>
      <c r="C275" s="4" t="s">
        <v>469</v>
      </c>
      <c r="D275" s="4" t="s">
        <v>662</v>
      </c>
      <c r="E275" s="4" t="s">
        <v>469</v>
      </c>
      <c r="F275" s="4" t="s">
        <v>1009</v>
      </c>
      <c r="G275" s="4" t="s">
        <v>1010</v>
      </c>
      <c r="H275" s="4" t="s">
        <v>1011</v>
      </c>
      <c r="I275" s="4"/>
      <c r="J275" s="4" t="s">
        <v>1011</v>
      </c>
      <c r="K275" s="4" t="s">
        <v>79</v>
      </c>
      <c r="L275" s="4" t="s">
        <v>83</v>
      </c>
      <c r="M275" s="4" t="s">
        <v>1012</v>
      </c>
      <c r="N275" s="4" t="s">
        <v>83</v>
      </c>
      <c r="O275" s="4" t="s">
        <v>71</v>
      </c>
      <c r="P275" s="4" t="s">
        <v>71</v>
      </c>
      <c r="Q275" s="4"/>
      <c r="R275" s="4" t="s">
        <v>143</v>
      </c>
      <c r="S275" s="4" t="s">
        <v>71</v>
      </c>
      <c r="T275" s="4" t="s">
        <v>71</v>
      </c>
      <c r="U275" s="4" t="str">
        <f t="shared" si="4"/>
        <v>NO</v>
      </c>
    </row>
    <row r="276" spans="1:21" ht="42" customHeight="1">
      <c r="A276" s="4" t="s">
        <v>1455</v>
      </c>
      <c r="B276" s="4" t="s">
        <v>662</v>
      </c>
      <c r="C276" s="4" t="s">
        <v>186</v>
      </c>
      <c r="D276" s="4" t="s">
        <v>662</v>
      </c>
      <c r="E276" s="4" t="s">
        <v>186</v>
      </c>
      <c r="F276" s="4" t="s">
        <v>1009</v>
      </c>
      <c r="G276" s="4" t="s">
        <v>1010</v>
      </c>
      <c r="H276" s="4" t="s">
        <v>1011</v>
      </c>
      <c r="I276" s="4"/>
      <c r="J276" s="4" t="s">
        <v>1011</v>
      </c>
      <c r="K276" s="4" t="s">
        <v>79</v>
      </c>
      <c r="L276" s="4" t="s">
        <v>55</v>
      </c>
      <c r="M276" s="4" t="s">
        <v>1012</v>
      </c>
      <c r="N276" s="4" t="s">
        <v>79</v>
      </c>
      <c r="O276" s="4" t="s">
        <v>71</v>
      </c>
      <c r="P276" s="4" t="s">
        <v>71</v>
      </c>
      <c r="Q276" s="4"/>
      <c r="R276" s="4" t="s">
        <v>143</v>
      </c>
      <c r="S276" s="4" t="s">
        <v>71</v>
      </c>
      <c r="T276" s="4" t="s">
        <v>71</v>
      </c>
      <c r="U276" s="4" t="str">
        <f t="shared" si="4"/>
        <v>NO</v>
      </c>
    </row>
    <row r="277" spans="1:21" ht="42" customHeight="1">
      <c r="A277" s="4" t="s">
        <v>1456</v>
      </c>
      <c r="B277" s="4" t="s">
        <v>662</v>
      </c>
      <c r="C277" s="4" t="s">
        <v>196</v>
      </c>
      <c r="D277" s="4" t="s">
        <v>662</v>
      </c>
      <c r="E277" s="4" t="s">
        <v>196</v>
      </c>
      <c r="F277" s="4" t="s">
        <v>1009</v>
      </c>
      <c r="G277" s="4" t="s">
        <v>1010</v>
      </c>
      <c r="H277" s="4" t="s">
        <v>1011</v>
      </c>
      <c r="I277" s="4"/>
      <c r="J277" s="4" t="s">
        <v>1011</v>
      </c>
      <c r="K277" s="4" t="s">
        <v>79</v>
      </c>
      <c r="L277" s="4" t="s">
        <v>69</v>
      </c>
      <c r="M277" s="4" t="s">
        <v>1012</v>
      </c>
      <c r="N277" s="4" t="s">
        <v>79</v>
      </c>
      <c r="O277" s="4" t="s">
        <v>71</v>
      </c>
      <c r="P277" s="4" t="s">
        <v>71</v>
      </c>
      <c r="Q277" s="4"/>
      <c r="R277" s="4" t="s">
        <v>143</v>
      </c>
      <c r="S277" s="4" t="s">
        <v>71</v>
      </c>
      <c r="T277" s="4" t="s">
        <v>71</v>
      </c>
      <c r="U277" s="4" t="str">
        <f t="shared" si="4"/>
        <v>NO</v>
      </c>
    </row>
    <row r="278" spans="1:21" ht="42" customHeight="1">
      <c r="A278" s="4" t="s">
        <v>1457</v>
      </c>
      <c r="B278" s="4" t="s">
        <v>662</v>
      </c>
      <c r="C278" s="4" t="s">
        <v>585</v>
      </c>
      <c r="D278" s="4" t="s">
        <v>662</v>
      </c>
      <c r="E278" s="4" t="s">
        <v>585</v>
      </c>
      <c r="F278" s="4" t="s">
        <v>1009</v>
      </c>
      <c r="G278" s="4" t="s">
        <v>1010</v>
      </c>
      <c r="H278" s="4" t="s">
        <v>1011</v>
      </c>
      <c r="I278" s="4"/>
      <c r="J278" s="4" t="s">
        <v>1011</v>
      </c>
      <c r="K278" s="4" t="s">
        <v>79</v>
      </c>
      <c r="L278" s="4" t="s">
        <v>69</v>
      </c>
      <c r="M278" s="4" t="s">
        <v>1012</v>
      </c>
      <c r="N278" s="4" t="s">
        <v>79</v>
      </c>
      <c r="O278" s="4" t="s">
        <v>71</v>
      </c>
      <c r="P278" s="4" t="s">
        <v>71</v>
      </c>
      <c r="Q278" s="4"/>
      <c r="R278" s="4" t="s">
        <v>143</v>
      </c>
      <c r="S278" s="4" t="s">
        <v>71</v>
      </c>
      <c r="T278" s="4" t="s">
        <v>71</v>
      </c>
      <c r="U278" s="4" t="str">
        <f t="shared" si="4"/>
        <v>NO</v>
      </c>
    </row>
    <row r="279" spans="1:21" ht="42" customHeight="1">
      <c r="A279" s="4" t="s">
        <v>1458</v>
      </c>
      <c r="B279" s="4" t="s">
        <v>666</v>
      </c>
      <c r="C279" s="4" t="s">
        <v>265</v>
      </c>
      <c r="D279" s="4" t="s">
        <v>666</v>
      </c>
      <c r="E279" s="4" t="s">
        <v>265</v>
      </c>
      <c r="F279" s="4" t="s">
        <v>1009</v>
      </c>
      <c r="G279" s="4" t="s">
        <v>1010</v>
      </c>
      <c r="H279" s="4" t="s">
        <v>1011</v>
      </c>
      <c r="I279" s="4"/>
      <c r="J279" s="4" t="s">
        <v>1011</v>
      </c>
      <c r="K279" s="4" t="s">
        <v>61</v>
      </c>
      <c r="L279" s="4" t="s">
        <v>92</v>
      </c>
      <c r="M279" s="4" t="s">
        <v>1012</v>
      </c>
      <c r="N279" s="4" t="s">
        <v>92</v>
      </c>
      <c r="O279" s="4" t="s">
        <v>71</v>
      </c>
      <c r="P279" s="4" t="s">
        <v>71</v>
      </c>
      <c r="Q279" s="4"/>
      <c r="R279" s="4" t="s">
        <v>143</v>
      </c>
      <c r="S279" s="4" t="s">
        <v>71</v>
      </c>
      <c r="T279" s="4" t="s">
        <v>71</v>
      </c>
      <c r="U279" s="4" t="str">
        <f t="shared" si="4"/>
        <v>NO</v>
      </c>
    </row>
    <row r="280" spans="1:21" ht="42" customHeight="1">
      <c r="A280" s="4" t="s">
        <v>1459</v>
      </c>
      <c r="B280" s="4" t="s">
        <v>666</v>
      </c>
      <c r="C280" s="4" t="s">
        <v>498</v>
      </c>
      <c r="D280" s="4" t="s">
        <v>666</v>
      </c>
      <c r="E280" s="4" t="s">
        <v>498</v>
      </c>
      <c r="F280" s="4" t="s">
        <v>1009</v>
      </c>
      <c r="G280" s="4" t="s">
        <v>1010</v>
      </c>
      <c r="H280" s="4" t="s">
        <v>1011</v>
      </c>
      <c r="I280" s="4"/>
      <c r="J280" s="4" t="s">
        <v>1011</v>
      </c>
      <c r="K280" s="4" t="s">
        <v>61</v>
      </c>
      <c r="L280" s="4" t="s">
        <v>77</v>
      </c>
      <c r="M280" s="4" t="s">
        <v>1012</v>
      </c>
      <c r="N280" s="4" t="s">
        <v>77</v>
      </c>
      <c r="O280" s="4" t="s">
        <v>71</v>
      </c>
      <c r="P280" s="4" t="s">
        <v>71</v>
      </c>
      <c r="Q280" s="4"/>
      <c r="R280" s="4" t="s">
        <v>143</v>
      </c>
      <c r="S280" s="4" t="s">
        <v>71</v>
      </c>
      <c r="T280" s="4" t="s">
        <v>71</v>
      </c>
      <c r="U280" s="4" t="str">
        <f t="shared" si="4"/>
        <v>NO</v>
      </c>
    </row>
    <row r="281" spans="1:21" ht="42" customHeight="1">
      <c r="A281" s="4" t="s">
        <v>1460</v>
      </c>
      <c r="B281" s="4" t="s">
        <v>666</v>
      </c>
      <c r="C281" s="4" t="s">
        <v>611</v>
      </c>
      <c r="D281" s="4" t="s">
        <v>666</v>
      </c>
      <c r="E281" s="4" t="s">
        <v>611</v>
      </c>
      <c r="F281" s="4" t="s">
        <v>1009</v>
      </c>
      <c r="G281" s="4" t="s">
        <v>1010</v>
      </c>
      <c r="H281" s="4" t="s">
        <v>1011</v>
      </c>
      <c r="I281" s="4"/>
      <c r="J281" s="4" t="s">
        <v>1011</v>
      </c>
      <c r="K281" s="4" t="s">
        <v>61</v>
      </c>
      <c r="L281" s="4" t="s">
        <v>77</v>
      </c>
      <c r="M281" s="4" t="s">
        <v>1012</v>
      </c>
      <c r="N281" s="4" t="s">
        <v>77</v>
      </c>
      <c r="O281" s="4" t="s">
        <v>71</v>
      </c>
      <c r="P281" s="4" t="s">
        <v>71</v>
      </c>
      <c r="Q281" s="4"/>
      <c r="R281" s="4" t="s">
        <v>143</v>
      </c>
      <c r="S281" s="4" t="s">
        <v>71</v>
      </c>
      <c r="T281" s="4" t="s">
        <v>71</v>
      </c>
      <c r="U281" s="4" t="str">
        <f t="shared" si="4"/>
        <v>NO</v>
      </c>
    </row>
    <row r="282" spans="1:21" ht="42" customHeight="1">
      <c r="A282" s="4" t="s">
        <v>1461</v>
      </c>
      <c r="B282" s="4" t="s">
        <v>666</v>
      </c>
      <c r="C282" s="4" t="s">
        <v>512</v>
      </c>
      <c r="D282" s="4" t="s">
        <v>666</v>
      </c>
      <c r="E282" s="4" t="s">
        <v>512</v>
      </c>
      <c r="F282" s="4" t="s">
        <v>1009</v>
      </c>
      <c r="G282" s="4" t="s">
        <v>1010</v>
      </c>
      <c r="H282" s="4" t="s">
        <v>1011</v>
      </c>
      <c r="I282" s="4"/>
      <c r="J282" s="4" t="s">
        <v>1011</v>
      </c>
      <c r="K282" s="4" t="s">
        <v>61</v>
      </c>
      <c r="L282" s="4" t="s">
        <v>92</v>
      </c>
      <c r="M282" s="4" t="s">
        <v>1012</v>
      </c>
      <c r="N282" s="4" t="s">
        <v>92</v>
      </c>
      <c r="O282" s="4" t="s">
        <v>71</v>
      </c>
      <c r="P282" s="4" t="s">
        <v>71</v>
      </c>
      <c r="Q282" s="4"/>
      <c r="R282" s="4" t="s">
        <v>143</v>
      </c>
      <c r="S282" s="4" t="s">
        <v>71</v>
      </c>
      <c r="T282" s="4" t="s">
        <v>71</v>
      </c>
      <c r="U282" s="4" t="str">
        <f t="shared" si="4"/>
        <v>NO</v>
      </c>
    </row>
    <row r="283" spans="1:21" ht="42" customHeight="1">
      <c r="A283" s="4" t="s">
        <v>1462</v>
      </c>
      <c r="B283" s="4" t="s">
        <v>666</v>
      </c>
      <c r="C283" s="4" t="s">
        <v>501</v>
      </c>
      <c r="D283" s="4" t="s">
        <v>666</v>
      </c>
      <c r="E283" s="4" t="s">
        <v>501</v>
      </c>
      <c r="F283" s="4" t="s">
        <v>1009</v>
      </c>
      <c r="G283" s="4" t="s">
        <v>1010</v>
      </c>
      <c r="H283" s="4" t="s">
        <v>1011</v>
      </c>
      <c r="I283" s="4"/>
      <c r="J283" s="4" t="s">
        <v>1011</v>
      </c>
      <c r="K283" s="4" t="s">
        <v>61</v>
      </c>
      <c r="L283" s="4" t="s">
        <v>81</v>
      </c>
      <c r="M283" s="4" t="s">
        <v>1012</v>
      </c>
      <c r="N283" s="4" t="s">
        <v>81</v>
      </c>
      <c r="O283" s="4" t="s">
        <v>71</v>
      </c>
      <c r="P283" s="4" t="s">
        <v>71</v>
      </c>
      <c r="Q283" s="4"/>
      <c r="R283" s="4" t="s">
        <v>143</v>
      </c>
      <c r="S283" s="4" t="s">
        <v>71</v>
      </c>
      <c r="T283" s="4" t="s">
        <v>71</v>
      </c>
      <c r="U283" s="4" t="str">
        <f t="shared" si="4"/>
        <v>NO</v>
      </c>
    </row>
    <row r="284" spans="1:21" ht="42" customHeight="1">
      <c r="A284" s="4" t="s">
        <v>1463</v>
      </c>
      <c r="B284" s="4" t="s">
        <v>669</v>
      </c>
      <c r="C284" s="4" t="s">
        <v>451</v>
      </c>
      <c r="D284" s="4" t="s">
        <v>669</v>
      </c>
      <c r="E284" s="4" t="s">
        <v>451</v>
      </c>
      <c r="F284" s="4" t="s">
        <v>1009</v>
      </c>
      <c r="G284" s="4" t="s">
        <v>1010</v>
      </c>
      <c r="H284" s="4" t="s">
        <v>1011</v>
      </c>
      <c r="I284" s="4"/>
      <c r="J284" s="4" t="s">
        <v>1011</v>
      </c>
      <c r="K284" s="4" t="s">
        <v>92</v>
      </c>
      <c r="L284" s="4" t="s">
        <v>92</v>
      </c>
      <c r="M284" s="4" t="s">
        <v>1021</v>
      </c>
      <c r="N284" s="4" t="s">
        <v>92</v>
      </c>
      <c r="O284" s="4" t="s">
        <v>71</v>
      </c>
      <c r="P284" s="4" t="s">
        <v>71</v>
      </c>
      <c r="Q284" s="4"/>
      <c r="R284" s="4" t="s">
        <v>143</v>
      </c>
      <c r="S284" s="4" t="s">
        <v>71</v>
      </c>
      <c r="T284" s="4" t="s">
        <v>71</v>
      </c>
      <c r="U284" s="4" t="str">
        <f t="shared" si="4"/>
        <v>NO</v>
      </c>
    </row>
    <row r="285" spans="1:21" ht="42" customHeight="1">
      <c r="A285" s="4" t="s">
        <v>1464</v>
      </c>
      <c r="B285" s="4" t="s">
        <v>669</v>
      </c>
      <c r="C285" s="4" t="s">
        <v>226</v>
      </c>
      <c r="D285" s="4" t="s">
        <v>669</v>
      </c>
      <c r="E285" s="4" t="s">
        <v>226</v>
      </c>
      <c r="F285" s="4" t="s">
        <v>1009</v>
      </c>
      <c r="G285" s="4" t="s">
        <v>1010</v>
      </c>
      <c r="H285" s="4" t="s">
        <v>1011</v>
      </c>
      <c r="I285" s="4"/>
      <c r="J285" s="4" t="s">
        <v>1011</v>
      </c>
      <c r="K285" s="4" t="s">
        <v>92</v>
      </c>
      <c r="L285" s="4" t="s">
        <v>92</v>
      </c>
      <c r="M285" s="4" t="s">
        <v>1021</v>
      </c>
      <c r="N285" s="4" t="s">
        <v>92</v>
      </c>
      <c r="O285" s="4" t="s">
        <v>71</v>
      </c>
      <c r="P285" s="4" t="s">
        <v>71</v>
      </c>
      <c r="Q285" s="4"/>
      <c r="R285" s="4" t="s">
        <v>143</v>
      </c>
      <c r="S285" s="4" t="s">
        <v>71</v>
      </c>
      <c r="T285" s="4" t="s">
        <v>71</v>
      </c>
      <c r="U285" s="4" t="str">
        <f t="shared" si="4"/>
        <v>NO</v>
      </c>
    </row>
    <row r="286" spans="1:21" ht="42" customHeight="1">
      <c r="A286" s="4" t="s">
        <v>1465</v>
      </c>
      <c r="B286" s="4" t="s">
        <v>669</v>
      </c>
      <c r="C286" s="4" t="s">
        <v>508</v>
      </c>
      <c r="D286" s="4" t="s">
        <v>669</v>
      </c>
      <c r="E286" s="4" t="s">
        <v>508</v>
      </c>
      <c r="F286" s="4" t="s">
        <v>1009</v>
      </c>
      <c r="G286" s="4" t="s">
        <v>1010</v>
      </c>
      <c r="H286" s="4" t="s">
        <v>1011</v>
      </c>
      <c r="I286" s="4"/>
      <c r="J286" s="4" t="s">
        <v>1011</v>
      </c>
      <c r="K286" s="4" t="s">
        <v>92</v>
      </c>
      <c r="L286" s="4" t="s">
        <v>58</v>
      </c>
      <c r="M286" s="4" t="s">
        <v>1012</v>
      </c>
      <c r="N286" s="4" t="s">
        <v>92</v>
      </c>
      <c r="O286" s="4" t="s">
        <v>71</v>
      </c>
      <c r="P286" s="4" t="s">
        <v>71</v>
      </c>
      <c r="Q286" s="4"/>
      <c r="R286" s="4" t="s">
        <v>143</v>
      </c>
      <c r="S286" s="4" t="s">
        <v>71</v>
      </c>
      <c r="T286" s="4" t="s">
        <v>71</v>
      </c>
      <c r="U286" s="4" t="str">
        <f t="shared" si="4"/>
        <v>NO</v>
      </c>
    </row>
    <row r="287" spans="1:21" ht="42" customHeight="1">
      <c r="A287" s="4" t="s">
        <v>1466</v>
      </c>
      <c r="B287" s="4" t="s">
        <v>669</v>
      </c>
      <c r="C287" s="4" t="s">
        <v>416</v>
      </c>
      <c r="D287" s="4" t="s">
        <v>669</v>
      </c>
      <c r="E287" s="4" t="s">
        <v>416</v>
      </c>
      <c r="F287" s="4" t="s">
        <v>1009</v>
      </c>
      <c r="G287" s="4" t="s">
        <v>1010</v>
      </c>
      <c r="H287" s="4" t="s">
        <v>1011</v>
      </c>
      <c r="I287" s="4"/>
      <c r="J287" s="4" t="s">
        <v>1011</v>
      </c>
      <c r="K287" s="4" t="s">
        <v>92</v>
      </c>
      <c r="L287" s="4" t="s">
        <v>92</v>
      </c>
      <c r="M287" s="4" t="s">
        <v>1021</v>
      </c>
      <c r="N287" s="4" t="s">
        <v>92</v>
      </c>
      <c r="O287" s="4" t="s">
        <v>71</v>
      </c>
      <c r="P287" s="4" t="s">
        <v>71</v>
      </c>
      <c r="Q287" s="4"/>
      <c r="R287" s="4" t="s">
        <v>143</v>
      </c>
      <c r="S287" s="4" t="s">
        <v>71</v>
      </c>
      <c r="T287" s="4" t="s">
        <v>71</v>
      </c>
      <c r="U287" s="4" t="str">
        <f t="shared" si="4"/>
        <v>NO</v>
      </c>
    </row>
    <row r="288" spans="1:21" ht="42" customHeight="1">
      <c r="A288" s="4" t="s">
        <v>1467</v>
      </c>
      <c r="B288" s="4" t="s">
        <v>669</v>
      </c>
      <c r="C288" s="4" t="s">
        <v>455</v>
      </c>
      <c r="D288" s="4" t="s">
        <v>669</v>
      </c>
      <c r="E288" s="4" t="s">
        <v>455</v>
      </c>
      <c r="F288" s="4" t="s">
        <v>1009</v>
      </c>
      <c r="G288" s="4" t="s">
        <v>1010</v>
      </c>
      <c r="H288" s="4" t="s">
        <v>1011</v>
      </c>
      <c r="I288" s="4"/>
      <c r="J288" s="4" t="s">
        <v>1011</v>
      </c>
      <c r="K288" s="4" t="s">
        <v>92</v>
      </c>
      <c r="L288" s="4" t="s">
        <v>86</v>
      </c>
      <c r="M288" s="4" t="s">
        <v>1012</v>
      </c>
      <c r="N288" s="4" t="s">
        <v>92</v>
      </c>
      <c r="O288" s="4" t="s">
        <v>71</v>
      </c>
      <c r="P288" s="4" t="s">
        <v>71</v>
      </c>
      <c r="Q288" s="4"/>
      <c r="R288" s="4" t="s">
        <v>143</v>
      </c>
      <c r="S288" s="4" t="s">
        <v>71</v>
      </c>
      <c r="T288" s="4" t="s">
        <v>71</v>
      </c>
      <c r="U288" s="4" t="str">
        <f t="shared" si="4"/>
        <v>NO</v>
      </c>
    </row>
    <row r="289" spans="1:21" ht="42" customHeight="1">
      <c r="A289" s="4" t="s">
        <v>1468</v>
      </c>
      <c r="B289" s="4" t="s">
        <v>274</v>
      </c>
      <c r="C289" s="4" t="s">
        <v>416</v>
      </c>
      <c r="D289" s="4" t="s">
        <v>274</v>
      </c>
      <c r="E289" s="4" t="s">
        <v>416</v>
      </c>
      <c r="F289" s="4" t="s">
        <v>1009</v>
      </c>
      <c r="G289" s="4" t="s">
        <v>1010</v>
      </c>
      <c r="H289" s="4" t="s">
        <v>1011</v>
      </c>
      <c r="I289" s="4"/>
      <c r="J289" s="4" t="s">
        <v>1011</v>
      </c>
      <c r="K289" s="4" t="s">
        <v>55</v>
      </c>
      <c r="L289" s="4" t="s">
        <v>92</v>
      </c>
      <c r="M289" s="4" t="s">
        <v>1012</v>
      </c>
      <c r="N289" s="4" t="s">
        <v>92</v>
      </c>
      <c r="O289" s="4" t="s">
        <v>71</v>
      </c>
      <c r="P289" s="4" t="s">
        <v>71</v>
      </c>
      <c r="Q289" s="4"/>
      <c r="R289" s="4" t="s">
        <v>143</v>
      </c>
      <c r="S289" s="4" t="s">
        <v>71</v>
      </c>
      <c r="T289" s="4" t="s">
        <v>71</v>
      </c>
      <c r="U289" s="4" t="str">
        <f t="shared" si="4"/>
        <v>NO</v>
      </c>
    </row>
    <row r="290" spans="1:21" ht="42" customHeight="1">
      <c r="A290" s="4" t="s">
        <v>1469</v>
      </c>
      <c r="B290" s="4" t="s">
        <v>274</v>
      </c>
      <c r="C290" s="4" t="s">
        <v>455</v>
      </c>
      <c r="D290" s="4" t="s">
        <v>274</v>
      </c>
      <c r="E290" s="4" t="s">
        <v>455</v>
      </c>
      <c r="F290" s="4" t="s">
        <v>1009</v>
      </c>
      <c r="G290" s="4" t="s">
        <v>1010</v>
      </c>
      <c r="H290" s="4" t="s">
        <v>1011</v>
      </c>
      <c r="I290" s="4"/>
      <c r="J290" s="4" t="s">
        <v>1011</v>
      </c>
      <c r="K290" s="4" t="s">
        <v>55</v>
      </c>
      <c r="L290" s="4" t="s">
        <v>86</v>
      </c>
      <c r="M290" s="4" t="s">
        <v>1012</v>
      </c>
      <c r="N290" s="4" t="s">
        <v>86</v>
      </c>
      <c r="O290" s="4" t="s">
        <v>71</v>
      </c>
      <c r="P290" s="4" t="s">
        <v>71</v>
      </c>
      <c r="Q290" s="4"/>
      <c r="R290" s="4" t="s">
        <v>143</v>
      </c>
      <c r="S290" s="4" t="s">
        <v>71</v>
      </c>
      <c r="T290" s="4" t="s">
        <v>71</v>
      </c>
      <c r="U290" s="4" t="str">
        <f t="shared" si="4"/>
        <v>NO</v>
      </c>
    </row>
    <row r="291" spans="1:21" ht="42" customHeight="1">
      <c r="A291" s="4" t="s">
        <v>1470</v>
      </c>
      <c r="B291" s="4" t="s">
        <v>672</v>
      </c>
      <c r="C291" s="4" t="s">
        <v>360</v>
      </c>
      <c r="D291" s="4" t="s">
        <v>672</v>
      </c>
      <c r="E291" s="4" t="s">
        <v>360</v>
      </c>
      <c r="F291" s="4" t="s">
        <v>1009</v>
      </c>
      <c r="G291" s="4" t="s">
        <v>1471</v>
      </c>
      <c r="H291" s="4" t="s">
        <v>1018</v>
      </c>
      <c r="I291" s="4"/>
      <c r="J291" s="4" t="s">
        <v>1018</v>
      </c>
      <c r="K291" s="4" t="s">
        <v>88</v>
      </c>
      <c r="L291" s="4" t="s">
        <v>90</v>
      </c>
      <c r="M291" s="4" t="s">
        <v>1012</v>
      </c>
      <c r="N291" s="4" t="s">
        <v>90</v>
      </c>
      <c r="O291" s="4" t="s">
        <v>71</v>
      </c>
      <c r="P291" s="4" t="s">
        <v>71</v>
      </c>
      <c r="Q291" s="4"/>
      <c r="R291" s="4" t="s">
        <v>143</v>
      </c>
      <c r="S291" s="4" t="s">
        <v>71</v>
      </c>
      <c r="T291" s="4" t="s">
        <v>71</v>
      </c>
      <c r="U291" s="4" t="str">
        <f t="shared" si="4"/>
        <v>NO</v>
      </c>
    </row>
    <row r="292" spans="1:21" ht="42" customHeight="1">
      <c r="A292" s="4" t="s">
        <v>1472</v>
      </c>
      <c r="B292" s="4" t="s">
        <v>672</v>
      </c>
      <c r="C292" s="4" t="s">
        <v>340</v>
      </c>
      <c r="D292" s="4" t="s">
        <v>672</v>
      </c>
      <c r="E292" s="4" t="s">
        <v>340</v>
      </c>
      <c r="F292" s="4" t="s">
        <v>1009</v>
      </c>
      <c r="G292" s="4" t="s">
        <v>1473</v>
      </c>
      <c r="H292" s="4" t="s">
        <v>1018</v>
      </c>
      <c r="I292" s="4"/>
      <c r="J292" s="4" t="s">
        <v>1018</v>
      </c>
      <c r="K292" s="4" t="s">
        <v>88</v>
      </c>
      <c r="L292" s="4" t="s">
        <v>75</v>
      </c>
      <c r="M292" s="4" t="s">
        <v>1012</v>
      </c>
      <c r="N292" s="4" t="s">
        <v>88</v>
      </c>
      <c r="O292" s="4" t="s">
        <v>71</v>
      </c>
      <c r="P292" s="4" t="s">
        <v>71</v>
      </c>
      <c r="Q292" s="4"/>
      <c r="R292" s="4" t="s">
        <v>143</v>
      </c>
      <c r="S292" s="4" t="s">
        <v>71</v>
      </c>
      <c r="T292" s="4" t="s">
        <v>71</v>
      </c>
      <c r="U292" s="4" t="str">
        <f t="shared" si="4"/>
        <v>NO</v>
      </c>
    </row>
    <row r="293" spans="1:21" ht="42" customHeight="1">
      <c r="A293" s="4" t="s">
        <v>1474</v>
      </c>
      <c r="B293" s="4" t="s">
        <v>676</v>
      </c>
      <c r="C293" s="4" t="s">
        <v>120</v>
      </c>
      <c r="D293" s="4" t="s">
        <v>676</v>
      </c>
      <c r="E293" s="4" t="s">
        <v>120</v>
      </c>
      <c r="F293" s="4" t="s">
        <v>1009</v>
      </c>
      <c r="G293" s="4" t="s">
        <v>1475</v>
      </c>
      <c r="H293" s="4" t="s">
        <v>1018</v>
      </c>
      <c r="I293" s="4"/>
      <c r="J293" s="4" t="s">
        <v>1018</v>
      </c>
      <c r="K293" s="4" t="s">
        <v>58</v>
      </c>
      <c r="L293" s="4" t="s">
        <v>48</v>
      </c>
      <c r="M293" s="4" t="s">
        <v>1012</v>
      </c>
      <c r="N293" s="4" t="s">
        <v>58</v>
      </c>
      <c r="O293" s="4" t="s">
        <v>71</v>
      </c>
      <c r="P293" s="4" t="s">
        <v>71</v>
      </c>
      <c r="Q293" s="4"/>
      <c r="R293" s="4" t="s">
        <v>143</v>
      </c>
      <c r="S293" s="4" t="s">
        <v>71</v>
      </c>
      <c r="T293" s="4" t="s">
        <v>71</v>
      </c>
      <c r="U293" s="4" t="str">
        <f t="shared" si="4"/>
        <v>NO</v>
      </c>
    </row>
    <row r="294" spans="1:21" ht="42" customHeight="1">
      <c r="A294" s="4" t="s">
        <v>1476</v>
      </c>
      <c r="B294" s="4" t="s">
        <v>676</v>
      </c>
      <c r="C294" s="4" t="s">
        <v>472</v>
      </c>
      <c r="D294" s="4" t="s">
        <v>676</v>
      </c>
      <c r="E294" s="4" t="s">
        <v>472</v>
      </c>
      <c r="F294" s="4" t="s">
        <v>1009</v>
      </c>
      <c r="G294" s="4" t="s">
        <v>1477</v>
      </c>
      <c r="H294" s="4" t="s">
        <v>1018</v>
      </c>
      <c r="I294" s="4"/>
      <c r="J294" s="4" t="s">
        <v>1018</v>
      </c>
      <c r="K294" s="4" t="s">
        <v>58</v>
      </c>
      <c r="L294" s="4" t="s">
        <v>90</v>
      </c>
      <c r="M294" s="4" t="s">
        <v>1012</v>
      </c>
      <c r="N294" s="4" t="s">
        <v>90</v>
      </c>
      <c r="O294" s="4" t="s">
        <v>71</v>
      </c>
      <c r="P294" s="4" t="s">
        <v>71</v>
      </c>
      <c r="Q294" s="4"/>
      <c r="R294" s="4" t="s">
        <v>143</v>
      </c>
      <c r="S294" s="4" t="s">
        <v>71</v>
      </c>
      <c r="T294" s="4" t="s">
        <v>71</v>
      </c>
      <c r="U294" s="4" t="str">
        <f t="shared" si="4"/>
        <v>NO</v>
      </c>
    </row>
    <row r="295" spans="1:21" ht="42" customHeight="1">
      <c r="A295" s="4" t="s">
        <v>1478</v>
      </c>
      <c r="B295" s="4" t="s">
        <v>676</v>
      </c>
      <c r="C295" s="4" t="s">
        <v>306</v>
      </c>
      <c r="D295" s="4" t="s">
        <v>676</v>
      </c>
      <c r="E295" s="4" t="s">
        <v>306</v>
      </c>
      <c r="F295" s="4" t="s">
        <v>1009</v>
      </c>
      <c r="G295" s="4" t="s">
        <v>1479</v>
      </c>
      <c r="H295" s="4" t="s">
        <v>1018</v>
      </c>
      <c r="I295" s="4"/>
      <c r="J295" s="4" t="s">
        <v>1018</v>
      </c>
      <c r="K295" s="4" t="s">
        <v>58</v>
      </c>
      <c r="L295" s="4" t="s">
        <v>75</v>
      </c>
      <c r="M295" s="4" t="s">
        <v>1012</v>
      </c>
      <c r="N295" s="4" t="s">
        <v>75</v>
      </c>
      <c r="O295" s="4" t="s">
        <v>71</v>
      </c>
      <c r="P295" s="4" t="s">
        <v>71</v>
      </c>
      <c r="Q295" s="4"/>
      <c r="R295" s="4" t="s">
        <v>143</v>
      </c>
      <c r="S295" s="4" t="s">
        <v>71</v>
      </c>
      <c r="T295" s="4" t="s">
        <v>71</v>
      </c>
      <c r="U295" s="4" t="str">
        <f t="shared" si="4"/>
        <v>NO</v>
      </c>
    </row>
    <row r="296" spans="1:21" ht="42" customHeight="1">
      <c r="A296" s="4" t="s">
        <v>1480</v>
      </c>
      <c r="B296" s="4" t="s">
        <v>676</v>
      </c>
      <c r="C296" s="4" t="s">
        <v>478</v>
      </c>
      <c r="D296" s="4" t="s">
        <v>676</v>
      </c>
      <c r="E296" s="4" t="s">
        <v>478</v>
      </c>
      <c r="F296" s="4" t="s">
        <v>1009</v>
      </c>
      <c r="G296" s="4" t="s">
        <v>1481</v>
      </c>
      <c r="H296" s="4" t="s">
        <v>1018</v>
      </c>
      <c r="I296" s="4"/>
      <c r="J296" s="4" t="s">
        <v>1018</v>
      </c>
      <c r="K296" s="4" t="s">
        <v>58</v>
      </c>
      <c r="L296" s="4" t="s">
        <v>58</v>
      </c>
      <c r="M296" s="4" t="s">
        <v>1021</v>
      </c>
      <c r="N296" s="4" t="s">
        <v>58</v>
      </c>
      <c r="O296" s="4" t="s">
        <v>71</v>
      </c>
      <c r="P296" s="4" t="s">
        <v>71</v>
      </c>
      <c r="Q296" s="4"/>
      <c r="R296" s="4" t="s">
        <v>143</v>
      </c>
      <c r="S296" s="4" t="s">
        <v>71</v>
      </c>
      <c r="T296" s="4" t="s">
        <v>71</v>
      </c>
      <c r="U296" s="4" t="str">
        <f t="shared" si="4"/>
        <v>NO</v>
      </c>
    </row>
    <row r="297" spans="1:21" ht="42" customHeight="1">
      <c r="A297" s="4" t="s">
        <v>1482</v>
      </c>
      <c r="B297" s="4" t="s">
        <v>696</v>
      </c>
      <c r="C297" s="4" t="s">
        <v>120</v>
      </c>
      <c r="D297" s="4" t="s">
        <v>696</v>
      </c>
      <c r="E297" s="4" t="s">
        <v>120</v>
      </c>
      <c r="F297" s="4" t="s">
        <v>1009</v>
      </c>
      <c r="G297" s="4" t="s">
        <v>1483</v>
      </c>
      <c r="H297" s="4" t="s">
        <v>1018</v>
      </c>
      <c r="I297" s="4"/>
      <c r="J297" s="4" t="s">
        <v>1018</v>
      </c>
      <c r="K297" s="4" t="s">
        <v>86</v>
      </c>
      <c r="L297" s="4" t="s">
        <v>48</v>
      </c>
      <c r="M297" s="4" t="s">
        <v>1012</v>
      </c>
      <c r="N297" s="4" t="s">
        <v>86</v>
      </c>
      <c r="O297" s="4" t="s">
        <v>71</v>
      </c>
      <c r="P297" s="4" t="s">
        <v>71</v>
      </c>
      <c r="Q297" s="4"/>
      <c r="R297" s="4" t="s">
        <v>143</v>
      </c>
      <c r="S297" s="4" t="s">
        <v>71</v>
      </c>
      <c r="T297" s="4" t="s">
        <v>71</v>
      </c>
      <c r="U297" s="4" t="str">
        <f t="shared" si="4"/>
        <v>NO</v>
      </c>
    </row>
    <row r="298" spans="1:21" ht="42" customHeight="1">
      <c r="A298" s="4" t="s">
        <v>1484</v>
      </c>
      <c r="B298" s="4" t="s">
        <v>696</v>
      </c>
      <c r="C298" s="4" t="s">
        <v>329</v>
      </c>
      <c r="D298" s="4" t="s">
        <v>696</v>
      </c>
      <c r="E298" s="4" t="s">
        <v>329</v>
      </c>
      <c r="F298" s="4" t="s">
        <v>1009</v>
      </c>
      <c r="G298" s="4" t="s">
        <v>1485</v>
      </c>
      <c r="H298" s="4" t="s">
        <v>1018</v>
      </c>
      <c r="I298" s="4"/>
      <c r="J298" s="4" t="s">
        <v>1018</v>
      </c>
      <c r="K298" s="4" t="s">
        <v>86</v>
      </c>
      <c r="L298" s="4" t="s">
        <v>61</v>
      </c>
      <c r="M298" s="4" t="s">
        <v>1012</v>
      </c>
      <c r="N298" s="4" t="s">
        <v>86</v>
      </c>
      <c r="O298" s="4" t="s">
        <v>71</v>
      </c>
      <c r="P298" s="4" t="s">
        <v>71</v>
      </c>
      <c r="Q298" s="4"/>
      <c r="R298" s="4" t="s">
        <v>143</v>
      </c>
      <c r="S298" s="4" t="s">
        <v>71</v>
      </c>
      <c r="T298" s="4" t="s">
        <v>71</v>
      </c>
      <c r="U298" s="4" t="str">
        <f t="shared" si="4"/>
        <v>NO</v>
      </c>
    </row>
    <row r="299" spans="1:21" ht="42" customHeight="1">
      <c r="A299" s="4" t="s">
        <v>1486</v>
      </c>
      <c r="B299" s="4" t="s">
        <v>678</v>
      </c>
      <c r="C299" s="4" t="s">
        <v>202</v>
      </c>
      <c r="D299" s="4" t="s">
        <v>678</v>
      </c>
      <c r="E299" s="4" t="s">
        <v>202</v>
      </c>
      <c r="F299" s="4" t="s">
        <v>1009</v>
      </c>
      <c r="G299" s="4" t="s">
        <v>1010</v>
      </c>
      <c r="H299" s="4" t="s">
        <v>1011</v>
      </c>
      <c r="I299" s="4"/>
      <c r="J299" s="4" t="s">
        <v>1011</v>
      </c>
      <c r="K299" s="4" t="s">
        <v>88</v>
      </c>
      <c r="L299" s="4" t="s">
        <v>55</v>
      </c>
      <c r="M299" s="4" t="s">
        <v>1012</v>
      </c>
      <c r="N299" s="4" t="s">
        <v>88</v>
      </c>
      <c r="O299" s="4" t="s">
        <v>71</v>
      </c>
      <c r="P299" s="4" t="s">
        <v>71</v>
      </c>
      <c r="Q299" s="4"/>
      <c r="R299" s="4" t="s">
        <v>143</v>
      </c>
      <c r="S299" s="4" t="s">
        <v>71</v>
      </c>
      <c r="T299" s="4" t="s">
        <v>71</v>
      </c>
      <c r="U299" s="4" t="str">
        <f t="shared" si="4"/>
        <v>NO</v>
      </c>
    </row>
    <row r="300" spans="1:21" ht="42" customHeight="1">
      <c r="A300" s="4" t="s">
        <v>1487</v>
      </c>
      <c r="B300" s="4" t="s">
        <v>678</v>
      </c>
      <c r="C300" s="4" t="s">
        <v>186</v>
      </c>
      <c r="D300" s="4" t="s">
        <v>678</v>
      </c>
      <c r="E300" s="4" t="s">
        <v>186</v>
      </c>
      <c r="F300" s="4" t="s">
        <v>1009</v>
      </c>
      <c r="G300" s="4" t="s">
        <v>1010</v>
      </c>
      <c r="H300" s="4" t="s">
        <v>1011</v>
      </c>
      <c r="I300" s="4"/>
      <c r="J300" s="4" t="s">
        <v>1011</v>
      </c>
      <c r="K300" s="4" t="s">
        <v>88</v>
      </c>
      <c r="L300" s="4" t="s">
        <v>55</v>
      </c>
      <c r="M300" s="4" t="s">
        <v>1012</v>
      </c>
      <c r="N300" s="4" t="s">
        <v>88</v>
      </c>
      <c r="O300" s="4" t="s">
        <v>71</v>
      </c>
      <c r="P300" s="4" t="s">
        <v>71</v>
      </c>
      <c r="Q300" s="4"/>
      <c r="R300" s="4" t="s">
        <v>143</v>
      </c>
      <c r="S300" s="4" t="s">
        <v>71</v>
      </c>
      <c r="T300" s="4" t="s">
        <v>71</v>
      </c>
      <c r="U300" s="4" t="str">
        <f t="shared" si="4"/>
        <v>NO</v>
      </c>
    </row>
    <row r="301" spans="1:21" ht="42" customHeight="1">
      <c r="A301" s="4" t="s">
        <v>1488</v>
      </c>
      <c r="B301" s="4" t="s">
        <v>682</v>
      </c>
      <c r="C301" s="4" t="s">
        <v>364</v>
      </c>
      <c r="D301" s="4" t="s">
        <v>682</v>
      </c>
      <c r="E301" s="4" t="s">
        <v>364</v>
      </c>
      <c r="F301" s="4" t="s">
        <v>1009</v>
      </c>
      <c r="G301" s="4" t="s">
        <v>1010</v>
      </c>
      <c r="H301" s="4" t="s">
        <v>1011</v>
      </c>
      <c r="I301" s="4"/>
      <c r="J301" s="4" t="s">
        <v>1011</v>
      </c>
      <c r="K301" s="4" t="s">
        <v>72</v>
      </c>
      <c r="L301" s="4" t="s">
        <v>72</v>
      </c>
      <c r="M301" s="4" t="s">
        <v>1021</v>
      </c>
      <c r="N301" s="4" t="s">
        <v>72</v>
      </c>
      <c r="O301" s="4" t="s">
        <v>71</v>
      </c>
      <c r="P301" s="4" t="s">
        <v>71</v>
      </c>
      <c r="Q301" s="4"/>
      <c r="R301" s="4" t="s">
        <v>143</v>
      </c>
      <c r="S301" s="4" t="s">
        <v>71</v>
      </c>
      <c r="T301" s="4" t="s">
        <v>71</v>
      </c>
      <c r="U301" s="4" t="str">
        <f t="shared" si="4"/>
        <v>NO</v>
      </c>
    </row>
    <row r="302" spans="1:21" ht="42" customHeight="1">
      <c r="A302" s="4" t="s">
        <v>1489</v>
      </c>
      <c r="B302" s="4" t="s">
        <v>682</v>
      </c>
      <c r="C302" s="4" t="s">
        <v>144</v>
      </c>
      <c r="D302" s="4" t="s">
        <v>682</v>
      </c>
      <c r="E302" s="4" t="s">
        <v>144</v>
      </c>
      <c r="F302" s="4" t="s">
        <v>1009</v>
      </c>
      <c r="G302" s="4" t="s">
        <v>1010</v>
      </c>
      <c r="H302" s="4" t="s">
        <v>1011</v>
      </c>
      <c r="I302" s="4"/>
      <c r="J302" s="4" t="s">
        <v>1011</v>
      </c>
      <c r="K302" s="4" t="s">
        <v>72</v>
      </c>
      <c r="L302" s="4" t="s">
        <v>83</v>
      </c>
      <c r="M302" s="4" t="s">
        <v>1012</v>
      </c>
      <c r="N302" s="4" t="s">
        <v>83</v>
      </c>
      <c r="O302" s="4" t="s">
        <v>71</v>
      </c>
      <c r="P302" s="4" t="s">
        <v>71</v>
      </c>
      <c r="Q302" s="4"/>
      <c r="R302" s="4" t="s">
        <v>143</v>
      </c>
      <c r="S302" s="4" t="s">
        <v>71</v>
      </c>
      <c r="T302" s="4" t="s">
        <v>71</v>
      </c>
      <c r="U302" s="4" t="str">
        <f t="shared" si="4"/>
        <v>NO</v>
      </c>
    </row>
    <row r="303" spans="1:21" ht="42" customHeight="1">
      <c r="A303" s="4" t="s">
        <v>1490</v>
      </c>
      <c r="B303" s="4" t="s">
        <v>685</v>
      </c>
      <c r="C303" s="4" t="s">
        <v>191</v>
      </c>
      <c r="D303" s="4" t="s">
        <v>685</v>
      </c>
      <c r="E303" s="4" t="s">
        <v>191</v>
      </c>
      <c r="F303" s="4" t="s">
        <v>1009</v>
      </c>
      <c r="G303" s="4" t="s">
        <v>1010</v>
      </c>
      <c r="H303" s="4" t="s">
        <v>1011</v>
      </c>
      <c r="I303" s="4"/>
      <c r="J303" s="4" t="s">
        <v>1011</v>
      </c>
      <c r="K303" s="4" t="s">
        <v>77</v>
      </c>
      <c r="L303" s="4" t="s">
        <v>55</v>
      </c>
      <c r="M303" s="4" t="s">
        <v>1012</v>
      </c>
      <c r="N303" s="4" t="s">
        <v>77</v>
      </c>
      <c r="O303" s="4" t="s">
        <v>71</v>
      </c>
      <c r="P303" s="4" t="s">
        <v>71</v>
      </c>
      <c r="Q303" s="4"/>
      <c r="R303" s="4" t="s">
        <v>143</v>
      </c>
      <c r="S303" s="4" t="s">
        <v>71</v>
      </c>
      <c r="T303" s="4" t="s">
        <v>71</v>
      </c>
      <c r="U303" s="4" t="str">
        <f t="shared" si="4"/>
        <v>NO</v>
      </c>
    </row>
    <row r="304" spans="1:21" ht="42" customHeight="1">
      <c r="A304" s="4" t="s">
        <v>1491</v>
      </c>
      <c r="B304" s="4" t="s">
        <v>685</v>
      </c>
      <c r="C304" s="4" t="s">
        <v>210</v>
      </c>
      <c r="D304" s="4" t="s">
        <v>685</v>
      </c>
      <c r="E304" s="4" t="s">
        <v>210</v>
      </c>
      <c r="F304" s="4" t="s">
        <v>1009</v>
      </c>
      <c r="G304" s="4" t="s">
        <v>1010</v>
      </c>
      <c r="H304" s="4" t="s">
        <v>1011</v>
      </c>
      <c r="I304" s="4"/>
      <c r="J304" s="4" t="s">
        <v>1011</v>
      </c>
      <c r="K304" s="4" t="s">
        <v>77</v>
      </c>
      <c r="L304" s="4" t="s">
        <v>48</v>
      </c>
      <c r="M304" s="4" t="s">
        <v>1012</v>
      </c>
      <c r="N304" s="4" t="s">
        <v>77</v>
      </c>
      <c r="O304" s="4" t="s">
        <v>71</v>
      </c>
      <c r="P304" s="4" t="s">
        <v>71</v>
      </c>
      <c r="Q304" s="4"/>
      <c r="R304" s="4" t="s">
        <v>143</v>
      </c>
      <c r="S304" s="4" t="s">
        <v>71</v>
      </c>
      <c r="T304" s="4" t="s">
        <v>71</v>
      </c>
      <c r="U304" s="4" t="str">
        <f t="shared" si="4"/>
        <v>NO</v>
      </c>
    </row>
    <row r="305" spans="1:21" ht="42" customHeight="1">
      <c r="A305" s="4" t="s">
        <v>1492</v>
      </c>
      <c r="B305" s="4" t="s">
        <v>689</v>
      </c>
      <c r="C305" s="4" t="s">
        <v>186</v>
      </c>
      <c r="D305" s="4" t="s">
        <v>689</v>
      </c>
      <c r="E305" s="4" t="s">
        <v>186</v>
      </c>
      <c r="F305" s="4" t="s">
        <v>1009</v>
      </c>
      <c r="G305" s="4" t="s">
        <v>1010</v>
      </c>
      <c r="H305" s="4" t="s">
        <v>1011</v>
      </c>
      <c r="I305" s="4"/>
      <c r="J305" s="4" t="s">
        <v>1011</v>
      </c>
      <c r="K305" s="4" t="s">
        <v>90</v>
      </c>
      <c r="L305" s="4" t="s">
        <v>55</v>
      </c>
      <c r="M305" s="4" t="s">
        <v>1012</v>
      </c>
      <c r="N305" s="4" t="s">
        <v>90</v>
      </c>
      <c r="O305" s="4" t="s">
        <v>71</v>
      </c>
      <c r="P305" s="4" t="s">
        <v>71</v>
      </c>
      <c r="Q305" s="4"/>
      <c r="R305" s="4" t="s">
        <v>143</v>
      </c>
      <c r="S305" s="4" t="s">
        <v>71</v>
      </c>
      <c r="T305" s="4" t="s">
        <v>71</v>
      </c>
      <c r="U305" s="4" t="str">
        <f t="shared" si="4"/>
        <v>NO</v>
      </c>
    </row>
    <row r="306" spans="1:21" ht="42" customHeight="1">
      <c r="A306" s="4" t="s">
        <v>1493</v>
      </c>
      <c r="B306" s="4" t="s">
        <v>689</v>
      </c>
      <c r="C306" s="4" t="s">
        <v>461</v>
      </c>
      <c r="D306" s="4" t="s">
        <v>689</v>
      </c>
      <c r="E306" s="4" t="s">
        <v>461</v>
      </c>
      <c r="F306" s="4" t="s">
        <v>1009</v>
      </c>
      <c r="G306" s="4" t="s">
        <v>1010</v>
      </c>
      <c r="H306" s="4" t="s">
        <v>1011</v>
      </c>
      <c r="I306" s="4"/>
      <c r="J306" s="4" t="s">
        <v>1011</v>
      </c>
      <c r="K306" s="4" t="s">
        <v>90</v>
      </c>
      <c r="L306" s="4" t="s">
        <v>92</v>
      </c>
      <c r="M306" s="4" t="s">
        <v>1012</v>
      </c>
      <c r="N306" s="4" t="s">
        <v>92</v>
      </c>
      <c r="O306" s="4" t="s">
        <v>71</v>
      </c>
      <c r="P306" s="4" t="s">
        <v>71</v>
      </c>
      <c r="Q306" s="4"/>
      <c r="R306" s="4" t="s">
        <v>143</v>
      </c>
      <c r="S306" s="4" t="s">
        <v>71</v>
      </c>
      <c r="T306" s="4" t="s">
        <v>71</v>
      </c>
      <c r="U306" s="4" t="str">
        <f t="shared" si="4"/>
        <v>NO</v>
      </c>
    </row>
    <row r="307" spans="1:21" ht="42" customHeight="1">
      <c r="A307" s="4" t="s">
        <v>1494</v>
      </c>
      <c r="B307" s="4" t="s">
        <v>693</v>
      </c>
      <c r="C307" s="4" t="s">
        <v>191</v>
      </c>
      <c r="D307" s="4" t="s">
        <v>693</v>
      </c>
      <c r="E307" s="4" t="s">
        <v>191</v>
      </c>
      <c r="F307" s="4" t="s">
        <v>1009</v>
      </c>
      <c r="G307" s="4" t="s">
        <v>1010</v>
      </c>
      <c r="H307" s="4" t="s">
        <v>1011</v>
      </c>
      <c r="I307" s="4"/>
      <c r="J307" s="4" t="s">
        <v>1011</v>
      </c>
      <c r="K307" s="4" t="s">
        <v>90</v>
      </c>
      <c r="L307" s="4" t="s">
        <v>55</v>
      </c>
      <c r="M307" s="4" t="s">
        <v>1012</v>
      </c>
      <c r="N307" s="4" t="s">
        <v>90</v>
      </c>
      <c r="O307" s="4" t="s">
        <v>71</v>
      </c>
      <c r="P307" s="4" t="s">
        <v>71</v>
      </c>
      <c r="Q307" s="4"/>
      <c r="R307" s="4" t="s">
        <v>143</v>
      </c>
      <c r="S307" s="4" t="s">
        <v>71</v>
      </c>
      <c r="T307" s="4" t="s">
        <v>71</v>
      </c>
      <c r="U307" s="4" t="str">
        <f t="shared" si="4"/>
        <v>NO</v>
      </c>
    </row>
    <row r="308" spans="1:21" ht="42" customHeight="1">
      <c r="A308" s="4" t="s">
        <v>1495</v>
      </c>
      <c r="B308" s="4" t="s">
        <v>693</v>
      </c>
      <c r="C308" s="4" t="s">
        <v>472</v>
      </c>
      <c r="D308" s="4" t="s">
        <v>693</v>
      </c>
      <c r="E308" s="4" t="s">
        <v>472</v>
      </c>
      <c r="F308" s="4" t="s">
        <v>1009</v>
      </c>
      <c r="G308" s="4" t="s">
        <v>1010</v>
      </c>
      <c r="H308" s="4" t="s">
        <v>1011</v>
      </c>
      <c r="I308" s="4"/>
      <c r="J308" s="4" t="s">
        <v>1011</v>
      </c>
      <c r="K308" s="4" t="s">
        <v>90</v>
      </c>
      <c r="L308" s="4" t="s">
        <v>90</v>
      </c>
      <c r="M308" s="4" t="s">
        <v>1021</v>
      </c>
      <c r="N308" s="4" t="s">
        <v>90</v>
      </c>
      <c r="O308" s="4" t="s">
        <v>71</v>
      </c>
      <c r="P308" s="4" t="s">
        <v>71</v>
      </c>
      <c r="Q308" s="4"/>
      <c r="R308" s="4" t="s">
        <v>143</v>
      </c>
      <c r="S308" s="4" t="s">
        <v>71</v>
      </c>
      <c r="T308" s="4" t="s">
        <v>71</v>
      </c>
      <c r="U308" s="4" t="str">
        <f t="shared" si="4"/>
        <v>NO</v>
      </c>
    </row>
    <row r="309" spans="1:21" ht="42" customHeight="1">
      <c r="A309" s="4" t="s">
        <v>1496</v>
      </c>
      <c r="B309" s="4" t="s">
        <v>699</v>
      </c>
      <c r="C309" s="4" t="s">
        <v>433</v>
      </c>
      <c r="D309" s="4" t="s">
        <v>699</v>
      </c>
      <c r="E309" s="4" t="s">
        <v>433</v>
      </c>
      <c r="F309" s="4" t="s">
        <v>1009</v>
      </c>
      <c r="G309" s="4" t="s">
        <v>1010</v>
      </c>
      <c r="H309" s="4" t="s">
        <v>1011</v>
      </c>
      <c r="I309" s="4"/>
      <c r="J309" s="4" t="s">
        <v>1011</v>
      </c>
      <c r="K309" s="4" t="s">
        <v>75</v>
      </c>
      <c r="L309" s="4" t="s">
        <v>72</v>
      </c>
      <c r="M309" s="4" t="s">
        <v>1012</v>
      </c>
      <c r="N309" s="4" t="s">
        <v>75</v>
      </c>
      <c r="O309" s="4" t="s">
        <v>71</v>
      </c>
      <c r="P309" s="4" t="s">
        <v>71</v>
      </c>
      <c r="Q309" s="4"/>
      <c r="R309" s="4" t="s">
        <v>143</v>
      </c>
      <c r="S309" s="4" t="s">
        <v>71</v>
      </c>
      <c r="T309" s="4" t="s">
        <v>71</v>
      </c>
      <c r="U309" s="4" t="str">
        <f t="shared" si="4"/>
        <v>NO</v>
      </c>
    </row>
    <row r="310" spans="1:21" ht="42" customHeight="1">
      <c r="A310" s="4" t="s">
        <v>1497</v>
      </c>
      <c r="B310" s="4" t="s">
        <v>699</v>
      </c>
      <c r="C310" s="4" t="s">
        <v>552</v>
      </c>
      <c r="D310" s="4" t="s">
        <v>699</v>
      </c>
      <c r="E310" s="4" t="s">
        <v>552</v>
      </c>
      <c r="F310" s="4" t="s">
        <v>1009</v>
      </c>
      <c r="G310" s="4" t="s">
        <v>1010</v>
      </c>
      <c r="H310" s="4" t="s">
        <v>1011</v>
      </c>
      <c r="I310" s="4"/>
      <c r="J310" s="4" t="s">
        <v>1011</v>
      </c>
      <c r="K310" s="4" t="s">
        <v>75</v>
      </c>
      <c r="L310" s="4" t="s">
        <v>79</v>
      </c>
      <c r="M310" s="4" t="s">
        <v>1012</v>
      </c>
      <c r="N310" s="4" t="s">
        <v>79</v>
      </c>
      <c r="O310" s="4" t="s">
        <v>71</v>
      </c>
      <c r="P310" s="4" t="s">
        <v>71</v>
      </c>
      <c r="Q310" s="4"/>
      <c r="R310" s="4" t="s">
        <v>143</v>
      </c>
      <c r="S310" s="4" t="s">
        <v>71</v>
      </c>
      <c r="T310" s="4" t="s">
        <v>71</v>
      </c>
      <c r="U310" s="4" t="str">
        <f t="shared" si="4"/>
        <v>NO</v>
      </c>
    </row>
    <row r="311" spans="1:21" ht="42" customHeight="1">
      <c r="A311" s="4" t="s">
        <v>1498</v>
      </c>
      <c r="B311" s="4" t="s">
        <v>703</v>
      </c>
      <c r="C311" s="4" t="s">
        <v>337</v>
      </c>
      <c r="D311" s="4" t="s">
        <v>703</v>
      </c>
      <c r="E311" s="4" t="s">
        <v>337</v>
      </c>
      <c r="F311" s="4" t="s">
        <v>1009</v>
      </c>
      <c r="G311" s="4" t="s">
        <v>1010</v>
      </c>
      <c r="H311" s="4" t="s">
        <v>1011</v>
      </c>
      <c r="I311" s="4"/>
      <c r="J311" s="4" t="s">
        <v>1011</v>
      </c>
      <c r="K311" s="4" t="s">
        <v>81</v>
      </c>
      <c r="L311" s="4" t="s">
        <v>75</v>
      </c>
      <c r="M311" s="4" t="s">
        <v>1012</v>
      </c>
      <c r="N311" s="4" t="s">
        <v>81</v>
      </c>
      <c r="O311" s="4" t="s">
        <v>71</v>
      </c>
      <c r="P311" s="4" t="s">
        <v>71</v>
      </c>
      <c r="Q311" s="4"/>
      <c r="R311" s="4" t="s">
        <v>143</v>
      </c>
      <c r="S311" s="4" t="s">
        <v>71</v>
      </c>
      <c r="T311" s="4" t="s">
        <v>71</v>
      </c>
      <c r="U311" s="4" t="str">
        <f t="shared" si="4"/>
        <v>NO</v>
      </c>
    </row>
    <row r="312" spans="1:21" ht="42" customHeight="1">
      <c r="A312" s="4" t="s">
        <v>1499</v>
      </c>
      <c r="B312" s="4" t="s">
        <v>707</v>
      </c>
      <c r="C312" s="4" t="s">
        <v>678</v>
      </c>
      <c r="D312" s="4" t="s">
        <v>707</v>
      </c>
      <c r="E312" s="4" t="s">
        <v>678</v>
      </c>
      <c r="F312" s="4" t="s">
        <v>1009</v>
      </c>
      <c r="G312" s="4" t="s">
        <v>1010</v>
      </c>
      <c r="H312" s="4" t="s">
        <v>1011</v>
      </c>
      <c r="I312" s="4"/>
      <c r="J312" s="4" t="s">
        <v>1011</v>
      </c>
      <c r="K312" s="4" t="s">
        <v>88</v>
      </c>
      <c r="L312" s="4" t="s">
        <v>88</v>
      </c>
      <c r="M312" s="4" t="s">
        <v>1021</v>
      </c>
      <c r="N312" s="4" t="s">
        <v>88</v>
      </c>
      <c r="O312" s="4" t="s">
        <v>71</v>
      </c>
      <c r="P312" s="4" t="s">
        <v>71</v>
      </c>
      <c r="Q312" s="4"/>
      <c r="R312" s="4" t="s">
        <v>143</v>
      </c>
      <c r="S312" s="4" t="s">
        <v>71</v>
      </c>
      <c r="T312" s="4" t="s">
        <v>71</v>
      </c>
      <c r="U312" s="4" t="str">
        <f t="shared" si="4"/>
        <v>NO</v>
      </c>
    </row>
    <row r="313" spans="1:21" ht="42" customHeight="1">
      <c r="A313" s="4" t="s">
        <v>1500</v>
      </c>
      <c r="B313" s="4" t="s">
        <v>707</v>
      </c>
      <c r="C313" s="4" t="s">
        <v>202</v>
      </c>
      <c r="D313" s="4" t="s">
        <v>707</v>
      </c>
      <c r="E313" s="4" t="s">
        <v>202</v>
      </c>
      <c r="F313" s="4" t="s">
        <v>1009</v>
      </c>
      <c r="G313" s="4" t="s">
        <v>1010</v>
      </c>
      <c r="H313" s="4" t="s">
        <v>1011</v>
      </c>
      <c r="I313" s="4"/>
      <c r="J313" s="4" t="s">
        <v>1011</v>
      </c>
      <c r="K313" s="4" t="s">
        <v>88</v>
      </c>
      <c r="L313" s="4" t="s">
        <v>55</v>
      </c>
      <c r="M313" s="4" t="s">
        <v>1012</v>
      </c>
      <c r="N313" s="4" t="s">
        <v>88</v>
      </c>
      <c r="O313" s="4" t="s">
        <v>71</v>
      </c>
      <c r="P313" s="4" t="s">
        <v>71</v>
      </c>
      <c r="Q313" s="4"/>
      <c r="R313" s="4" t="s">
        <v>143</v>
      </c>
      <c r="S313" s="4" t="s">
        <v>71</v>
      </c>
      <c r="T313" s="4" t="s">
        <v>71</v>
      </c>
      <c r="U313" s="4" t="str">
        <f t="shared" si="4"/>
        <v>NO</v>
      </c>
    </row>
    <row r="314" spans="1:21" ht="42" customHeight="1">
      <c r="A314" s="4" t="s">
        <v>1501</v>
      </c>
      <c r="B314" s="4" t="s">
        <v>710</v>
      </c>
      <c r="C314" s="4" t="s">
        <v>585</v>
      </c>
      <c r="D314" s="4" t="s">
        <v>710</v>
      </c>
      <c r="E314" s="4" t="s">
        <v>585</v>
      </c>
      <c r="F314" s="4" t="s">
        <v>1009</v>
      </c>
      <c r="G314" s="4" t="s">
        <v>1502</v>
      </c>
      <c r="H314" s="4" t="s">
        <v>1018</v>
      </c>
      <c r="I314" s="4"/>
      <c r="J314" s="4" t="s">
        <v>1018</v>
      </c>
      <c r="K314" s="4" t="s">
        <v>69</v>
      </c>
      <c r="L314" s="4" t="s">
        <v>69</v>
      </c>
      <c r="M314" s="4" t="s">
        <v>1021</v>
      </c>
      <c r="N314" s="4" t="s">
        <v>69</v>
      </c>
      <c r="O314" s="4" t="s">
        <v>71</v>
      </c>
      <c r="P314" s="4" t="s">
        <v>71</v>
      </c>
      <c r="Q314" s="4"/>
      <c r="R314" s="4" t="s">
        <v>143</v>
      </c>
      <c r="S314" s="4" t="s">
        <v>71</v>
      </c>
      <c r="T314" s="4" t="s">
        <v>71</v>
      </c>
      <c r="U314" s="4" t="str">
        <f t="shared" si="4"/>
        <v>NO</v>
      </c>
    </row>
    <row r="315" spans="1:21" ht="42" customHeight="1">
      <c r="A315" s="4" t="s">
        <v>1503</v>
      </c>
      <c r="B315" s="4" t="s">
        <v>710</v>
      </c>
      <c r="C315" s="4" t="s">
        <v>186</v>
      </c>
      <c r="D315" s="4" t="s">
        <v>710</v>
      </c>
      <c r="E315" s="4" t="s">
        <v>186</v>
      </c>
      <c r="F315" s="4" t="s">
        <v>1009</v>
      </c>
      <c r="G315" s="4" t="s">
        <v>1504</v>
      </c>
      <c r="H315" s="4" t="s">
        <v>1018</v>
      </c>
      <c r="I315" s="4"/>
      <c r="J315" s="4" t="s">
        <v>1018</v>
      </c>
      <c r="K315" s="4" t="s">
        <v>69</v>
      </c>
      <c r="L315" s="4" t="s">
        <v>55</v>
      </c>
      <c r="M315" s="4" t="s">
        <v>1012</v>
      </c>
      <c r="N315" s="4" t="s">
        <v>69</v>
      </c>
      <c r="O315" s="4" t="s">
        <v>71</v>
      </c>
      <c r="P315" s="4" t="s">
        <v>71</v>
      </c>
      <c r="Q315" s="4"/>
      <c r="R315" s="4" t="s">
        <v>143</v>
      </c>
      <c r="S315" s="4" t="s">
        <v>71</v>
      </c>
      <c r="T315" s="4" t="s">
        <v>71</v>
      </c>
      <c r="U315" s="4" t="str">
        <f t="shared" si="4"/>
        <v>NO</v>
      </c>
    </row>
    <row r="316" spans="1:21" ht="42" customHeight="1">
      <c r="A316" s="4" t="s">
        <v>1505</v>
      </c>
      <c r="B316" s="4" t="s">
        <v>713</v>
      </c>
      <c r="C316" s="4" t="s">
        <v>645</v>
      </c>
      <c r="D316" s="4" t="s">
        <v>713</v>
      </c>
      <c r="E316" s="4" t="s">
        <v>645</v>
      </c>
      <c r="F316" s="4" t="s">
        <v>1009</v>
      </c>
      <c r="G316" s="4" t="s">
        <v>1506</v>
      </c>
      <c r="H316" s="4" t="s">
        <v>1018</v>
      </c>
      <c r="I316" s="4"/>
      <c r="J316" s="4" t="s">
        <v>1018</v>
      </c>
      <c r="K316" s="4" t="s">
        <v>86</v>
      </c>
      <c r="L316" s="4" t="s">
        <v>69</v>
      </c>
      <c r="M316" s="4" t="s">
        <v>1012</v>
      </c>
      <c r="N316" s="4" t="s">
        <v>86</v>
      </c>
      <c r="O316" s="4" t="s">
        <v>71</v>
      </c>
      <c r="P316" s="4" t="s">
        <v>71</v>
      </c>
      <c r="Q316" s="4"/>
      <c r="R316" s="4" t="s">
        <v>143</v>
      </c>
      <c r="S316" s="4" t="s">
        <v>71</v>
      </c>
      <c r="T316" s="4" t="s">
        <v>71</v>
      </c>
      <c r="U316" s="4" t="str">
        <f t="shared" si="4"/>
        <v>NO</v>
      </c>
    </row>
    <row r="317" spans="1:21" ht="42" customHeight="1">
      <c r="A317" s="4" t="s">
        <v>1507</v>
      </c>
      <c r="B317" s="4" t="s">
        <v>713</v>
      </c>
      <c r="C317" s="4" t="s">
        <v>360</v>
      </c>
      <c r="D317" s="4" t="s">
        <v>713</v>
      </c>
      <c r="E317" s="4" t="s">
        <v>360</v>
      </c>
      <c r="F317" s="4" t="s">
        <v>1009</v>
      </c>
      <c r="G317" s="4" t="s">
        <v>1508</v>
      </c>
      <c r="H317" s="4" t="s">
        <v>1018</v>
      </c>
      <c r="I317" s="4"/>
      <c r="J317" s="4" t="s">
        <v>1018</v>
      </c>
      <c r="K317" s="4" t="s">
        <v>86</v>
      </c>
      <c r="L317" s="4" t="s">
        <v>90</v>
      </c>
      <c r="M317" s="4" t="s">
        <v>1012</v>
      </c>
      <c r="N317" s="4" t="s">
        <v>90</v>
      </c>
      <c r="O317" s="4" t="s">
        <v>71</v>
      </c>
      <c r="P317" s="4" t="s">
        <v>71</v>
      </c>
      <c r="Q317" s="4"/>
      <c r="R317" s="4" t="s">
        <v>143</v>
      </c>
      <c r="S317" s="4" t="s">
        <v>71</v>
      </c>
      <c r="T317" s="4" t="s">
        <v>71</v>
      </c>
      <c r="U317" s="4" t="str">
        <f t="shared" si="4"/>
        <v>NO</v>
      </c>
    </row>
    <row r="318" spans="1:21" ht="42" customHeight="1">
      <c r="A318" s="4" t="s">
        <v>1509</v>
      </c>
      <c r="B318" s="4" t="s">
        <v>713</v>
      </c>
      <c r="C318" s="4" t="s">
        <v>672</v>
      </c>
      <c r="D318" s="4" t="s">
        <v>713</v>
      </c>
      <c r="E318" s="4" t="s">
        <v>672</v>
      </c>
      <c r="F318" s="4" t="s">
        <v>1009</v>
      </c>
      <c r="G318" s="4" t="s">
        <v>1510</v>
      </c>
      <c r="H318" s="4" t="s">
        <v>1011</v>
      </c>
      <c r="I318" s="4"/>
      <c r="J318" s="4" t="s">
        <v>1011</v>
      </c>
      <c r="K318" s="4" t="s">
        <v>86</v>
      </c>
      <c r="L318" s="4" t="s">
        <v>88</v>
      </c>
      <c r="M318" s="4" t="s">
        <v>1012</v>
      </c>
      <c r="N318" s="4" t="s">
        <v>88</v>
      </c>
      <c r="O318" s="4" t="s">
        <v>71</v>
      </c>
      <c r="P318" s="4" t="s">
        <v>71</v>
      </c>
      <c r="Q318" s="4"/>
      <c r="R318" s="4" t="s">
        <v>143</v>
      </c>
      <c r="S318" s="4" t="s">
        <v>71</v>
      </c>
      <c r="T318" s="4" t="s">
        <v>71</v>
      </c>
      <c r="U318" s="4" t="str">
        <f t="shared" si="4"/>
        <v>NO</v>
      </c>
    </row>
    <row r="319" spans="1:21" ht="42" customHeight="1">
      <c r="A319" s="4" t="s">
        <v>1511</v>
      </c>
      <c r="B319" s="4" t="s">
        <v>713</v>
      </c>
      <c r="C319" s="4" t="s">
        <v>144</v>
      </c>
      <c r="D319" s="4" t="s">
        <v>713</v>
      </c>
      <c r="E319" s="4" t="s">
        <v>144</v>
      </c>
      <c r="F319" s="4" t="s">
        <v>1009</v>
      </c>
      <c r="G319" s="4" t="s">
        <v>1512</v>
      </c>
      <c r="H319" s="4" t="s">
        <v>1011</v>
      </c>
      <c r="I319" s="4"/>
      <c r="J319" s="4" t="s">
        <v>1011</v>
      </c>
      <c r="K319" s="4" t="s">
        <v>86</v>
      </c>
      <c r="L319" s="4" t="s">
        <v>83</v>
      </c>
      <c r="M319" s="4" t="s">
        <v>1012</v>
      </c>
      <c r="N319" s="4" t="s">
        <v>86</v>
      </c>
      <c r="O319" s="4" t="s">
        <v>71</v>
      </c>
      <c r="P319" s="4" t="s">
        <v>71</v>
      </c>
      <c r="Q319" s="4"/>
      <c r="R319" s="4" t="s">
        <v>143</v>
      </c>
      <c r="S319" s="4" t="s">
        <v>71</v>
      </c>
      <c r="T319" s="4" t="s">
        <v>71</v>
      </c>
      <c r="U319" s="4" t="str">
        <f t="shared" si="4"/>
        <v>NO</v>
      </c>
    </row>
    <row r="320" spans="1:21" ht="42" customHeight="1">
      <c r="A320" s="4" t="s">
        <v>1513</v>
      </c>
      <c r="B320" s="4" t="s">
        <v>716</v>
      </c>
      <c r="C320" s="4" t="s">
        <v>167</v>
      </c>
      <c r="D320" s="4" t="s">
        <v>716</v>
      </c>
      <c r="E320" s="4" t="s">
        <v>167</v>
      </c>
      <c r="F320" s="4" t="s">
        <v>1016</v>
      </c>
      <c r="G320" s="4" t="s">
        <v>1514</v>
      </c>
      <c r="H320" s="4" t="s">
        <v>1018</v>
      </c>
      <c r="I320" s="4"/>
      <c r="J320" s="4" t="s">
        <v>1018</v>
      </c>
      <c r="K320" s="4" t="s">
        <v>77</v>
      </c>
      <c r="L320" s="4" t="s">
        <v>72</v>
      </c>
      <c r="M320" s="4" t="s">
        <v>1012</v>
      </c>
      <c r="N320" s="4" t="s">
        <v>77</v>
      </c>
      <c r="O320" s="4" t="s">
        <v>71</v>
      </c>
      <c r="P320" s="4" t="s">
        <v>71</v>
      </c>
      <c r="Q320" s="4"/>
      <c r="R320" s="4" t="s">
        <v>143</v>
      </c>
      <c r="S320" s="4" t="s">
        <v>71</v>
      </c>
      <c r="T320" s="4" t="s">
        <v>71</v>
      </c>
      <c r="U320" s="4" t="str">
        <f t="shared" si="4"/>
        <v>NO</v>
      </c>
    </row>
    <row r="321" spans="1:21" ht="42" customHeight="1">
      <c r="A321" s="4" t="s">
        <v>1515</v>
      </c>
      <c r="B321" s="4" t="s">
        <v>716</v>
      </c>
      <c r="C321" s="4" t="s">
        <v>354</v>
      </c>
      <c r="D321" s="4" t="s">
        <v>716</v>
      </c>
      <c r="E321" s="4" t="s">
        <v>354</v>
      </c>
      <c r="F321" s="4" t="s">
        <v>1009</v>
      </c>
      <c r="G321" s="4" t="s">
        <v>1516</v>
      </c>
      <c r="H321" s="4" t="s">
        <v>1018</v>
      </c>
      <c r="I321" s="4"/>
      <c r="J321" s="4" t="s">
        <v>1018</v>
      </c>
      <c r="K321" s="4" t="s">
        <v>77</v>
      </c>
      <c r="L321" s="4" t="s">
        <v>75</v>
      </c>
      <c r="M321" s="4" t="s">
        <v>1012</v>
      </c>
      <c r="N321" s="4" t="s">
        <v>77</v>
      </c>
      <c r="O321" s="4" t="s">
        <v>71</v>
      </c>
      <c r="P321" s="4" t="s">
        <v>71</v>
      </c>
      <c r="Q321" s="4"/>
      <c r="R321" s="4" t="s">
        <v>143</v>
      </c>
      <c r="S321" s="4" t="s">
        <v>71</v>
      </c>
      <c r="T321" s="4" t="s">
        <v>71</v>
      </c>
      <c r="U321" s="4" t="str">
        <f t="shared" si="4"/>
        <v>NO</v>
      </c>
    </row>
    <row r="322" spans="1:21" ht="42" customHeight="1">
      <c r="A322" s="4" t="s">
        <v>1517</v>
      </c>
      <c r="B322" s="4" t="s">
        <v>716</v>
      </c>
      <c r="C322" s="4" t="s">
        <v>245</v>
      </c>
      <c r="D322" s="4" t="s">
        <v>716</v>
      </c>
      <c r="E322" s="4" t="s">
        <v>245</v>
      </c>
      <c r="F322" s="4" t="s">
        <v>1009</v>
      </c>
      <c r="G322" s="4" t="s">
        <v>1518</v>
      </c>
      <c r="H322" s="4" t="s">
        <v>1018</v>
      </c>
      <c r="I322" s="4"/>
      <c r="J322" s="4" t="s">
        <v>1018</v>
      </c>
      <c r="K322" s="4" t="s">
        <v>77</v>
      </c>
      <c r="L322" s="4" t="s">
        <v>86</v>
      </c>
      <c r="M322" s="4" t="s">
        <v>1012</v>
      </c>
      <c r="N322" s="4" t="s">
        <v>86</v>
      </c>
      <c r="O322" s="4" t="s">
        <v>71</v>
      </c>
      <c r="P322" s="4" t="s">
        <v>71</v>
      </c>
      <c r="Q322" s="4"/>
      <c r="R322" s="4" t="s">
        <v>143</v>
      </c>
      <c r="S322" s="4" t="s">
        <v>71</v>
      </c>
      <c r="T322" s="4" t="s">
        <v>71</v>
      </c>
      <c r="U322" s="4" t="str">
        <f t="shared" si="4"/>
        <v>NO</v>
      </c>
    </row>
    <row r="323" spans="1:21" ht="42" customHeight="1">
      <c r="A323" s="4" t="s">
        <v>1519</v>
      </c>
      <c r="B323" s="4" t="s">
        <v>716</v>
      </c>
      <c r="C323" s="4" t="s">
        <v>659</v>
      </c>
      <c r="D323" s="4" t="s">
        <v>716</v>
      </c>
      <c r="E323" s="4" t="s">
        <v>659</v>
      </c>
      <c r="F323" s="4" t="s">
        <v>1009</v>
      </c>
      <c r="G323" s="4" t="s">
        <v>1520</v>
      </c>
      <c r="H323" s="4" t="s">
        <v>1018</v>
      </c>
      <c r="I323" s="4"/>
      <c r="J323" s="4" t="s">
        <v>1018</v>
      </c>
      <c r="K323" s="4" t="s">
        <v>77</v>
      </c>
      <c r="L323" s="4" t="s">
        <v>86</v>
      </c>
      <c r="M323" s="4" t="s">
        <v>1012</v>
      </c>
      <c r="N323" s="4" t="s">
        <v>86</v>
      </c>
      <c r="O323" s="4" t="s">
        <v>71</v>
      </c>
      <c r="P323" s="4" t="s">
        <v>71</v>
      </c>
      <c r="Q323" s="4"/>
      <c r="R323" s="4" t="s">
        <v>143</v>
      </c>
      <c r="S323" s="4" t="s">
        <v>71</v>
      </c>
      <c r="T323" s="4" t="s">
        <v>71</v>
      </c>
      <c r="U323" s="4" t="str">
        <f t="shared" si="4"/>
        <v>NO</v>
      </c>
    </row>
    <row r="324" spans="1:21" ht="42" customHeight="1">
      <c r="A324" s="4" t="s">
        <v>1521</v>
      </c>
      <c r="B324" s="4" t="s">
        <v>716</v>
      </c>
      <c r="C324" s="4" t="s">
        <v>585</v>
      </c>
      <c r="D324" s="4" t="s">
        <v>716</v>
      </c>
      <c r="E324" s="4" t="s">
        <v>585</v>
      </c>
      <c r="F324" s="4" t="s">
        <v>1009</v>
      </c>
      <c r="G324" s="4" t="s">
        <v>1522</v>
      </c>
      <c r="H324" s="4" t="s">
        <v>1018</v>
      </c>
      <c r="I324" s="4"/>
      <c r="J324" s="4" t="s">
        <v>1018</v>
      </c>
      <c r="K324" s="4" t="s">
        <v>77</v>
      </c>
      <c r="L324" s="4" t="s">
        <v>69</v>
      </c>
      <c r="M324" s="4" t="s">
        <v>1012</v>
      </c>
      <c r="N324" s="4" t="s">
        <v>77</v>
      </c>
      <c r="O324" s="4" t="s">
        <v>71</v>
      </c>
      <c r="P324" s="4" t="s">
        <v>71</v>
      </c>
      <c r="Q324" s="4"/>
      <c r="R324" s="4" t="s">
        <v>143</v>
      </c>
      <c r="S324" s="4" t="s">
        <v>71</v>
      </c>
      <c r="T324" s="4" t="s">
        <v>71</v>
      </c>
      <c r="U324" s="4" t="str">
        <f t="shared" si="4"/>
        <v>NO</v>
      </c>
    </row>
    <row r="325" spans="1:21" ht="42" customHeight="1">
      <c r="A325" s="4" t="s">
        <v>1523</v>
      </c>
      <c r="B325" s="4" t="s">
        <v>716</v>
      </c>
      <c r="C325" s="4" t="s">
        <v>693</v>
      </c>
      <c r="D325" s="4" t="s">
        <v>716</v>
      </c>
      <c r="E325" s="4" t="s">
        <v>693</v>
      </c>
      <c r="F325" s="4" t="s">
        <v>1009</v>
      </c>
      <c r="G325" s="4" t="s">
        <v>1524</v>
      </c>
      <c r="H325" s="4" t="s">
        <v>1018</v>
      </c>
      <c r="I325" s="4"/>
      <c r="J325" s="4" t="s">
        <v>1018</v>
      </c>
      <c r="K325" s="4" t="s">
        <v>77</v>
      </c>
      <c r="L325" s="4" t="s">
        <v>90</v>
      </c>
      <c r="M325" s="4" t="s">
        <v>1012</v>
      </c>
      <c r="N325" s="4" t="s">
        <v>90</v>
      </c>
      <c r="O325" s="4" t="s">
        <v>71</v>
      </c>
      <c r="P325" s="4" t="s">
        <v>71</v>
      </c>
      <c r="Q325" s="4"/>
      <c r="R325" s="4" t="s">
        <v>143</v>
      </c>
      <c r="S325" s="4" t="s">
        <v>71</v>
      </c>
      <c r="T325" s="4" t="s">
        <v>71</v>
      </c>
      <c r="U325" s="4" t="str">
        <f t="shared" ref="U325:U388" si="5">IF(AND(R325="revisada",S325="pasa",T325="aprobada",O325&lt;&gt;"pendiente",P325&lt;&gt;"pendiente",OR(J325="por_corroborar",AND(J325="corroborada",Q325&lt;&gt;""))),"SÍ","NO")</f>
        <v>NO</v>
      </c>
    </row>
    <row r="326" spans="1:21" ht="42" customHeight="1">
      <c r="A326" s="4" t="s">
        <v>1525</v>
      </c>
      <c r="B326" s="4" t="s">
        <v>716</v>
      </c>
      <c r="C326" s="4" t="s">
        <v>186</v>
      </c>
      <c r="D326" s="4" t="s">
        <v>716</v>
      </c>
      <c r="E326" s="4" t="s">
        <v>186</v>
      </c>
      <c r="F326" s="4" t="s">
        <v>1009</v>
      </c>
      <c r="G326" s="4" t="s">
        <v>1526</v>
      </c>
      <c r="H326" s="4" t="s">
        <v>1018</v>
      </c>
      <c r="I326" s="4"/>
      <c r="J326" s="4" t="s">
        <v>1018</v>
      </c>
      <c r="K326" s="4" t="s">
        <v>77</v>
      </c>
      <c r="L326" s="4" t="s">
        <v>55</v>
      </c>
      <c r="M326" s="4" t="s">
        <v>1012</v>
      </c>
      <c r="N326" s="4" t="s">
        <v>77</v>
      </c>
      <c r="O326" s="4" t="s">
        <v>71</v>
      </c>
      <c r="P326" s="4" t="s">
        <v>71</v>
      </c>
      <c r="Q326" s="4"/>
      <c r="R326" s="4" t="s">
        <v>143</v>
      </c>
      <c r="S326" s="4" t="s">
        <v>71</v>
      </c>
      <c r="T326" s="4" t="s">
        <v>71</v>
      </c>
      <c r="U326" s="4" t="str">
        <f t="shared" si="5"/>
        <v>NO</v>
      </c>
    </row>
    <row r="327" spans="1:21" ht="42" customHeight="1">
      <c r="A327" s="4" t="s">
        <v>1527</v>
      </c>
      <c r="B327" s="4" t="s">
        <v>720</v>
      </c>
      <c r="C327" s="4" t="s">
        <v>120</v>
      </c>
      <c r="D327" s="4" t="s">
        <v>720</v>
      </c>
      <c r="E327" s="4" t="s">
        <v>120</v>
      </c>
      <c r="F327" s="4" t="s">
        <v>1016</v>
      </c>
      <c r="G327" s="4" t="s">
        <v>1528</v>
      </c>
      <c r="H327" s="4" t="s">
        <v>1011</v>
      </c>
      <c r="I327" s="4"/>
      <c r="J327" s="4" t="s">
        <v>1011</v>
      </c>
      <c r="K327" s="4" t="s">
        <v>90</v>
      </c>
      <c r="L327" s="4" t="s">
        <v>48</v>
      </c>
      <c r="M327" s="4" t="s">
        <v>1012</v>
      </c>
      <c r="N327" s="4" t="s">
        <v>90</v>
      </c>
      <c r="O327" s="4" t="s">
        <v>71</v>
      </c>
      <c r="P327" s="4" t="s">
        <v>71</v>
      </c>
      <c r="Q327" s="4"/>
      <c r="R327" s="4" t="s">
        <v>143</v>
      </c>
      <c r="S327" s="4" t="s">
        <v>71</v>
      </c>
      <c r="T327" s="4" t="s">
        <v>71</v>
      </c>
      <c r="U327" s="4" t="str">
        <f t="shared" si="5"/>
        <v>NO</v>
      </c>
    </row>
    <row r="328" spans="1:21" ht="42" customHeight="1">
      <c r="A328" s="4" t="s">
        <v>1529</v>
      </c>
      <c r="B328" s="4" t="s">
        <v>720</v>
      </c>
      <c r="C328" s="4" t="s">
        <v>555</v>
      </c>
      <c r="D328" s="4" t="s">
        <v>720</v>
      </c>
      <c r="E328" s="4" t="s">
        <v>555</v>
      </c>
      <c r="F328" s="4" t="s">
        <v>1009</v>
      </c>
      <c r="G328" s="4" t="s">
        <v>1530</v>
      </c>
      <c r="H328" s="4" t="s">
        <v>1011</v>
      </c>
      <c r="I328" s="4"/>
      <c r="J328" s="4" t="s">
        <v>1011</v>
      </c>
      <c r="K328" s="4" t="s">
        <v>90</v>
      </c>
      <c r="L328" s="4" t="s">
        <v>75</v>
      </c>
      <c r="M328" s="4" t="s">
        <v>1012</v>
      </c>
      <c r="N328" s="4" t="s">
        <v>90</v>
      </c>
      <c r="O328" s="4" t="s">
        <v>71</v>
      </c>
      <c r="P328" s="4" t="s">
        <v>71</v>
      </c>
      <c r="Q328" s="4"/>
      <c r="R328" s="4" t="s">
        <v>143</v>
      </c>
      <c r="S328" s="4" t="s">
        <v>71</v>
      </c>
      <c r="T328" s="4" t="s">
        <v>71</v>
      </c>
      <c r="U328" s="4" t="str">
        <f t="shared" si="5"/>
        <v>NO</v>
      </c>
    </row>
    <row r="329" spans="1:21" ht="42" customHeight="1">
      <c r="A329" s="4" t="s">
        <v>1531</v>
      </c>
      <c r="B329" s="4" t="s">
        <v>720</v>
      </c>
      <c r="C329" s="4" t="s">
        <v>716</v>
      </c>
      <c r="D329" s="4" t="s">
        <v>720</v>
      </c>
      <c r="E329" s="4" t="s">
        <v>716</v>
      </c>
      <c r="F329" s="4" t="s">
        <v>1009</v>
      </c>
      <c r="G329" s="4" t="s">
        <v>1532</v>
      </c>
      <c r="H329" s="4" t="s">
        <v>1011</v>
      </c>
      <c r="I329" s="4"/>
      <c r="J329" s="4" t="s">
        <v>1011</v>
      </c>
      <c r="K329" s="4" t="s">
        <v>90</v>
      </c>
      <c r="L329" s="4" t="s">
        <v>77</v>
      </c>
      <c r="M329" s="4" t="s">
        <v>1012</v>
      </c>
      <c r="N329" s="4" t="s">
        <v>90</v>
      </c>
      <c r="O329" s="4" t="s">
        <v>71</v>
      </c>
      <c r="P329" s="4" t="s">
        <v>71</v>
      </c>
      <c r="Q329" s="4"/>
      <c r="R329" s="4" t="s">
        <v>143</v>
      </c>
      <c r="S329" s="4" t="s">
        <v>71</v>
      </c>
      <c r="T329" s="4" t="s">
        <v>71</v>
      </c>
      <c r="U329" s="4" t="str">
        <f t="shared" si="5"/>
        <v>NO</v>
      </c>
    </row>
    <row r="330" spans="1:21" ht="42" customHeight="1">
      <c r="A330" s="4" t="s">
        <v>1533</v>
      </c>
      <c r="B330" s="4" t="s">
        <v>723</v>
      </c>
      <c r="C330" s="4" t="s">
        <v>337</v>
      </c>
      <c r="D330" s="4" t="s">
        <v>723</v>
      </c>
      <c r="E330" s="4" t="s">
        <v>337</v>
      </c>
      <c r="F330" s="4" t="s">
        <v>1009</v>
      </c>
      <c r="G330" s="4" t="s">
        <v>1534</v>
      </c>
      <c r="H330" s="4" t="s">
        <v>1018</v>
      </c>
      <c r="I330" s="4"/>
      <c r="J330" s="4" t="s">
        <v>1018</v>
      </c>
      <c r="K330" s="4" t="s">
        <v>90</v>
      </c>
      <c r="L330" s="4" t="s">
        <v>75</v>
      </c>
      <c r="M330" s="4" t="s">
        <v>1012</v>
      </c>
      <c r="N330" s="4" t="s">
        <v>90</v>
      </c>
      <c r="O330" s="4" t="s">
        <v>71</v>
      </c>
      <c r="P330" s="4" t="s">
        <v>71</v>
      </c>
      <c r="Q330" s="4"/>
      <c r="R330" s="4" t="s">
        <v>143</v>
      </c>
      <c r="S330" s="4" t="s">
        <v>71</v>
      </c>
      <c r="T330" s="4" t="s">
        <v>71</v>
      </c>
      <c r="U330" s="4" t="str">
        <f t="shared" si="5"/>
        <v>NO</v>
      </c>
    </row>
    <row r="331" spans="1:21" ht="42" customHeight="1">
      <c r="A331" s="4" t="s">
        <v>1535</v>
      </c>
      <c r="B331" s="4" t="s">
        <v>723</v>
      </c>
      <c r="C331" s="4" t="s">
        <v>148</v>
      </c>
      <c r="D331" s="4" t="s">
        <v>723</v>
      </c>
      <c r="E331" s="4" t="s">
        <v>148</v>
      </c>
      <c r="F331" s="4" t="s">
        <v>1009</v>
      </c>
      <c r="G331" s="4" t="s">
        <v>1536</v>
      </c>
      <c r="H331" s="4" t="s">
        <v>1018</v>
      </c>
      <c r="I331" s="4"/>
      <c r="J331" s="4" t="s">
        <v>1018</v>
      </c>
      <c r="K331" s="4" t="s">
        <v>90</v>
      </c>
      <c r="L331" s="4" t="s">
        <v>48</v>
      </c>
      <c r="M331" s="4" t="s">
        <v>1012</v>
      </c>
      <c r="N331" s="4" t="s">
        <v>90</v>
      </c>
      <c r="O331" s="4" t="s">
        <v>71</v>
      </c>
      <c r="P331" s="4" t="s">
        <v>71</v>
      </c>
      <c r="Q331" s="4"/>
      <c r="R331" s="4" t="s">
        <v>143</v>
      </c>
      <c r="S331" s="4" t="s">
        <v>71</v>
      </c>
      <c r="T331" s="4" t="s">
        <v>71</v>
      </c>
      <c r="U331" s="4" t="str">
        <f t="shared" si="5"/>
        <v>NO</v>
      </c>
    </row>
    <row r="332" spans="1:21" ht="42" customHeight="1">
      <c r="A332" s="4" t="s">
        <v>1537</v>
      </c>
      <c r="B332" s="4" t="s">
        <v>723</v>
      </c>
      <c r="C332" s="4" t="s">
        <v>472</v>
      </c>
      <c r="D332" s="4" t="s">
        <v>723</v>
      </c>
      <c r="E332" s="4" t="s">
        <v>472</v>
      </c>
      <c r="F332" s="4" t="s">
        <v>1009</v>
      </c>
      <c r="G332" s="4" t="s">
        <v>1538</v>
      </c>
      <c r="H332" s="4" t="s">
        <v>1011</v>
      </c>
      <c r="I332" s="4"/>
      <c r="J332" s="4" t="s">
        <v>1011</v>
      </c>
      <c r="K332" s="4" t="s">
        <v>90</v>
      </c>
      <c r="L332" s="4" t="s">
        <v>90</v>
      </c>
      <c r="M332" s="4" t="s">
        <v>1021</v>
      </c>
      <c r="N332" s="4" t="s">
        <v>90</v>
      </c>
      <c r="O332" s="4" t="s">
        <v>71</v>
      </c>
      <c r="P332" s="4" t="s">
        <v>71</v>
      </c>
      <c r="Q332" s="4"/>
      <c r="R332" s="4" t="s">
        <v>143</v>
      </c>
      <c r="S332" s="4" t="s">
        <v>71</v>
      </c>
      <c r="T332" s="4" t="s">
        <v>71</v>
      </c>
      <c r="U332" s="4" t="str">
        <f t="shared" si="5"/>
        <v>NO</v>
      </c>
    </row>
    <row r="333" spans="1:21" ht="42" customHeight="1">
      <c r="A333" s="4" t="s">
        <v>1539</v>
      </c>
      <c r="B333" s="4" t="s">
        <v>726</v>
      </c>
      <c r="C333" s="4" t="s">
        <v>413</v>
      </c>
      <c r="D333" s="4" t="s">
        <v>726</v>
      </c>
      <c r="E333" s="4" t="s">
        <v>413</v>
      </c>
      <c r="F333" s="4" t="s">
        <v>1009</v>
      </c>
      <c r="G333" s="4" t="s">
        <v>1540</v>
      </c>
      <c r="H333" s="4" t="s">
        <v>1018</v>
      </c>
      <c r="I333" s="4"/>
      <c r="J333" s="4" t="s">
        <v>1018</v>
      </c>
      <c r="K333" s="4" t="s">
        <v>81</v>
      </c>
      <c r="L333" s="4" t="s">
        <v>61</v>
      </c>
      <c r="M333" s="4" t="s">
        <v>1012</v>
      </c>
      <c r="N333" s="4" t="s">
        <v>81</v>
      </c>
      <c r="O333" s="4" t="s">
        <v>71</v>
      </c>
      <c r="P333" s="4" t="s">
        <v>71</v>
      </c>
      <c r="Q333" s="4"/>
      <c r="R333" s="4" t="s">
        <v>143</v>
      </c>
      <c r="S333" s="4" t="s">
        <v>71</v>
      </c>
      <c r="T333" s="4" t="s">
        <v>71</v>
      </c>
      <c r="U333" s="4" t="str">
        <f t="shared" si="5"/>
        <v>NO</v>
      </c>
    </row>
    <row r="334" spans="1:21" ht="42" customHeight="1">
      <c r="A334" s="4" t="s">
        <v>1541</v>
      </c>
      <c r="B334" s="4" t="s">
        <v>726</v>
      </c>
      <c r="C334" s="4" t="s">
        <v>409</v>
      </c>
      <c r="D334" s="4" t="s">
        <v>726</v>
      </c>
      <c r="E334" s="4" t="s">
        <v>409</v>
      </c>
      <c r="F334" s="4" t="s">
        <v>1009</v>
      </c>
      <c r="G334" s="4" t="s">
        <v>1542</v>
      </c>
      <c r="H334" s="4" t="s">
        <v>1018</v>
      </c>
      <c r="I334" s="4"/>
      <c r="J334" s="4" t="s">
        <v>1018</v>
      </c>
      <c r="K334" s="4" t="s">
        <v>81</v>
      </c>
      <c r="L334" s="4" t="s">
        <v>72</v>
      </c>
      <c r="M334" s="4" t="s">
        <v>1012</v>
      </c>
      <c r="N334" s="4" t="s">
        <v>81</v>
      </c>
      <c r="O334" s="4" t="s">
        <v>71</v>
      </c>
      <c r="P334" s="4" t="s">
        <v>71</v>
      </c>
      <c r="Q334" s="4"/>
      <c r="R334" s="4" t="s">
        <v>143</v>
      </c>
      <c r="S334" s="4" t="s">
        <v>71</v>
      </c>
      <c r="T334" s="4" t="s">
        <v>71</v>
      </c>
      <c r="U334" s="4" t="str">
        <f t="shared" si="5"/>
        <v>NO</v>
      </c>
    </row>
    <row r="335" spans="1:21" ht="42" customHeight="1">
      <c r="A335" s="4" t="s">
        <v>1543</v>
      </c>
      <c r="B335" s="4" t="s">
        <v>726</v>
      </c>
      <c r="C335" s="4" t="s">
        <v>555</v>
      </c>
      <c r="D335" s="4" t="s">
        <v>726</v>
      </c>
      <c r="E335" s="4" t="s">
        <v>555</v>
      </c>
      <c r="F335" s="4" t="s">
        <v>1009</v>
      </c>
      <c r="G335" s="4" t="s">
        <v>1544</v>
      </c>
      <c r="H335" s="4" t="s">
        <v>1011</v>
      </c>
      <c r="I335" s="4"/>
      <c r="J335" s="4" t="s">
        <v>1011</v>
      </c>
      <c r="K335" s="4" t="s">
        <v>81</v>
      </c>
      <c r="L335" s="4" t="s">
        <v>75</v>
      </c>
      <c r="M335" s="4" t="s">
        <v>1012</v>
      </c>
      <c r="N335" s="4" t="s">
        <v>81</v>
      </c>
      <c r="O335" s="4" t="s">
        <v>71</v>
      </c>
      <c r="P335" s="4" t="s">
        <v>71</v>
      </c>
      <c r="Q335" s="4"/>
      <c r="R335" s="4" t="s">
        <v>143</v>
      </c>
      <c r="S335" s="4" t="s">
        <v>71</v>
      </c>
      <c r="T335" s="4" t="s">
        <v>71</v>
      </c>
      <c r="U335" s="4" t="str">
        <f t="shared" si="5"/>
        <v>NO</v>
      </c>
    </row>
    <row r="336" spans="1:21" ht="42" customHeight="1">
      <c r="A336" s="4" t="s">
        <v>1545</v>
      </c>
      <c r="B336" s="4" t="s">
        <v>726</v>
      </c>
      <c r="C336" s="4" t="s">
        <v>558</v>
      </c>
      <c r="D336" s="4" t="s">
        <v>726</v>
      </c>
      <c r="E336" s="4" t="s">
        <v>558</v>
      </c>
      <c r="F336" s="4" t="s">
        <v>1009</v>
      </c>
      <c r="G336" s="4" t="s">
        <v>1546</v>
      </c>
      <c r="H336" s="4" t="s">
        <v>1011</v>
      </c>
      <c r="I336" s="4"/>
      <c r="J336" s="4" t="s">
        <v>1011</v>
      </c>
      <c r="K336" s="4" t="s">
        <v>81</v>
      </c>
      <c r="L336" s="4" t="s">
        <v>81</v>
      </c>
      <c r="M336" s="4" t="s">
        <v>1021</v>
      </c>
      <c r="N336" s="4" t="s">
        <v>81</v>
      </c>
      <c r="O336" s="4" t="s">
        <v>71</v>
      </c>
      <c r="P336" s="4" t="s">
        <v>71</v>
      </c>
      <c r="Q336" s="4"/>
      <c r="R336" s="4" t="s">
        <v>143</v>
      </c>
      <c r="S336" s="4" t="s">
        <v>71</v>
      </c>
      <c r="T336" s="4" t="s">
        <v>71</v>
      </c>
      <c r="U336" s="4" t="str">
        <f t="shared" si="5"/>
        <v>NO</v>
      </c>
    </row>
    <row r="337" spans="1:21" ht="42" customHeight="1">
      <c r="A337" s="4" t="s">
        <v>1547</v>
      </c>
      <c r="B337" s="4" t="s">
        <v>729</v>
      </c>
      <c r="C337" s="4" t="s">
        <v>508</v>
      </c>
      <c r="D337" s="4" t="s">
        <v>729</v>
      </c>
      <c r="E337" s="4" t="s">
        <v>508</v>
      </c>
      <c r="F337" s="4" t="s">
        <v>1009</v>
      </c>
      <c r="G337" s="4" t="s">
        <v>1548</v>
      </c>
      <c r="H337" s="4" t="s">
        <v>1018</v>
      </c>
      <c r="I337" s="4"/>
      <c r="J337" s="4" t="s">
        <v>1018</v>
      </c>
      <c r="K337" s="4" t="s">
        <v>86</v>
      </c>
      <c r="L337" s="4" t="s">
        <v>58</v>
      </c>
      <c r="M337" s="4" t="s">
        <v>1012</v>
      </c>
      <c r="N337" s="4" t="s">
        <v>86</v>
      </c>
      <c r="O337" s="4" t="s">
        <v>71</v>
      </c>
      <c r="P337" s="4" t="s">
        <v>71</v>
      </c>
      <c r="Q337" s="4"/>
      <c r="R337" s="4" t="s">
        <v>143</v>
      </c>
      <c r="S337" s="4" t="s">
        <v>71</v>
      </c>
      <c r="T337" s="4" t="s">
        <v>71</v>
      </c>
      <c r="U337" s="4" t="str">
        <f t="shared" si="5"/>
        <v>NO</v>
      </c>
    </row>
    <row r="338" spans="1:21" ht="42" customHeight="1">
      <c r="A338" s="4" t="s">
        <v>1549</v>
      </c>
      <c r="B338" s="4" t="s">
        <v>729</v>
      </c>
      <c r="C338" s="4" t="s">
        <v>455</v>
      </c>
      <c r="D338" s="4" t="s">
        <v>729</v>
      </c>
      <c r="E338" s="4" t="s">
        <v>455</v>
      </c>
      <c r="F338" s="4" t="s">
        <v>1009</v>
      </c>
      <c r="G338" s="4" t="s">
        <v>1550</v>
      </c>
      <c r="H338" s="4" t="s">
        <v>1011</v>
      </c>
      <c r="I338" s="4"/>
      <c r="J338" s="4" t="s">
        <v>1011</v>
      </c>
      <c r="K338" s="4" t="s">
        <v>86</v>
      </c>
      <c r="L338" s="4" t="s">
        <v>86</v>
      </c>
      <c r="M338" s="4" t="s">
        <v>1021</v>
      </c>
      <c r="N338" s="4" t="s">
        <v>86</v>
      </c>
      <c r="O338" s="4" t="s">
        <v>71</v>
      </c>
      <c r="P338" s="4" t="s">
        <v>71</v>
      </c>
      <c r="Q338" s="4"/>
      <c r="R338" s="4" t="s">
        <v>143</v>
      </c>
      <c r="S338" s="4" t="s">
        <v>71</v>
      </c>
      <c r="T338" s="4" t="s">
        <v>71</v>
      </c>
      <c r="U338" s="4" t="str">
        <f t="shared" si="5"/>
        <v>NO</v>
      </c>
    </row>
    <row r="339" spans="1:21" ht="42" customHeight="1">
      <c r="A339" s="4" t="s">
        <v>1551</v>
      </c>
      <c r="B339" s="4" t="s">
        <v>729</v>
      </c>
      <c r="C339" s="4" t="s">
        <v>515</v>
      </c>
      <c r="D339" s="4" t="s">
        <v>729</v>
      </c>
      <c r="E339" s="4" t="s">
        <v>515</v>
      </c>
      <c r="F339" s="4" t="s">
        <v>1009</v>
      </c>
      <c r="G339" s="4" t="s">
        <v>1552</v>
      </c>
      <c r="H339" s="4" t="s">
        <v>1011</v>
      </c>
      <c r="I339" s="4"/>
      <c r="J339" s="4" t="s">
        <v>1011</v>
      </c>
      <c r="K339" s="4" t="s">
        <v>86</v>
      </c>
      <c r="L339" s="4" t="s">
        <v>48</v>
      </c>
      <c r="M339" s="4" t="s">
        <v>1012</v>
      </c>
      <c r="N339" s="4" t="s">
        <v>86</v>
      </c>
      <c r="O339" s="4" t="s">
        <v>71</v>
      </c>
      <c r="P339" s="4" t="s">
        <v>71</v>
      </c>
      <c r="Q339" s="4"/>
      <c r="R339" s="4" t="s">
        <v>143</v>
      </c>
      <c r="S339" s="4" t="s">
        <v>71</v>
      </c>
      <c r="T339" s="4" t="s">
        <v>71</v>
      </c>
      <c r="U339" s="4" t="str">
        <f t="shared" si="5"/>
        <v>NO</v>
      </c>
    </row>
    <row r="340" spans="1:21" ht="42" customHeight="1">
      <c r="A340" s="4" t="s">
        <v>1553</v>
      </c>
      <c r="B340" s="4" t="s">
        <v>729</v>
      </c>
      <c r="C340" s="4" t="s">
        <v>669</v>
      </c>
      <c r="D340" s="4" t="s">
        <v>729</v>
      </c>
      <c r="E340" s="4" t="s">
        <v>669</v>
      </c>
      <c r="F340" s="4" t="s">
        <v>1009</v>
      </c>
      <c r="G340" s="4" t="s">
        <v>1554</v>
      </c>
      <c r="H340" s="4" t="s">
        <v>1011</v>
      </c>
      <c r="I340" s="4"/>
      <c r="J340" s="4" t="s">
        <v>1011</v>
      </c>
      <c r="K340" s="4" t="s">
        <v>86</v>
      </c>
      <c r="L340" s="4" t="s">
        <v>92</v>
      </c>
      <c r="M340" s="4" t="s">
        <v>1012</v>
      </c>
      <c r="N340" s="4" t="s">
        <v>92</v>
      </c>
      <c r="O340" s="4" t="s">
        <v>71</v>
      </c>
      <c r="P340" s="4" t="s">
        <v>71</v>
      </c>
      <c r="Q340" s="4"/>
      <c r="R340" s="4" t="s">
        <v>143</v>
      </c>
      <c r="S340" s="4" t="s">
        <v>71</v>
      </c>
      <c r="T340" s="4" t="s">
        <v>71</v>
      </c>
      <c r="U340" s="4" t="str">
        <f t="shared" si="5"/>
        <v>NO</v>
      </c>
    </row>
    <row r="341" spans="1:21" ht="42" customHeight="1">
      <c r="A341" s="4" t="s">
        <v>1555</v>
      </c>
      <c r="B341" s="4" t="s">
        <v>731</v>
      </c>
      <c r="C341" s="4" t="s">
        <v>191</v>
      </c>
      <c r="D341" s="4" t="s">
        <v>731</v>
      </c>
      <c r="E341" s="4" t="s">
        <v>191</v>
      </c>
      <c r="F341" s="4" t="s">
        <v>1009</v>
      </c>
      <c r="G341" s="4" t="s">
        <v>1556</v>
      </c>
      <c r="H341" s="4" t="s">
        <v>1018</v>
      </c>
      <c r="I341" s="4"/>
      <c r="J341" s="4" t="s">
        <v>1018</v>
      </c>
      <c r="K341" s="4" t="s">
        <v>88</v>
      </c>
      <c r="L341" s="4" t="s">
        <v>55</v>
      </c>
      <c r="M341" s="4" t="s">
        <v>1012</v>
      </c>
      <c r="N341" s="4" t="s">
        <v>88</v>
      </c>
      <c r="O341" s="4" t="s">
        <v>71</v>
      </c>
      <c r="P341" s="4" t="s">
        <v>71</v>
      </c>
      <c r="Q341" s="4"/>
      <c r="R341" s="4" t="s">
        <v>143</v>
      </c>
      <c r="S341" s="4" t="s">
        <v>71</v>
      </c>
      <c r="T341" s="4" t="s">
        <v>71</v>
      </c>
      <c r="U341" s="4" t="str">
        <f t="shared" si="5"/>
        <v>NO</v>
      </c>
    </row>
    <row r="342" spans="1:21" ht="42" customHeight="1">
      <c r="A342" s="4" t="s">
        <v>1557</v>
      </c>
      <c r="B342" s="4" t="s">
        <v>731</v>
      </c>
      <c r="C342" s="4" t="s">
        <v>135</v>
      </c>
      <c r="D342" s="4" t="s">
        <v>731</v>
      </c>
      <c r="E342" s="4" t="s">
        <v>135</v>
      </c>
      <c r="F342" s="4" t="s">
        <v>1009</v>
      </c>
      <c r="G342" s="4" t="s">
        <v>1558</v>
      </c>
      <c r="H342" s="4" t="s">
        <v>1011</v>
      </c>
      <c r="I342" s="4"/>
      <c r="J342" s="4" t="s">
        <v>1011</v>
      </c>
      <c r="K342" s="4" t="s">
        <v>88</v>
      </c>
      <c r="L342" s="4" t="s">
        <v>90</v>
      </c>
      <c r="M342" s="4" t="s">
        <v>1012</v>
      </c>
      <c r="N342" s="4" t="s">
        <v>90</v>
      </c>
      <c r="O342" s="4" t="s">
        <v>71</v>
      </c>
      <c r="P342" s="4" t="s">
        <v>71</v>
      </c>
      <c r="Q342" s="4"/>
      <c r="R342" s="4" t="s">
        <v>143</v>
      </c>
      <c r="S342" s="4" t="s">
        <v>71</v>
      </c>
      <c r="T342" s="4" t="s">
        <v>71</v>
      </c>
      <c r="U342" s="4" t="str">
        <f t="shared" si="5"/>
        <v>NO</v>
      </c>
    </row>
    <row r="343" spans="1:21" ht="42" customHeight="1">
      <c r="A343" s="4" t="s">
        <v>1559</v>
      </c>
      <c r="B343" s="4" t="s">
        <v>731</v>
      </c>
      <c r="C343" s="4" t="s">
        <v>186</v>
      </c>
      <c r="D343" s="4" t="s">
        <v>731</v>
      </c>
      <c r="E343" s="4" t="s">
        <v>186</v>
      </c>
      <c r="F343" s="4" t="s">
        <v>1009</v>
      </c>
      <c r="G343" s="4" t="s">
        <v>1560</v>
      </c>
      <c r="H343" s="4" t="s">
        <v>1011</v>
      </c>
      <c r="I343" s="4"/>
      <c r="J343" s="4" t="s">
        <v>1011</v>
      </c>
      <c r="K343" s="4" t="s">
        <v>88</v>
      </c>
      <c r="L343" s="4" t="s">
        <v>55</v>
      </c>
      <c r="M343" s="4" t="s">
        <v>1012</v>
      </c>
      <c r="N343" s="4" t="s">
        <v>88</v>
      </c>
      <c r="O343" s="4" t="s">
        <v>71</v>
      </c>
      <c r="P343" s="4" t="s">
        <v>71</v>
      </c>
      <c r="Q343" s="4"/>
      <c r="R343" s="4" t="s">
        <v>143</v>
      </c>
      <c r="S343" s="4" t="s">
        <v>71</v>
      </c>
      <c r="T343" s="4" t="s">
        <v>71</v>
      </c>
      <c r="U343" s="4" t="str">
        <f t="shared" si="5"/>
        <v>NO</v>
      </c>
    </row>
    <row r="344" spans="1:21" ht="42" customHeight="1">
      <c r="A344" s="4" t="s">
        <v>1561</v>
      </c>
      <c r="B344" s="4" t="s">
        <v>734</v>
      </c>
      <c r="C344" s="4" t="s">
        <v>729</v>
      </c>
      <c r="D344" s="4" t="s">
        <v>734</v>
      </c>
      <c r="E344" s="4" t="s">
        <v>729</v>
      </c>
      <c r="F344" s="4" t="s">
        <v>1009</v>
      </c>
      <c r="G344" s="4" t="s">
        <v>1562</v>
      </c>
      <c r="H344" s="4" t="s">
        <v>1018</v>
      </c>
      <c r="I344" s="4"/>
      <c r="J344" s="4" t="s">
        <v>1018</v>
      </c>
      <c r="K344" s="4" t="s">
        <v>86</v>
      </c>
      <c r="L344" s="4" t="s">
        <v>86</v>
      </c>
      <c r="M344" s="4" t="s">
        <v>1021</v>
      </c>
      <c r="N344" s="4" t="s">
        <v>86</v>
      </c>
      <c r="O344" s="4" t="s">
        <v>71</v>
      </c>
      <c r="P344" s="4" t="s">
        <v>71</v>
      </c>
      <c r="Q344" s="4"/>
      <c r="R344" s="4" t="s">
        <v>143</v>
      </c>
      <c r="S344" s="4" t="s">
        <v>71</v>
      </c>
      <c r="T344" s="4" t="s">
        <v>71</v>
      </c>
      <c r="U344" s="4" t="str">
        <f t="shared" si="5"/>
        <v>NO</v>
      </c>
    </row>
    <row r="345" spans="1:21" ht="42" customHeight="1">
      <c r="A345" s="4" t="s">
        <v>1563</v>
      </c>
      <c r="B345" s="4" t="s">
        <v>734</v>
      </c>
      <c r="C345" s="4" t="s">
        <v>737</v>
      </c>
      <c r="D345" s="4" t="s">
        <v>734</v>
      </c>
      <c r="E345" s="4" t="s">
        <v>737</v>
      </c>
      <c r="F345" s="4" t="s">
        <v>1016</v>
      </c>
      <c r="G345" s="4" t="s">
        <v>1564</v>
      </c>
      <c r="H345" s="4" t="s">
        <v>1018</v>
      </c>
      <c r="I345" s="4"/>
      <c r="J345" s="4" t="s">
        <v>1018</v>
      </c>
      <c r="K345" s="4" t="s">
        <v>86</v>
      </c>
      <c r="L345" s="4" t="s">
        <v>86</v>
      </c>
      <c r="M345" s="4" t="s">
        <v>1021</v>
      </c>
      <c r="N345" s="4" t="s">
        <v>86</v>
      </c>
      <c r="O345" s="4" t="s">
        <v>71</v>
      </c>
      <c r="P345" s="4" t="s">
        <v>71</v>
      </c>
      <c r="Q345" s="4"/>
      <c r="R345" s="4" t="s">
        <v>143</v>
      </c>
      <c r="S345" s="4" t="s">
        <v>71</v>
      </c>
      <c r="T345" s="4" t="s">
        <v>71</v>
      </c>
      <c r="U345" s="4" t="str">
        <f t="shared" si="5"/>
        <v>NO</v>
      </c>
    </row>
    <row r="346" spans="1:21" ht="42" customHeight="1">
      <c r="A346" s="4" t="s">
        <v>1565</v>
      </c>
      <c r="B346" s="4" t="s">
        <v>737</v>
      </c>
      <c r="C346" s="4" t="s">
        <v>729</v>
      </c>
      <c r="D346" s="4" t="s">
        <v>737</v>
      </c>
      <c r="E346" s="4" t="s">
        <v>729</v>
      </c>
      <c r="F346" s="4" t="s">
        <v>1009</v>
      </c>
      <c r="G346" s="4" t="s">
        <v>1566</v>
      </c>
      <c r="H346" s="4" t="s">
        <v>1018</v>
      </c>
      <c r="I346" s="4"/>
      <c r="J346" s="4" t="s">
        <v>1018</v>
      </c>
      <c r="K346" s="4" t="s">
        <v>86</v>
      </c>
      <c r="L346" s="4" t="s">
        <v>86</v>
      </c>
      <c r="M346" s="4" t="s">
        <v>1021</v>
      </c>
      <c r="N346" s="4" t="s">
        <v>86</v>
      </c>
      <c r="O346" s="4" t="s">
        <v>71</v>
      </c>
      <c r="P346" s="4" t="s">
        <v>71</v>
      </c>
      <c r="Q346" s="4"/>
      <c r="R346" s="4" t="s">
        <v>143</v>
      </c>
      <c r="S346" s="4" t="s">
        <v>71</v>
      </c>
      <c r="T346" s="4" t="s">
        <v>71</v>
      </c>
      <c r="U346" s="4" t="str">
        <f t="shared" si="5"/>
        <v>NO</v>
      </c>
    </row>
    <row r="347" spans="1:21" ht="42" customHeight="1">
      <c r="A347" s="4" t="s">
        <v>1567</v>
      </c>
      <c r="B347" s="4" t="s">
        <v>734</v>
      </c>
      <c r="C347" s="4" t="s">
        <v>455</v>
      </c>
      <c r="D347" s="4" t="s">
        <v>734</v>
      </c>
      <c r="E347" s="4" t="s">
        <v>455</v>
      </c>
      <c r="F347" s="4" t="s">
        <v>1009</v>
      </c>
      <c r="G347" s="4" t="s">
        <v>1568</v>
      </c>
      <c r="H347" s="4" t="s">
        <v>1011</v>
      </c>
      <c r="I347" s="4"/>
      <c r="J347" s="4" t="s">
        <v>1011</v>
      </c>
      <c r="K347" s="4" t="s">
        <v>86</v>
      </c>
      <c r="L347" s="4" t="s">
        <v>86</v>
      </c>
      <c r="M347" s="4" t="s">
        <v>1021</v>
      </c>
      <c r="N347" s="4" t="s">
        <v>86</v>
      </c>
      <c r="O347" s="4" t="s">
        <v>71</v>
      </c>
      <c r="P347" s="4" t="s">
        <v>71</v>
      </c>
      <c r="Q347" s="4"/>
      <c r="R347" s="4" t="s">
        <v>143</v>
      </c>
      <c r="S347" s="4" t="s">
        <v>71</v>
      </c>
      <c r="T347" s="4" t="s">
        <v>71</v>
      </c>
      <c r="U347" s="4" t="str">
        <f t="shared" si="5"/>
        <v>NO</v>
      </c>
    </row>
    <row r="348" spans="1:21" ht="42" customHeight="1">
      <c r="A348" s="4" t="s">
        <v>1569</v>
      </c>
      <c r="B348" s="4" t="s">
        <v>734</v>
      </c>
      <c r="C348" s="4" t="s">
        <v>515</v>
      </c>
      <c r="D348" s="4" t="s">
        <v>734</v>
      </c>
      <c r="E348" s="4" t="s">
        <v>515</v>
      </c>
      <c r="F348" s="4" t="s">
        <v>1009</v>
      </c>
      <c r="G348" s="4" t="s">
        <v>1570</v>
      </c>
      <c r="H348" s="4" t="s">
        <v>1011</v>
      </c>
      <c r="I348" s="4"/>
      <c r="J348" s="4" t="s">
        <v>1011</v>
      </c>
      <c r="K348" s="4" t="s">
        <v>86</v>
      </c>
      <c r="L348" s="4" t="s">
        <v>48</v>
      </c>
      <c r="M348" s="4" t="s">
        <v>1012</v>
      </c>
      <c r="N348" s="4" t="s">
        <v>86</v>
      </c>
      <c r="O348" s="4" t="s">
        <v>71</v>
      </c>
      <c r="P348" s="4" t="s">
        <v>71</v>
      </c>
      <c r="Q348" s="4"/>
      <c r="R348" s="4" t="s">
        <v>143</v>
      </c>
      <c r="S348" s="4" t="s">
        <v>71</v>
      </c>
      <c r="T348" s="4" t="s">
        <v>71</v>
      </c>
      <c r="U348" s="4" t="str">
        <f t="shared" si="5"/>
        <v>NO</v>
      </c>
    </row>
    <row r="349" spans="1:21" ht="42" customHeight="1">
      <c r="A349" s="4" t="s">
        <v>1571</v>
      </c>
      <c r="B349" s="4" t="s">
        <v>737</v>
      </c>
      <c r="C349" s="4" t="s">
        <v>455</v>
      </c>
      <c r="D349" s="4" t="s">
        <v>737</v>
      </c>
      <c r="E349" s="4" t="s">
        <v>455</v>
      </c>
      <c r="F349" s="4" t="s">
        <v>1009</v>
      </c>
      <c r="G349" s="4" t="s">
        <v>1572</v>
      </c>
      <c r="H349" s="4" t="s">
        <v>1011</v>
      </c>
      <c r="I349" s="4"/>
      <c r="J349" s="4" t="s">
        <v>1011</v>
      </c>
      <c r="K349" s="4" t="s">
        <v>86</v>
      </c>
      <c r="L349" s="4" t="s">
        <v>86</v>
      </c>
      <c r="M349" s="4" t="s">
        <v>1021</v>
      </c>
      <c r="N349" s="4" t="s">
        <v>86</v>
      </c>
      <c r="O349" s="4" t="s">
        <v>71</v>
      </c>
      <c r="P349" s="4" t="s">
        <v>71</v>
      </c>
      <c r="Q349" s="4"/>
      <c r="R349" s="4" t="s">
        <v>143</v>
      </c>
      <c r="S349" s="4" t="s">
        <v>71</v>
      </c>
      <c r="T349" s="4" t="s">
        <v>71</v>
      </c>
      <c r="U349" s="4" t="str">
        <f t="shared" si="5"/>
        <v>NO</v>
      </c>
    </row>
    <row r="350" spans="1:21" ht="42" customHeight="1">
      <c r="A350" s="4" t="s">
        <v>1573</v>
      </c>
      <c r="B350" s="4" t="s">
        <v>737</v>
      </c>
      <c r="C350" s="4" t="s">
        <v>420</v>
      </c>
      <c r="D350" s="4" t="s">
        <v>737</v>
      </c>
      <c r="E350" s="4" t="s">
        <v>420</v>
      </c>
      <c r="F350" s="4" t="s">
        <v>1009</v>
      </c>
      <c r="G350" s="4" t="s">
        <v>1574</v>
      </c>
      <c r="H350" s="4" t="s">
        <v>1011</v>
      </c>
      <c r="I350" s="4"/>
      <c r="J350" s="4" t="s">
        <v>1011</v>
      </c>
      <c r="K350" s="4" t="s">
        <v>86</v>
      </c>
      <c r="L350" s="4" t="s">
        <v>55</v>
      </c>
      <c r="M350" s="4" t="s">
        <v>1012</v>
      </c>
      <c r="N350" s="4" t="s">
        <v>86</v>
      </c>
      <c r="O350" s="4" t="s">
        <v>71</v>
      </c>
      <c r="P350" s="4" t="s">
        <v>71</v>
      </c>
      <c r="Q350" s="4"/>
      <c r="R350" s="4" t="s">
        <v>143</v>
      </c>
      <c r="S350" s="4" t="s">
        <v>71</v>
      </c>
      <c r="T350" s="4" t="s">
        <v>71</v>
      </c>
      <c r="U350" s="4" t="str">
        <f t="shared" si="5"/>
        <v>NO</v>
      </c>
    </row>
    <row r="351" spans="1:21" ht="42" customHeight="1">
      <c r="A351" s="4" t="s">
        <v>1575</v>
      </c>
      <c r="B351" s="4" t="s">
        <v>741</v>
      </c>
      <c r="C351" s="4" t="s">
        <v>329</v>
      </c>
      <c r="D351" s="4" t="s">
        <v>741</v>
      </c>
      <c r="E351" s="4" t="s">
        <v>329</v>
      </c>
      <c r="F351" s="4" t="s">
        <v>1009</v>
      </c>
      <c r="G351" s="4" t="s">
        <v>1576</v>
      </c>
      <c r="H351" s="4" t="s">
        <v>1018</v>
      </c>
      <c r="I351" s="4"/>
      <c r="J351" s="4" t="s">
        <v>1018</v>
      </c>
      <c r="K351" s="4" t="s">
        <v>69</v>
      </c>
      <c r="L351" s="4" t="s">
        <v>61</v>
      </c>
      <c r="M351" s="4" t="s">
        <v>1012</v>
      </c>
      <c r="N351" s="4" t="s">
        <v>69</v>
      </c>
      <c r="O351" s="4" t="s">
        <v>71</v>
      </c>
      <c r="P351" s="4" t="s">
        <v>71</v>
      </c>
      <c r="Q351" s="4"/>
      <c r="R351" s="4" t="s">
        <v>143</v>
      </c>
      <c r="S351" s="4" t="s">
        <v>71</v>
      </c>
      <c r="T351" s="4" t="s">
        <v>71</v>
      </c>
      <c r="U351" s="4" t="str">
        <f t="shared" si="5"/>
        <v>NO</v>
      </c>
    </row>
    <row r="352" spans="1:21" ht="42" customHeight="1">
      <c r="A352" s="4" t="s">
        <v>1577</v>
      </c>
      <c r="B352" s="4" t="s">
        <v>741</v>
      </c>
      <c r="C352" s="4" t="s">
        <v>515</v>
      </c>
      <c r="D352" s="4" t="s">
        <v>741</v>
      </c>
      <c r="E352" s="4" t="s">
        <v>515</v>
      </c>
      <c r="F352" s="4" t="s">
        <v>1009</v>
      </c>
      <c r="G352" s="4" t="s">
        <v>1578</v>
      </c>
      <c r="H352" s="4" t="s">
        <v>1018</v>
      </c>
      <c r="I352" s="4"/>
      <c r="J352" s="4" t="s">
        <v>1018</v>
      </c>
      <c r="K352" s="4" t="s">
        <v>69</v>
      </c>
      <c r="L352" s="4" t="s">
        <v>48</v>
      </c>
      <c r="M352" s="4" t="s">
        <v>1012</v>
      </c>
      <c r="N352" s="4" t="s">
        <v>69</v>
      </c>
      <c r="O352" s="4" t="s">
        <v>71</v>
      </c>
      <c r="P352" s="4" t="s">
        <v>71</v>
      </c>
      <c r="Q352" s="4"/>
      <c r="R352" s="4" t="s">
        <v>143</v>
      </c>
      <c r="S352" s="4" t="s">
        <v>71</v>
      </c>
      <c r="T352" s="4" t="s">
        <v>71</v>
      </c>
      <c r="U352" s="4" t="str">
        <f t="shared" si="5"/>
        <v>NO</v>
      </c>
    </row>
    <row r="353" spans="1:21" ht="42" customHeight="1">
      <c r="A353" s="4" t="s">
        <v>1579</v>
      </c>
      <c r="B353" s="4" t="s">
        <v>741</v>
      </c>
      <c r="C353" s="4" t="s">
        <v>186</v>
      </c>
      <c r="D353" s="4" t="s">
        <v>741</v>
      </c>
      <c r="E353" s="4" t="s">
        <v>186</v>
      </c>
      <c r="F353" s="4" t="s">
        <v>1009</v>
      </c>
      <c r="G353" s="4" t="s">
        <v>1580</v>
      </c>
      <c r="H353" s="4" t="s">
        <v>1018</v>
      </c>
      <c r="I353" s="4"/>
      <c r="J353" s="4" t="s">
        <v>1018</v>
      </c>
      <c r="K353" s="4" t="s">
        <v>69</v>
      </c>
      <c r="L353" s="4" t="s">
        <v>55</v>
      </c>
      <c r="M353" s="4" t="s">
        <v>1012</v>
      </c>
      <c r="N353" s="4" t="s">
        <v>69</v>
      </c>
      <c r="O353" s="4" t="s">
        <v>71</v>
      </c>
      <c r="P353" s="4" t="s">
        <v>71</v>
      </c>
      <c r="Q353" s="4"/>
      <c r="R353" s="4" t="s">
        <v>143</v>
      </c>
      <c r="S353" s="4" t="s">
        <v>71</v>
      </c>
      <c r="T353" s="4" t="s">
        <v>71</v>
      </c>
      <c r="U353" s="4" t="str">
        <f t="shared" si="5"/>
        <v>NO</v>
      </c>
    </row>
    <row r="354" spans="1:21" ht="42" customHeight="1">
      <c r="A354" s="4" t="s">
        <v>1581</v>
      </c>
      <c r="B354" s="4" t="s">
        <v>741</v>
      </c>
      <c r="C354" s="4" t="s">
        <v>455</v>
      </c>
      <c r="D354" s="4" t="s">
        <v>741</v>
      </c>
      <c r="E354" s="4" t="s">
        <v>455</v>
      </c>
      <c r="F354" s="4" t="s">
        <v>1009</v>
      </c>
      <c r="G354" s="4" t="s">
        <v>1582</v>
      </c>
      <c r="H354" s="4" t="s">
        <v>1018</v>
      </c>
      <c r="I354" s="4"/>
      <c r="J354" s="4" t="s">
        <v>1018</v>
      </c>
      <c r="K354" s="4" t="s">
        <v>69</v>
      </c>
      <c r="L354" s="4" t="s">
        <v>86</v>
      </c>
      <c r="M354" s="4" t="s">
        <v>1012</v>
      </c>
      <c r="N354" s="4" t="s">
        <v>86</v>
      </c>
      <c r="O354" s="4" t="s">
        <v>71</v>
      </c>
      <c r="P354" s="4" t="s">
        <v>71</v>
      </c>
      <c r="Q354" s="4"/>
      <c r="R354" s="4" t="s">
        <v>143</v>
      </c>
      <c r="S354" s="4" t="s">
        <v>71</v>
      </c>
      <c r="T354" s="4" t="s">
        <v>71</v>
      </c>
      <c r="U354" s="4" t="str">
        <f t="shared" si="5"/>
        <v>NO</v>
      </c>
    </row>
    <row r="355" spans="1:21" ht="42" customHeight="1">
      <c r="A355" s="4" t="s">
        <v>1583</v>
      </c>
      <c r="B355" s="4" t="s">
        <v>741</v>
      </c>
      <c r="C355" s="4" t="s">
        <v>527</v>
      </c>
      <c r="D355" s="4" t="s">
        <v>741</v>
      </c>
      <c r="E355" s="4" t="s">
        <v>527</v>
      </c>
      <c r="F355" s="4" t="s">
        <v>1009</v>
      </c>
      <c r="G355" s="4" t="s">
        <v>1584</v>
      </c>
      <c r="H355" s="4" t="s">
        <v>1018</v>
      </c>
      <c r="I355" s="4"/>
      <c r="J355" s="4" t="s">
        <v>1018</v>
      </c>
      <c r="K355" s="4" t="s">
        <v>69</v>
      </c>
      <c r="L355" s="4" t="s">
        <v>69</v>
      </c>
      <c r="M355" s="4" t="s">
        <v>1021</v>
      </c>
      <c r="N355" s="4" t="s">
        <v>69</v>
      </c>
      <c r="O355" s="4" t="s">
        <v>71</v>
      </c>
      <c r="P355" s="4" t="s">
        <v>71</v>
      </c>
      <c r="Q355" s="4"/>
      <c r="R355" s="4" t="s">
        <v>143</v>
      </c>
      <c r="S355" s="4" t="s">
        <v>71</v>
      </c>
      <c r="T355" s="4" t="s">
        <v>71</v>
      </c>
      <c r="U355" s="4" t="str">
        <f t="shared" si="5"/>
        <v>NO</v>
      </c>
    </row>
    <row r="356" spans="1:21" ht="42" customHeight="1">
      <c r="A356" s="4" t="s">
        <v>1585</v>
      </c>
      <c r="B356" s="4" t="s">
        <v>744</v>
      </c>
      <c r="C356" s="4" t="s">
        <v>472</v>
      </c>
      <c r="D356" s="4" t="s">
        <v>744</v>
      </c>
      <c r="E356" s="4" t="s">
        <v>472</v>
      </c>
      <c r="F356" s="4" t="s">
        <v>1009</v>
      </c>
      <c r="G356" s="4" t="s">
        <v>1586</v>
      </c>
      <c r="H356" s="4" t="s">
        <v>1018</v>
      </c>
      <c r="I356" s="4"/>
      <c r="J356" s="4" t="s">
        <v>1018</v>
      </c>
      <c r="K356" s="4" t="s">
        <v>77</v>
      </c>
      <c r="L356" s="4" t="s">
        <v>90</v>
      </c>
      <c r="M356" s="4" t="s">
        <v>1012</v>
      </c>
      <c r="N356" s="4" t="s">
        <v>90</v>
      </c>
      <c r="O356" s="4" t="s">
        <v>71</v>
      </c>
      <c r="P356" s="4" t="s">
        <v>71</v>
      </c>
      <c r="Q356" s="4"/>
      <c r="R356" s="4" t="s">
        <v>143</v>
      </c>
      <c r="S356" s="4" t="s">
        <v>71</v>
      </c>
      <c r="T356" s="4" t="s">
        <v>71</v>
      </c>
      <c r="U356" s="4" t="str">
        <f t="shared" si="5"/>
        <v>NO</v>
      </c>
    </row>
    <row r="357" spans="1:21" ht="42" customHeight="1">
      <c r="A357" s="4" t="s">
        <v>1587</v>
      </c>
      <c r="B357" s="4" t="s">
        <v>747</v>
      </c>
      <c r="C357" s="4" t="s">
        <v>741</v>
      </c>
      <c r="D357" s="4" t="s">
        <v>747</v>
      </c>
      <c r="E357" s="4" t="s">
        <v>741</v>
      </c>
      <c r="F357" s="4" t="s">
        <v>1009</v>
      </c>
      <c r="G357" s="4" t="s">
        <v>1588</v>
      </c>
      <c r="H357" s="4" t="s">
        <v>1011</v>
      </c>
      <c r="I357" s="4"/>
      <c r="J357" s="4" t="s">
        <v>1011</v>
      </c>
      <c r="K357" s="4" t="s">
        <v>90</v>
      </c>
      <c r="L357" s="4" t="s">
        <v>69</v>
      </c>
      <c r="M357" s="4" t="s">
        <v>1012</v>
      </c>
      <c r="N357" s="4" t="s">
        <v>90</v>
      </c>
      <c r="O357" s="4" t="s">
        <v>71</v>
      </c>
      <c r="P357" s="4" t="s">
        <v>71</v>
      </c>
      <c r="Q357" s="4"/>
      <c r="R357" s="4" t="s">
        <v>143</v>
      </c>
      <c r="S357" s="4" t="s">
        <v>71</v>
      </c>
      <c r="T357" s="4" t="s">
        <v>71</v>
      </c>
      <c r="U357" s="4" t="str">
        <f t="shared" si="5"/>
        <v>NO</v>
      </c>
    </row>
    <row r="358" spans="1:21" ht="42" customHeight="1">
      <c r="A358" s="4" t="s">
        <v>1589</v>
      </c>
      <c r="B358" s="4" t="s">
        <v>747</v>
      </c>
      <c r="C358" s="4" t="s">
        <v>737</v>
      </c>
      <c r="D358" s="4" t="s">
        <v>747</v>
      </c>
      <c r="E358" s="4" t="s">
        <v>737</v>
      </c>
      <c r="F358" s="4" t="s">
        <v>1009</v>
      </c>
      <c r="G358" s="4" t="s">
        <v>1590</v>
      </c>
      <c r="H358" s="4" t="s">
        <v>1018</v>
      </c>
      <c r="I358" s="4"/>
      <c r="J358" s="4" t="s">
        <v>1018</v>
      </c>
      <c r="K358" s="4" t="s">
        <v>90</v>
      </c>
      <c r="L358" s="4" t="s">
        <v>86</v>
      </c>
      <c r="M358" s="4" t="s">
        <v>1012</v>
      </c>
      <c r="N358" s="4" t="s">
        <v>90</v>
      </c>
      <c r="O358" s="4" t="s">
        <v>71</v>
      </c>
      <c r="P358" s="4" t="s">
        <v>71</v>
      </c>
      <c r="Q358" s="4"/>
      <c r="R358" s="4" t="s">
        <v>143</v>
      </c>
      <c r="S358" s="4" t="s">
        <v>71</v>
      </c>
      <c r="T358" s="4" t="s">
        <v>71</v>
      </c>
      <c r="U358" s="4" t="str">
        <f t="shared" si="5"/>
        <v>NO</v>
      </c>
    </row>
    <row r="359" spans="1:21" ht="42" customHeight="1">
      <c r="A359" s="4" t="s">
        <v>1591</v>
      </c>
      <c r="B359" s="4" t="s">
        <v>751</v>
      </c>
      <c r="C359" s="4" t="s">
        <v>713</v>
      </c>
      <c r="D359" s="4" t="s">
        <v>751</v>
      </c>
      <c r="E359" s="4" t="s">
        <v>713</v>
      </c>
      <c r="F359" s="4" t="s">
        <v>1009</v>
      </c>
      <c r="G359" s="4" t="s">
        <v>1592</v>
      </c>
      <c r="H359" s="4" t="s">
        <v>1018</v>
      </c>
      <c r="I359" s="4"/>
      <c r="J359" s="4" t="s">
        <v>1018</v>
      </c>
      <c r="K359" s="4" t="s">
        <v>69</v>
      </c>
      <c r="L359" s="4" t="s">
        <v>86</v>
      </c>
      <c r="M359" s="4" t="s">
        <v>1012</v>
      </c>
      <c r="N359" s="4" t="s">
        <v>86</v>
      </c>
      <c r="O359" s="4" t="s">
        <v>71</v>
      </c>
      <c r="P359" s="4" t="s">
        <v>71</v>
      </c>
      <c r="Q359" s="4"/>
      <c r="R359" s="4" t="s">
        <v>143</v>
      </c>
      <c r="S359" s="4" t="s">
        <v>71</v>
      </c>
      <c r="T359" s="4" t="s">
        <v>71</v>
      </c>
      <c r="U359" s="4" t="str">
        <f t="shared" si="5"/>
        <v>NO</v>
      </c>
    </row>
    <row r="360" spans="1:21" ht="42" customHeight="1">
      <c r="A360" s="4" t="s">
        <v>1593</v>
      </c>
      <c r="B360" s="4" t="s">
        <v>751</v>
      </c>
      <c r="C360" s="4" t="s">
        <v>645</v>
      </c>
      <c r="D360" s="4" t="s">
        <v>751</v>
      </c>
      <c r="E360" s="4" t="s">
        <v>645</v>
      </c>
      <c r="F360" s="4" t="s">
        <v>1009</v>
      </c>
      <c r="G360" s="4" t="s">
        <v>1594</v>
      </c>
      <c r="H360" s="4" t="s">
        <v>1011</v>
      </c>
      <c r="I360" s="4"/>
      <c r="J360" s="4" t="s">
        <v>1011</v>
      </c>
      <c r="K360" s="4" t="s">
        <v>69</v>
      </c>
      <c r="L360" s="4" t="s">
        <v>69</v>
      </c>
      <c r="M360" s="4" t="s">
        <v>1021</v>
      </c>
      <c r="N360" s="4" t="s">
        <v>69</v>
      </c>
      <c r="O360" s="4" t="s">
        <v>71</v>
      </c>
      <c r="P360" s="4" t="s">
        <v>71</v>
      </c>
      <c r="Q360" s="4"/>
      <c r="R360" s="4" t="s">
        <v>143</v>
      </c>
      <c r="S360" s="4" t="s">
        <v>71</v>
      </c>
      <c r="T360" s="4" t="s">
        <v>71</v>
      </c>
      <c r="U360" s="4" t="str">
        <f t="shared" si="5"/>
        <v>NO</v>
      </c>
    </row>
    <row r="361" spans="1:21" ht="42" customHeight="1">
      <c r="A361" s="4" t="s">
        <v>1595</v>
      </c>
      <c r="B361" s="4" t="s">
        <v>747</v>
      </c>
      <c r="C361" s="4" t="s">
        <v>337</v>
      </c>
      <c r="D361" s="4" t="s">
        <v>747</v>
      </c>
      <c r="E361" s="4" t="s">
        <v>337</v>
      </c>
      <c r="F361" s="4" t="s">
        <v>1009</v>
      </c>
      <c r="G361" s="4" t="s">
        <v>1596</v>
      </c>
      <c r="H361" s="4" t="s">
        <v>1018</v>
      </c>
      <c r="I361" s="4"/>
      <c r="J361" s="4" t="s">
        <v>1018</v>
      </c>
      <c r="K361" s="4" t="s">
        <v>90</v>
      </c>
      <c r="L361" s="4" t="s">
        <v>75</v>
      </c>
      <c r="M361" s="4" t="s">
        <v>1012</v>
      </c>
      <c r="N361" s="4" t="s">
        <v>90</v>
      </c>
      <c r="O361" s="4" t="s">
        <v>71</v>
      </c>
      <c r="P361" s="4" t="s">
        <v>71</v>
      </c>
      <c r="Q361" s="4"/>
      <c r="R361" s="4" t="s">
        <v>143</v>
      </c>
      <c r="S361" s="4" t="s">
        <v>71</v>
      </c>
      <c r="T361" s="4" t="s">
        <v>71</v>
      </c>
      <c r="U361" s="4" t="str">
        <f t="shared" si="5"/>
        <v>NO</v>
      </c>
    </row>
    <row r="362" spans="1:21" ht="42" customHeight="1">
      <c r="A362" s="4" t="s">
        <v>1597</v>
      </c>
      <c r="B362" s="4" t="s">
        <v>747</v>
      </c>
      <c r="C362" s="4" t="s">
        <v>729</v>
      </c>
      <c r="D362" s="4" t="s">
        <v>747</v>
      </c>
      <c r="E362" s="4" t="s">
        <v>729</v>
      </c>
      <c r="F362" s="4" t="s">
        <v>1009</v>
      </c>
      <c r="G362" s="4" t="s">
        <v>1598</v>
      </c>
      <c r="H362" s="4" t="s">
        <v>1018</v>
      </c>
      <c r="I362" s="4"/>
      <c r="J362" s="4" t="s">
        <v>1018</v>
      </c>
      <c r="K362" s="4" t="s">
        <v>90</v>
      </c>
      <c r="L362" s="4" t="s">
        <v>86</v>
      </c>
      <c r="M362" s="4" t="s">
        <v>1012</v>
      </c>
      <c r="N362" s="4" t="s">
        <v>90</v>
      </c>
      <c r="O362" s="4" t="s">
        <v>71</v>
      </c>
      <c r="P362" s="4" t="s">
        <v>71</v>
      </c>
      <c r="Q362" s="4"/>
      <c r="R362" s="4" t="s">
        <v>143</v>
      </c>
      <c r="S362" s="4" t="s">
        <v>71</v>
      </c>
      <c r="T362" s="4" t="s">
        <v>71</v>
      </c>
      <c r="U362" s="4" t="str">
        <f t="shared" si="5"/>
        <v>NO</v>
      </c>
    </row>
    <row r="363" spans="1:21" ht="42" customHeight="1">
      <c r="A363" s="4" t="s">
        <v>1599</v>
      </c>
      <c r="B363" s="4" t="s">
        <v>747</v>
      </c>
      <c r="C363" s="4" t="s">
        <v>416</v>
      </c>
      <c r="D363" s="4" t="s">
        <v>747</v>
      </c>
      <c r="E363" s="4" t="s">
        <v>416</v>
      </c>
      <c r="F363" s="4" t="s">
        <v>1009</v>
      </c>
      <c r="G363" s="4" t="s">
        <v>1600</v>
      </c>
      <c r="H363" s="4" t="s">
        <v>1018</v>
      </c>
      <c r="I363" s="4"/>
      <c r="J363" s="4" t="s">
        <v>1018</v>
      </c>
      <c r="K363" s="4" t="s">
        <v>90</v>
      </c>
      <c r="L363" s="4" t="s">
        <v>92</v>
      </c>
      <c r="M363" s="4" t="s">
        <v>1012</v>
      </c>
      <c r="N363" s="4" t="s">
        <v>92</v>
      </c>
      <c r="O363" s="4" t="s">
        <v>71</v>
      </c>
      <c r="P363" s="4" t="s">
        <v>71</v>
      </c>
      <c r="Q363" s="4"/>
      <c r="R363" s="4" t="s">
        <v>143</v>
      </c>
      <c r="S363" s="4" t="s">
        <v>71</v>
      </c>
      <c r="T363" s="4" t="s">
        <v>71</v>
      </c>
      <c r="U363" s="4" t="str">
        <f t="shared" si="5"/>
        <v>NO</v>
      </c>
    </row>
    <row r="364" spans="1:21" ht="42" customHeight="1">
      <c r="A364" s="4" t="s">
        <v>1601</v>
      </c>
      <c r="B364" s="4" t="s">
        <v>753</v>
      </c>
      <c r="C364" s="4" t="s">
        <v>179</v>
      </c>
      <c r="D364" s="4" t="s">
        <v>753</v>
      </c>
      <c r="E364" s="4" t="s">
        <v>179</v>
      </c>
      <c r="F364" s="4" t="s">
        <v>1009</v>
      </c>
      <c r="G364" s="4" t="s">
        <v>1602</v>
      </c>
      <c r="H364" s="4" t="s">
        <v>1018</v>
      </c>
      <c r="I364" s="4"/>
      <c r="J364" s="4" t="s">
        <v>1018</v>
      </c>
      <c r="K364" s="4" t="s">
        <v>79</v>
      </c>
      <c r="L364" s="4" t="s">
        <v>55</v>
      </c>
      <c r="M364" s="4" t="s">
        <v>1012</v>
      </c>
      <c r="N364" s="4" t="s">
        <v>79</v>
      </c>
      <c r="O364" s="4" t="s">
        <v>71</v>
      </c>
      <c r="P364" s="4" t="s">
        <v>71</v>
      </c>
      <c r="Q364" s="4"/>
      <c r="R364" s="4" t="s">
        <v>143</v>
      </c>
      <c r="S364" s="4" t="s">
        <v>71</v>
      </c>
      <c r="T364" s="4" t="s">
        <v>71</v>
      </c>
      <c r="U364" s="4" t="str">
        <f t="shared" si="5"/>
        <v>NO</v>
      </c>
    </row>
    <row r="365" spans="1:21" ht="42" customHeight="1">
      <c r="A365" s="4" t="s">
        <v>1603</v>
      </c>
      <c r="B365" s="4" t="s">
        <v>753</v>
      </c>
      <c r="C365" s="4" t="s">
        <v>543</v>
      </c>
      <c r="D365" s="4" t="s">
        <v>753</v>
      </c>
      <c r="E365" s="4" t="s">
        <v>543</v>
      </c>
      <c r="F365" s="4" t="s">
        <v>1009</v>
      </c>
      <c r="G365" s="4" t="s">
        <v>1604</v>
      </c>
      <c r="H365" s="4" t="s">
        <v>1011</v>
      </c>
      <c r="I365" s="4"/>
      <c r="J365" s="4" t="s">
        <v>1011</v>
      </c>
      <c r="K365" s="4" t="s">
        <v>79</v>
      </c>
      <c r="L365" s="4" t="s">
        <v>79</v>
      </c>
      <c r="M365" s="4" t="s">
        <v>1021</v>
      </c>
      <c r="N365" s="4" t="s">
        <v>79</v>
      </c>
      <c r="O365" s="4" t="s">
        <v>71</v>
      </c>
      <c r="P365" s="4" t="s">
        <v>71</v>
      </c>
      <c r="Q365" s="4"/>
      <c r="R365" s="4" t="s">
        <v>143</v>
      </c>
      <c r="S365" s="4" t="s">
        <v>71</v>
      </c>
      <c r="T365" s="4" t="s">
        <v>71</v>
      </c>
      <c r="U365" s="4" t="str">
        <f t="shared" si="5"/>
        <v>NO</v>
      </c>
    </row>
    <row r="366" spans="1:21" ht="42" customHeight="1">
      <c r="A366" s="4" t="s">
        <v>1605</v>
      </c>
      <c r="B366" s="4" t="s">
        <v>756</v>
      </c>
      <c r="C366" s="4" t="s">
        <v>186</v>
      </c>
      <c r="D366" s="4" t="s">
        <v>756</v>
      </c>
      <c r="E366" s="4" t="s">
        <v>186</v>
      </c>
      <c r="F366" s="4" t="s">
        <v>1009</v>
      </c>
      <c r="G366" s="4" t="s">
        <v>1606</v>
      </c>
      <c r="H366" s="4" t="s">
        <v>1018</v>
      </c>
      <c r="I366" s="4"/>
      <c r="J366" s="4" t="s">
        <v>1018</v>
      </c>
      <c r="K366" s="4" t="s">
        <v>75</v>
      </c>
      <c r="L366" s="4" t="s">
        <v>55</v>
      </c>
      <c r="M366" s="4" t="s">
        <v>1012</v>
      </c>
      <c r="N366" s="4" t="s">
        <v>75</v>
      </c>
      <c r="O366" s="4" t="s">
        <v>71</v>
      </c>
      <c r="P366" s="4" t="s">
        <v>71</v>
      </c>
      <c r="Q366" s="4"/>
      <c r="R366" s="4" t="s">
        <v>143</v>
      </c>
      <c r="S366" s="4" t="s">
        <v>71</v>
      </c>
      <c r="T366" s="4" t="s">
        <v>71</v>
      </c>
      <c r="U366" s="4" t="str">
        <f t="shared" si="5"/>
        <v>NO</v>
      </c>
    </row>
    <row r="367" spans="1:21" ht="42" customHeight="1">
      <c r="A367" s="4" t="s">
        <v>1607</v>
      </c>
      <c r="B367" s="4" t="s">
        <v>756</v>
      </c>
      <c r="C367" s="4" t="s">
        <v>713</v>
      </c>
      <c r="D367" s="4" t="s">
        <v>756</v>
      </c>
      <c r="E367" s="4" t="s">
        <v>713</v>
      </c>
      <c r="F367" s="4" t="s">
        <v>1009</v>
      </c>
      <c r="G367" s="4" t="s">
        <v>1608</v>
      </c>
      <c r="H367" s="4" t="s">
        <v>1018</v>
      </c>
      <c r="I367" s="4"/>
      <c r="J367" s="4" t="s">
        <v>1018</v>
      </c>
      <c r="K367" s="4" t="s">
        <v>75</v>
      </c>
      <c r="L367" s="4" t="s">
        <v>86</v>
      </c>
      <c r="M367" s="4" t="s">
        <v>1012</v>
      </c>
      <c r="N367" s="4" t="s">
        <v>86</v>
      </c>
      <c r="O367" s="4" t="s">
        <v>71</v>
      </c>
      <c r="P367" s="4" t="s">
        <v>71</v>
      </c>
      <c r="Q367" s="4"/>
      <c r="R367" s="4" t="s">
        <v>143</v>
      </c>
      <c r="S367" s="4" t="s">
        <v>71</v>
      </c>
      <c r="T367" s="4" t="s">
        <v>71</v>
      </c>
      <c r="U367" s="4" t="str">
        <f t="shared" si="5"/>
        <v>NO</v>
      </c>
    </row>
    <row r="368" spans="1:21" ht="42" customHeight="1">
      <c r="A368" s="4" t="s">
        <v>1609</v>
      </c>
      <c r="B368" s="4" t="s">
        <v>756</v>
      </c>
      <c r="C368" s="4" t="s">
        <v>191</v>
      </c>
      <c r="D368" s="4" t="s">
        <v>756</v>
      </c>
      <c r="E368" s="4" t="s">
        <v>191</v>
      </c>
      <c r="F368" s="4" t="s">
        <v>1009</v>
      </c>
      <c r="G368" s="4" t="s">
        <v>1610</v>
      </c>
      <c r="H368" s="4" t="s">
        <v>1011</v>
      </c>
      <c r="I368" s="4"/>
      <c r="J368" s="4" t="s">
        <v>1011</v>
      </c>
      <c r="K368" s="4" t="s">
        <v>75</v>
      </c>
      <c r="L368" s="4" t="s">
        <v>55</v>
      </c>
      <c r="M368" s="4" t="s">
        <v>1012</v>
      </c>
      <c r="N368" s="4" t="s">
        <v>75</v>
      </c>
      <c r="O368" s="4" t="s">
        <v>71</v>
      </c>
      <c r="P368" s="4" t="s">
        <v>71</v>
      </c>
      <c r="Q368" s="4"/>
      <c r="R368" s="4" t="s">
        <v>143</v>
      </c>
      <c r="S368" s="4" t="s">
        <v>71</v>
      </c>
      <c r="T368" s="4" t="s">
        <v>71</v>
      </c>
      <c r="U368" s="4" t="str">
        <f t="shared" si="5"/>
        <v>NO</v>
      </c>
    </row>
    <row r="369" spans="1:21" ht="42" customHeight="1">
      <c r="A369" s="4" t="s">
        <v>1611</v>
      </c>
      <c r="B369" s="4" t="s">
        <v>756</v>
      </c>
      <c r="C369" s="4" t="s">
        <v>461</v>
      </c>
      <c r="D369" s="4" t="s">
        <v>756</v>
      </c>
      <c r="E369" s="4" t="s">
        <v>461</v>
      </c>
      <c r="F369" s="4" t="s">
        <v>1009</v>
      </c>
      <c r="G369" s="4" t="s">
        <v>1612</v>
      </c>
      <c r="H369" s="4" t="s">
        <v>1011</v>
      </c>
      <c r="I369" s="4"/>
      <c r="J369" s="4" t="s">
        <v>1011</v>
      </c>
      <c r="K369" s="4" t="s">
        <v>75</v>
      </c>
      <c r="L369" s="4" t="s">
        <v>92</v>
      </c>
      <c r="M369" s="4" t="s">
        <v>1012</v>
      </c>
      <c r="N369" s="4" t="s">
        <v>92</v>
      </c>
      <c r="O369" s="4" t="s">
        <v>71</v>
      </c>
      <c r="P369" s="4" t="s">
        <v>71</v>
      </c>
      <c r="Q369" s="4"/>
      <c r="R369" s="4" t="s">
        <v>143</v>
      </c>
      <c r="S369" s="4" t="s">
        <v>71</v>
      </c>
      <c r="T369" s="4" t="s">
        <v>71</v>
      </c>
      <c r="U369" s="4" t="str">
        <f t="shared" si="5"/>
        <v>NO</v>
      </c>
    </row>
    <row r="370" spans="1:21" ht="42" customHeight="1">
      <c r="A370" s="4" t="s">
        <v>1613</v>
      </c>
      <c r="B370" s="4" t="s">
        <v>759</v>
      </c>
      <c r="C370" s="4" t="s">
        <v>685</v>
      </c>
      <c r="D370" s="4" t="s">
        <v>759</v>
      </c>
      <c r="E370" s="4" t="s">
        <v>685</v>
      </c>
      <c r="F370" s="4" t="s">
        <v>1009</v>
      </c>
      <c r="G370" s="4" t="s">
        <v>1614</v>
      </c>
      <c r="H370" s="4" t="s">
        <v>1011</v>
      </c>
      <c r="I370" s="4"/>
      <c r="J370" s="4" t="s">
        <v>1011</v>
      </c>
      <c r="K370" s="4" t="s">
        <v>79</v>
      </c>
      <c r="L370" s="4" t="s">
        <v>77</v>
      </c>
      <c r="M370" s="4" t="s">
        <v>1012</v>
      </c>
      <c r="N370" s="4" t="s">
        <v>79</v>
      </c>
      <c r="O370" s="4" t="s">
        <v>71</v>
      </c>
      <c r="P370" s="4" t="s">
        <v>71</v>
      </c>
      <c r="Q370" s="4"/>
      <c r="R370" s="4" t="s">
        <v>143</v>
      </c>
      <c r="S370" s="4" t="s">
        <v>71</v>
      </c>
      <c r="T370" s="4" t="s">
        <v>71</v>
      </c>
      <c r="U370" s="4" t="str">
        <f t="shared" si="5"/>
        <v>NO</v>
      </c>
    </row>
    <row r="371" spans="1:21" ht="42" customHeight="1">
      <c r="A371" s="4" t="s">
        <v>1615</v>
      </c>
      <c r="B371" s="4" t="s">
        <v>759</v>
      </c>
      <c r="C371" s="4" t="s">
        <v>221</v>
      </c>
      <c r="D371" s="4" t="s">
        <v>759</v>
      </c>
      <c r="E371" s="4" t="s">
        <v>221</v>
      </c>
      <c r="F371" s="4" t="s">
        <v>1009</v>
      </c>
      <c r="G371" s="4" t="s">
        <v>1616</v>
      </c>
      <c r="H371" s="4" t="s">
        <v>1011</v>
      </c>
      <c r="I371" s="4"/>
      <c r="J371" s="4" t="s">
        <v>1011</v>
      </c>
      <c r="K371" s="4" t="s">
        <v>79</v>
      </c>
      <c r="L371" s="4" t="s">
        <v>77</v>
      </c>
      <c r="M371" s="4" t="s">
        <v>1012</v>
      </c>
      <c r="N371" s="4" t="s">
        <v>79</v>
      </c>
      <c r="O371" s="4" t="s">
        <v>71</v>
      </c>
      <c r="P371" s="4" t="s">
        <v>71</v>
      </c>
      <c r="Q371" s="4"/>
      <c r="R371" s="4" t="s">
        <v>143</v>
      </c>
      <c r="S371" s="4" t="s">
        <v>71</v>
      </c>
      <c r="T371" s="4" t="s">
        <v>71</v>
      </c>
      <c r="U371" s="4" t="str">
        <f t="shared" si="5"/>
        <v>NO</v>
      </c>
    </row>
    <row r="372" spans="1:21" ht="42" customHeight="1">
      <c r="A372" s="4" t="s">
        <v>1617</v>
      </c>
      <c r="B372" s="4" t="s">
        <v>762</v>
      </c>
      <c r="C372" s="4" t="s">
        <v>465</v>
      </c>
      <c r="D372" s="4" t="s">
        <v>762</v>
      </c>
      <c r="E372" s="4" t="s">
        <v>465</v>
      </c>
      <c r="F372" s="4" t="s">
        <v>1009</v>
      </c>
      <c r="G372" s="4" t="s">
        <v>1618</v>
      </c>
      <c r="H372" s="4" t="s">
        <v>1018</v>
      </c>
      <c r="I372" s="4"/>
      <c r="J372" s="4" t="s">
        <v>1018</v>
      </c>
      <c r="K372" s="4" t="s">
        <v>92</v>
      </c>
      <c r="L372" s="4" t="s">
        <v>83</v>
      </c>
      <c r="M372" s="4" t="s">
        <v>1012</v>
      </c>
      <c r="N372" s="4" t="s">
        <v>92</v>
      </c>
      <c r="O372" s="4" t="s">
        <v>71</v>
      </c>
      <c r="P372" s="4" t="s">
        <v>71</v>
      </c>
      <c r="Q372" s="4"/>
      <c r="R372" s="4" t="s">
        <v>143</v>
      </c>
      <c r="S372" s="4" t="s">
        <v>71</v>
      </c>
      <c r="T372" s="4" t="s">
        <v>71</v>
      </c>
      <c r="U372" s="4" t="str">
        <f t="shared" si="5"/>
        <v>NO</v>
      </c>
    </row>
    <row r="373" spans="1:21" ht="42" customHeight="1">
      <c r="A373" s="4" t="s">
        <v>1619</v>
      </c>
      <c r="B373" s="4" t="s">
        <v>762</v>
      </c>
      <c r="C373" s="4" t="s">
        <v>261</v>
      </c>
      <c r="D373" s="4" t="s">
        <v>762</v>
      </c>
      <c r="E373" s="4" t="s">
        <v>261</v>
      </c>
      <c r="F373" s="4" t="s">
        <v>1009</v>
      </c>
      <c r="G373" s="4" t="s">
        <v>1620</v>
      </c>
      <c r="H373" s="4" t="s">
        <v>1018</v>
      </c>
      <c r="I373" s="4"/>
      <c r="J373" s="4" t="s">
        <v>1018</v>
      </c>
      <c r="K373" s="4" t="s">
        <v>92</v>
      </c>
      <c r="L373" s="4" t="s">
        <v>77</v>
      </c>
      <c r="M373" s="4" t="s">
        <v>1012</v>
      </c>
      <c r="N373" s="4" t="s">
        <v>92</v>
      </c>
      <c r="O373" s="4" t="s">
        <v>71</v>
      </c>
      <c r="P373" s="4" t="s">
        <v>71</v>
      </c>
      <c r="Q373" s="4"/>
      <c r="R373" s="4" t="s">
        <v>143</v>
      </c>
      <c r="S373" s="4" t="s">
        <v>71</v>
      </c>
      <c r="T373" s="4" t="s">
        <v>71</v>
      </c>
      <c r="U373" s="4" t="str">
        <f t="shared" si="5"/>
        <v>NO</v>
      </c>
    </row>
    <row r="374" spans="1:21" ht="42" customHeight="1">
      <c r="A374" s="4" t="s">
        <v>1621</v>
      </c>
      <c r="B374" s="4" t="s">
        <v>762</v>
      </c>
      <c r="C374" s="4" t="s">
        <v>585</v>
      </c>
      <c r="D374" s="4" t="s">
        <v>762</v>
      </c>
      <c r="E374" s="4" t="s">
        <v>585</v>
      </c>
      <c r="F374" s="4" t="s">
        <v>1009</v>
      </c>
      <c r="G374" s="4" t="s">
        <v>1622</v>
      </c>
      <c r="H374" s="4" t="s">
        <v>1018</v>
      </c>
      <c r="I374" s="4"/>
      <c r="J374" s="4" t="s">
        <v>1018</v>
      </c>
      <c r="K374" s="4" t="s">
        <v>92</v>
      </c>
      <c r="L374" s="4" t="s">
        <v>69</v>
      </c>
      <c r="M374" s="4" t="s">
        <v>1012</v>
      </c>
      <c r="N374" s="4" t="s">
        <v>92</v>
      </c>
      <c r="O374" s="4" t="s">
        <v>71</v>
      </c>
      <c r="P374" s="4" t="s">
        <v>71</v>
      </c>
      <c r="Q374" s="4"/>
      <c r="R374" s="4" t="s">
        <v>143</v>
      </c>
      <c r="S374" s="4" t="s">
        <v>71</v>
      </c>
      <c r="T374" s="4" t="s">
        <v>71</v>
      </c>
      <c r="U374" s="4" t="str">
        <f t="shared" si="5"/>
        <v>NO</v>
      </c>
    </row>
    <row r="375" spans="1:21" ht="42" customHeight="1">
      <c r="A375" s="4" t="s">
        <v>1623</v>
      </c>
      <c r="B375" s="4" t="s">
        <v>765</v>
      </c>
      <c r="C375" s="4" t="s">
        <v>465</v>
      </c>
      <c r="D375" s="4" t="s">
        <v>765</v>
      </c>
      <c r="E375" s="4" t="s">
        <v>465</v>
      </c>
      <c r="F375" s="4" t="s">
        <v>1009</v>
      </c>
      <c r="G375" s="4" t="s">
        <v>1624</v>
      </c>
      <c r="H375" s="4" t="s">
        <v>1018</v>
      </c>
      <c r="I375" s="4"/>
      <c r="J375" s="4" t="s">
        <v>1018</v>
      </c>
      <c r="K375" s="4" t="s">
        <v>88</v>
      </c>
      <c r="L375" s="4" t="s">
        <v>83</v>
      </c>
      <c r="M375" s="4" t="s">
        <v>1012</v>
      </c>
      <c r="N375" s="4" t="s">
        <v>88</v>
      </c>
      <c r="O375" s="4" t="s">
        <v>71</v>
      </c>
      <c r="P375" s="4" t="s">
        <v>71</v>
      </c>
      <c r="Q375" s="4"/>
      <c r="R375" s="4" t="s">
        <v>143</v>
      </c>
      <c r="S375" s="4" t="s">
        <v>71</v>
      </c>
      <c r="T375" s="4" t="s">
        <v>71</v>
      </c>
      <c r="U375" s="4" t="str">
        <f t="shared" si="5"/>
        <v>NO</v>
      </c>
    </row>
    <row r="376" spans="1:21" ht="42" customHeight="1">
      <c r="A376" s="4" t="s">
        <v>1625</v>
      </c>
      <c r="B376" s="4" t="s">
        <v>765</v>
      </c>
      <c r="C376" s="4" t="s">
        <v>461</v>
      </c>
      <c r="D376" s="4" t="s">
        <v>765</v>
      </c>
      <c r="E376" s="4" t="s">
        <v>461</v>
      </c>
      <c r="F376" s="4" t="s">
        <v>1009</v>
      </c>
      <c r="G376" s="4" t="s">
        <v>1626</v>
      </c>
      <c r="H376" s="4" t="s">
        <v>1018</v>
      </c>
      <c r="I376" s="4"/>
      <c r="J376" s="4" t="s">
        <v>1018</v>
      </c>
      <c r="K376" s="4" t="s">
        <v>88</v>
      </c>
      <c r="L376" s="4" t="s">
        <v>92</v>
      </c>
      <c r="M376" s="4" t="s">
        <v>1012</v>
      </c>
      <c r="N376" s="4" t="s">
        <v>92</v>
      </c>
      <c r="O376" s="4" t="s">
        <v>71</v>
      </c>
      <c r="P376" s="4" t="s">
        <v>71</v>
      </c>
      <c r="Q376" s="4"/>
      <c r="R376" s="4" t="s">
        <v>143</v>
      </c>
      <c r="S376" s="4" t="s">
        <v>71</v>
      </c>
      <c r="T376" s="4" t="s">
        <v>71</v>
      </c>
      <c r="U376" s="4" t="str">
        <f t="shared" si="5"/>
        <v>NO</v>
      </c>
    </row>
    <row r="377" spans="1:21" ht="42" customHeight="1">
      <c r="A377" s="4" t="s">
        <v>1627</v>
      </c>
      <c r="B377" s="4" t="s">
        <v>765</v>
      </c>
      <c r="C377" s="4" t="s">
        <v>696</v>
      </c>
      <c r="D377" s="4" t="s">
        <v>765</v>
      </c>
      <c r="E377" s="4" t="s">
        <v>696</v>
      </c>
      <c r="F377" s="4" t="s">
        <v>1009</v>
      </c>
      <c r="G377" s="4" t="s">
        <v>1628</v>
      </c>
      <c r="H377" s="4" t="s">
        <v>1018</v>
      </c>
      <c r="I377" s="4"/>
      <c r="J377" s="4" t="s">
        <v>1018</v>
      </c>
      <c r="K377" s="4" t="s">
        <v>88</v>
      </c>
      <c r="L377" s="4" t="s">
        <v>86</v>
      </c>
      <c r="M377" s="4" t="s">
        <v>1012</v>
      </c>
      <c r="N377" s="4" t="s">
        <v>88</v>
      </c>
      <c r="O377" s="4" t="s">
        <v>71</v>
      </c>
      <c r="P377" s="4" t="s">
        <v>71</v>
      </c>
      <c r="Q377" s="4"/>
      <c r="R377" s="4" t="s">
        <v>143</v>
      </c>
      <c r="S377" s="4" t="s">
        <v>71</v>
      </c>
      <c r="T377" s="4" t="s">
        <v>71</v>
      </c>
      <c r="U377" s="4" t="str">
        <f t="shared" si="5"/>
        <v>NO</v>
      </c>
    </row>
    <row r="378" spans="1:21" ht="42" customHeight="1">
      <c r="A378" s="4" t="s">
        <v>1629</v>
      </c>
      <c r="B378" s="4" t="s">
        <v>765</v>
      </c>
      <c r="C378" s="4" t="s">
        <v>191</v>
      </c>
      <c r="D378" s="4" t="s">
        <v>765</v>
      </c>
      <c r="E378" s="4" t="s">
        <v>191</v>
      </c>
      <c r="F378" s="4" t="s">
        <v>1009</v>
      </c>
      <c r="G378" s="4" t="s">
        <v>1630</v>
      </c>
      <c r="H378" s="4" t="s">
        <v>1018</v>
      </c>
      <c r="I378" s="4"/>
      <c r="J378" s="4" t="s">
        <v>1018</v>
      </c>
      <c r="K378" s="4" t="s">
        <v>88</v>
      </c>
      <c r="L378" s="4" t="s">
        <v>55</v>
      </c>
      <c r="M378" s="4" t="s">
        <v>1012</v>
      </c>
      <c r="N378" s="4" t="s">
        <v>88</v>
      </c>
      <c r="O378" s="4" t="s">
        <v>71</v>
      </c>
      <c r="P378" s="4" t="s">
        <v>71</v>
      </c>
      <c r="Q378" s="4"/>
      <c r="R378" s="4" t="s">
        <v>143</v>
      </c>
      <c r="S378" s="4" t="s">
        <v>71</v>
      </c>
      <c r="T378" s="4" t="s">
        <v>71</v>
      </c>
      <c r="U378" s="4" t="str">
        <f t="shared" si="5"/>
        <v>NO</v>
      </c>
    </row>
    <row r="379" spans="1:21" ht="42" customHeight="1">
      <c r="A379" s="4" t="s">
        <v>1631</v>
      </c>
      <c r="B379" s="4" t="s">
        <v>765</v>
      </c>
      <c r="C379" s="4" t="s">
        <v>196</v>
      </c>
      <c r="D379" s="4" t="s">
        <v>765</v>
      </c>
      <c r="E379" s="4" t="s">
        <v>196</v>
      </c>
      <c r="F379" s="4" t="s">
        <v>1009</v>
      </c>
      <c r="G379" s="4" t="s">
        <v>1632</v>
      </c>
      <c r="H379" s="4" t="s">
        <v>1018</v>
      </c>
      <c r="I379" s="4"/>
      <c r="J379" s="4" t="s">
        <v>1018</v>
      </c>
      <c r="K379" s="4" t="s">
        <v>88</v>
      </c>
      <c r="L379" s="4" t="s">
        <v>69</v>
      </c>
      <c r="M379" s="4" t="s">
        <v>1012</v>
      </c>
      <c r="N379" s="4" t="s">
        <v>88</v>
      </c>
      <c r="O379" s="4" t="s">
        <v>71</v>
      </c>
      <c r="P379" s="4" t="s">
        <v>71</v>
      </c>
      <c r="Q379" s="4"/>
      <c r="R379" s="4" t="s">
        <v>143</v>
      </c>
      <c r="S379" s="4" t="s">
        <v>71</v>
      </c>
      <c r="T379" s="4" t="s">
        <v>71</v>
      </c>
      <c r="U379" s="4" t="str">
        <f t="shared" si="5"/>
        <v>NO</v>
      </c>
    </row>
    <row r="380" spans="1:21" ht="42" customHeight="1">
      <c r="A380" s="4" t="s">
        <v>1633</v>
      </c>
      <c r="B380" s="4" t="s">
        <v>768</v>
      </c>
      <c r="C380" s="4" t="s">
        <v>186</v>
      </c>
      <c r="D380" s="4" t="s">
        <v>768</v>
      </c>
      <c r="E380" s="4" t="s">
        <v>186</v>
      </c>
      <c r="F380" s="4" t="s">
        <v>1009</v>
      </c>
      <c r="G380" s="4" t="s">
        <v>1634</v>
      </c>
      <c r="H380" s="4" t="s">
        <v>1018</v>
      </c>
      <c r="I380" s="4"/>
      <c r="J380" s="4" t="s">
        <v>1018</v>
      </c>
      <c r="K380" s="4" t="s">
        <v>88</v>
      </c>
      <c r="L380" s="4" t="s">
        <v>55</v>
      </c>
      <c r="M380" s="4" t="s">
        <v>1012</v>
      </c>
      <c r="N380" s="4" t="s">
        <v>88</v>
      </c>
      <c r="O380" s="4" t="s">
        <v>71</v>
      </c>
      <c r="P380" s="4" t="s">
        <v>71</v>
      </c>
      <c r="Q380" s="4"/>
      <c r="R380" s="4" t="s">
        <v>143</v>
      </c>
      <c r="S380" s="4" t="s">
        <v>71</v>
      </c>
      <c r="T380" s="4" t="s">
        <v>71</v>
      </c>
      <c r="U380" s="4" t="str">
        <f t="shared" si="5"/>
        <v>NO</v>
      </c>
    </row>
    <row r="381" spans="1:21" ht="42" customHeight="1">
      <c r="A381" s="4" t="s">
        <v>1635</v>
      </c>
      <c r="B381" s="4" t="s">
        <v>768</v>
      </c>
      <c r="C381" s="4" t="s">
        <v>591</v>
      </c>
      <c r="D381" s="4" t="s">
        <v>768</v>
      </c>
      <c r="E381" s="4" t="s">
        <v>591</v>
      </c>
      <c r="F381" s="4" t="s">
        <v>1009</v>
      </c>
      <c r="G381" s="4" t="s">
        <v>1636</v>
      </c>
      <c r="H381" s="4" t="s">
        <v>1018</v>
      </c>
      <c r="I381" s="4"/>
      <c r="J381" s="4" t="s">
        <v>1018</v>
      </c>
      <c r="K381" s="4" t="s">
        <v>88</v>
      </c>
      <c r="L381" s="4" t="s">
        <v>83</v>
      </c>
      <c r="M381" s="4" t="s">
        <v>1012</v>
      </c>
      <c r="N381" s="4" t="s">
        <v>88</v>
      </c>
      <c r="O381" s="4" t="s">
        <v>71</v>
      </c>
      <c r="P381" s="4" t="s">
        <v>71</v>
      </c>
      <c r="Q381" s="4"/>
      <c r="R381" s="4" t="s">
        <v>143</v>
      </c>
      <c r="S381" s="4" t="s">
        <v>71</v>
      </c>
      <c r="T381" s="4" t="s">
        <v>71</v>
      </c>
      <c r="U381" s="4" t="str">
        <f t="shared" si="5"/>
        <v>NO</v>
      </c>
    </row>
    <row r="382" spans="1:21" ht="42" customHeight="1">
      <c r="A382" s="4" t="s">
        <v>1637</v>
      </c>
      <c r="B382" s="4" t="s">
        <v>768</v>
      </c>
      <c r="C382" s="4" t="s">
        <v>765</v>
      </c>
      <c r="D382" s="4" t="s">
        <v>768</v>
      </c>
      <c r="E382" s="4" t="s">
        <v>765</v>
      </c>
      <c r="F382" s="4" t="s">
        <v>1009</v>
      </c>
      <c r="G382" s="4" t="s">
        <v>1638</v>
      </c>
      <c r="H382" s="4" t="s">
        <v>1018</v>
      </c>
      <c r="I382" s="4"/>
      <c r="J382" s="4" t="s">
        <v>1018</v>
      </c>
      <c r="K382" s="4" t="s">
        <v>88</v>
      </c>
      <c r="L382" s="4" t="s">
        <v>88</v>
      </c>
      <c r="M382" s="4" t="s">
        <v>1021</v>
      </c>
      <c r="N382" s="4" t="s">
        <v>88</v>
      </c>
      <c r="O382" s="4" t="s">
        <v>71</v>
      </c>
      <c r="P382" s="4" t="s">
        <v>71</v>
      </c>
      <c r="Q382" s="4"/>
      <c r="R382" s="4" t="s">
        <v>143</v>
      </c>
      <c r="S382" s="4" t="s">
        <v>71</v>
      </c>
      <c r="T382" s="4" t="s">
        <v>71</v>
      </c>
      <c r="U382" s="4" t="str">
        <f t="shared" si="5"/>
        <v>NO</v>
      </c>
    </row>
    <row r="383" spans="1:21" ht="42" customHeight="1">
      <c r="A383" s="4" t="s">
        <v>1639</v>
      </c>
      <c r="B383" s="4" t="s">
        <v>771</v>
      </c>
      <c r="C383" s="4" t="s">
        <v>186</v>
      </c>
      <c r="D383" s="4" t="s">
        <v>771</v>
      </c>
      <c r="E383" s="4" t="s">
        <v>186</v>
      </c>
      <c r="F383" s="4" t="s">
        <v>1009</v>
      </c>
      <c r="G383" s="4" t="s">
        <v>1640</v>
      </c>
      <c r="H383" s="4" t="s">
        <v>1018</v>
      </c>
      <c r="I383" s="4"/>
      <c r="J383" s="4" t="s">
        <v>1018</v>
      </c>
      <c r="K383" s="4" t="s">
        <v>69</v>
      </c>
      <c r="L383" s="4" t="s">
        <v>55</v>
      </c>
      <c r="M383" s="4" t="s">
        <v>1012</v>
      </c>
      <c r="N383" s="4" t="s">
        <v>69</v>
      </c>
      <c r="O383" s="4" t="s">
        <v>71</v>
      </c>
      <c r="P383" s="4" t="s">
        <v>71</v>
      </c>
      <c r="Q383" s="4"/>
      <c r="R383" s="4" t="s">
        <v>143</v>
      </c>
      <c r="S383" s="4" t="s">
        <v>71</v>
      </c>
      <c r="T383" s="4" t="s">
        <v>71</v>
      </c>
      <c r="U383" s="4" t="str">
        <f t="shared" si="5"/>
        <v>NO</v>
      </c>
    </row>
    <row r="384" spans="1:21" ht="42" customHeight="1">
      <c r="A384" s="4" t="s">
        <v>1641</v>
      </c>
      <c r="B384" s="4" t="s">
        <v>774</v>
      </c>
      <c r="C384" s="4" t="s">
        <v>647</v>
      </c>
      <c r="D384" s="4" t="s">
        <v>774</v>
      </c>
      <c r="E384" s="4" t="s">
        <v>647</v>
      </c>
      <c r="F384" s="4" t="s">
        <v>1009</v>
      </c>
      <c r="G384" s="4" t="s">
        <v>1642</v>
      </c>
      <c r="H384" s="4" t="s">
        <v>1018</v>
      </c>
      <c r="I384" s="4"/>
      <c r="J384" s="4" t="s">
        <v>1018</v>
      </c>
      <c r="K384" s="4" t="s">
        <v>75</v>
      </c>
      <c r="L384" s="4" t="s">
        <v>83</v>
      </c>
      <c r="M384" s="4" t="s">
        <v>1012</v>
      </c>
      <c r="N384" s="4" t="s">
        <v>83</v>
      </c>
      <c r="O384" s="4" t="s">
        <v>71</v>
      </c>
      <c r="P384" s="4" t="s">
        <v>71</v>
      </c>
      <c r="Q384" s="4"/>
      <c r="R384" s="4" t="s">
        <v>143</v>
      </c>
      <c r="S384" s="4" t="s">
        <v>71</v>
      </c>
      <c r="T384" s="4" t="s">
        <v>71</v>
      </c>
      <c r="U384" s="4" t="str">
        <f t="shared" si="5"/>
        <v>NO</v>
      </c>
    </row>
    <row r="385" spans="1:21" ht="42" customHeight="1">
      <c r="A385" s="4" t="s">
        <v>1643</v>
      </c>
      <c r="B385" s="4" t="s">
        <v>774</v>
      </c>
      <c r="C385" s="4" t="s">
        <v>620</v>
      </c>
      <c r="D385" s="4" t="s">
        <v>774</v>
      </c>
      <c r="E385" s="4" t="s">
        <v>620</v>
      </c>
      <c r="F385" s="4" t="s">
        <v>1009</v>
      </c>
      <c r="G385" s="4" t="s">
        <v>1644</v>
      </c>
      <c r="H385" s="4" t="s">
        <v>1011</v>
      </c>
      <c r="I385" s="4"/>
      <c r="J385" s="4" t="s">
        <v>1011</v>
      </c>
      <c r="K385" s="4" t="s">
        <v>75</v>
      </c>
      <c r="L385" s="4" t="s">
        <v>83</v>
      </c>
      <c r="M385" s="4" t="s">
        <v>1012</v>
      </c>
      <c r="N385" s="4" t="s">
        <v>83</v>
      </c>
      <c r="O385" s="4" t="s">
        <v>71</v>
      </c>
      <c r="P385" s="4" t="s">
        <v>71</v>
      </c>
      <c r="Q385" s="4"/>
      <c r="R385" s="4" t="s">
        <v>143</v>
      </c>
      <c r="S385" s="4" t="s">
        <v>71</v>
      </c>
      <c r="T385" s="4" t="s">
        <v>71</v>
      </c>
      <c r="U385" s="4" t="str">
        <f t="shared" si="5"/>
        <v>NO</v>
      </c>
    </row>
    <row r="386" spans="1:21" ht="42" customHeight="1">
      <c r="A386" s="4" t="s">
        <v>1645</v>
      </c>
      <c r="B386" s="4" t="s">
        <v>777</v>
      </c>
      <c r="C386" s="4" t="s">
        <v>472</v>
      </c>
      <c r="D386" s="4" t="s">
        <v>777</v>
      </c>
      <c r="E386" s="4" t="s">
        <v>472</v>
      </c>
      <c r="F386" s="4" t="s">
        <v>1009</v>
      </c>
      <c r="G386" s="4" t="s">
        <v>1646</v>
      </c>
      <c r="H386" s="4" t="s">
        <v>1018</v>
      </c>
      <c r="I386" s="4"/>
      <c r="J386" s="4" t="s">
        <v>1018</v>
      </c>
      <c r="K386" s="4" t="s">
        <v>90</v>
      </c>
      <c r="L386" s="4" t="s">
        <v>90</v>
      </c>
      <c r="M386" s="4" t="s">
        <v>1021</v>
      </c>
      <c r="N386" s="4" t="s">
        <v>90</v>
      </c>
      <c r="O386" s="4" t="s">
        <v>71</v>
      </c>
      <c r="P386" s="4" t="s">
        <v>71</v>
      </c>
      <c r="Q386" s="4"/>
      <c r="R386" s="4" t="s">
        <v>143</v>
      </c>
      <c r="S386" s="4" t="s">
        <v>71</v>
      </c>
      <c r="T386" s="4" t="s">
        <v>71</v>
      </c>
      <c r="U386" s="4" t="str">
        <f t="shared" si="5"/>
        <v>NO</v>
      </c>
    </row>
    <row r="387" spans="1:21" ht="42" customHeight="1">
      <c r="A387" s="4" t="s">
        <v>1647</v>
      </c>
      <c r="B387" s="4" t="s">
        <v>777</v>
      </c>
      <c r="C387" s="4" t="s">
        <v>358</v>
      </c>
      <c r="D387" s="4" t="s">
        <v>777</v>
      </c>
      <c r="E387" s="4" t="s">
        <v>358</v>
      </c>
      <c r="F387" s="4" t="s">
        <v>1009</v>
      </c>
      <c r="G387" s="4" t="s">
        <v>1648</v>
      </c>
      <c r="H387" s="4" t="s">
        <v>1018</v>
      </c>
      <c r="I387" s="4"/>
      <c r="J387" s="4" t="s">
        <v>1018</v>
      </c>
      <c r="K387" s="4" t="s">
        <v>90</v>
      </c>
      <c r="L387" s="4" t="s">
        <v>90</v>
      </c>
      <c r="M387" s="4" t="s">
        <v>1021</v>
      </c>
      <c r="N387" s="4" t="s">
        <v>90</v>
      </c>
      <c r="O387" s="4" t="s">
        <v>71</v>
      </c>
      <c r="P387" s="4" t="s">
        <v>71</v>
      </c>
      <c r="Q387" s="4"/>
      <c r="R387" s="4" t="s">
        <v>143</v>
      </c>
      <c r="S387" s="4" t="s">
        <v>71</v>
      </c>
      <c r="T387" s="4" t="s">
        <v>71</v>
      </c>
      <c r="U387" s="4" t="str">
        <f t="shared" si="5"/>
        <v>NO</v>
      </c>
    </row>
    <row r="388" spans="1:21" ht="42" customHeight="1">
      <c r="A388" s="4" t="s">
        <v>1649</v>
      </c>
      <c r="B388" s="4" t="s">
        <v>777</v>
      </c>
      <c r="C388" s="4" t="s">
        <v>360</v>
      </c>
      <c r="D388" s="4" t="s">
        <v>777</v>
      </c>
      <c r="E388" s="4" t="s">
        <v>360</v>
      </c>
      <c r="F388" s="4" t="s">
        <v>1009</v>
      </c>
      <c r="G388" s="4" t="s">
        <v>1650</v>
      </c>
      <c r="H388" s="4" t="s">
        <v>1011</v>
      </c>
      <c r="I388" s="4"/>
      <c r="J388" s="4" t="s">
        <v>1011</v>
      </c>
      <c r="K388" s="4" t="s">
        <v>90</v>
      </c>
      <c r="L388" s="4" t="s">
        <v>90</v>
      </c>
      <c r="M388" s="4" t="s">
        <v>1021</v>
      </c>
      <c r="N388" s="4" t="s">
        <v>90</v>
      </c>
      <c r="O388" s="4" t="s">
        <v>71</v>
      </c>
      <c r="P388" s="4" t="s">
        <v>71</v>
      </c>
      <c r="Q388" s="4"/>
      <c r="R388" s="4" t="s">
        <v>143</v>
      </c>
      <c r="S388" s="4" t="s">
        <v>71</v>
      </c>
      <c r="T388" s="4" t="s">
        <v>71</v>
      </c>
      <c r="U388" s="4" t="str">
        <f t="shared" si="5"/>
        <v>NO</v>
      </c>
    </row>
    <row r="389" spans="1:21" ht="42" customHeight="1">
      <c r="A389" s="4" t="s">
        <v>1651</v>
      </c>
      <c r="B389" s="4" t="s">
        <v>780</v>
      </c>
      <c r="C389" s="4" t="s">
        <v>261</v>
      </c>
      <c r="D389" s="4" t="s">
        <v>780</v>
      </c>
      <c r="E389" s="4" t="s">
        <v>261</v>
      </c>
      <c r="F389" s="4" t="s">
        <v>1009</v>
      </c>
      <c r="G389" s="4" t="s">
        <v>1652</v>
      </c>
      <c r="H389" s="4" t="s">
        <v>1018</v>
      </c>
      <c r="I389" s="4"/>
      <c r="J389" s="4" t="s">
        <v>1018</v>
      </c>
      <c r="K389" s="4" t="s">
        <v>90</v>
      </c>
      <c r="L389" s="4" t="s">
        <v>77</v>
      </c>
      <c r="M389" s="4" t="s">
        <v>1012</v>
      </c>
      <c r="N389" s="4" t="s">
        <v>90</v>
      </c>
      <c r="O389" s="4" t="s">
        <v>71</v>
      </c>
      <c r="P389" s="4" t="s">
        <v>71</v>
      </c>
      <c r="Q389" s="4"/>
      <c r="R389" s="4" t="s">
        <v>143</v>
      </c>
      <c r="S389" s="4" t="s">
        <v>71</v>
      </c>
      <c r="T389" s="4" t="s">
        <v>71</v>
      </c>
      <c r="U389" s="4" t="str">
        <f t="shared" ref="U389:U452" si="6">IF(AND(R389="revisada",S389="pasa",T389="aprobada",O389&lt;&gt;"pendiente",P389&lt;&gt;"pendiente",OR(J389="por_corroborar",AND(J389="corroborada",Q389&lt;&gt;""))),"SÍ","NO")</f>
        <v>NO</v>
      </c>
    </row>
    <row r="390" spans="1:21" ht="42" customHeight="1">
      <c r="A390" s="4" t="s">
        <v>1653</v>
      </c>
      <c r="B390" s="4" t="s">
        <v>780</v>
      </c>
      <c r="C390" s="4" t="s">
        <v>555</v>
      </c>
      <c r="D390" s="4" t="s">
        <v>780</v>
      </c>
      <c r="E390" s="4" t="s">
        <v>555</v>
      </c>
      <c r="F390" s="4" t="s">
        <v>1009</v>
      </c>
      <c r="G390" s="4" t="s">
        <v>1654</v>
      </c>
      <c r="H390" s="4" t="s">
        <v>1011</v>
      </c>
      <c r="I390" s="4"/>
      <c r="J390" s="4" t="s">
        <v>1011</v>
      </c>
      <c r="K390" s="4" t="s">
        <v>90</v>
      </c>
      <c r="L390" s="4" t="s">
        <v>75</v>
      </c>
      <c r="M390" s="4" t="s">
        <v>1012</v>
      </c>
      <c r="N390" s="4" t="s">
        <v>90</v>
      </c>
      <c r="O390" s="4" t="s">
        <v>71</v>
      </c>
      <c r="P390" s="4" t="s">
        <v>71</v>
      </c>
      <c r="Q390" s="4"/>
      <c r="R390" s="4" t="s">
        <v>143</v>
      </c>
      <c r="S390" s="4" t="s">
        <v>71</v>
      </c>
      <c r="T390" s="4" t="s">
        <v>71</v>
      </c>
      <c r="U390" s="4" t="str">
        <f t="shared" si="6"/>
        <v>NO</v>
      </c>
    </row>
    <row r="391" spans="1:21" ht="42" customHeight="1">
      <c r="A391" s="4" t="s">
        <v>1655</v>
      </c>
      <c r="B391" s="4" t="s">
        <v>783</v>
      </c>
      <c r="C391" s="4" t="s">
        <v>645</v>
      </c>
      <c r="D391" s="4" t="s">
        <v>783</v>
      </c>
      <c r="E391" s="4" t="s">
        <v>645</v>
      </c>
      <c r="F391" s="4" t="s">
        <v>1009</v>
      </c>
      <c r="G391" s="4" t="s">
        <v>1656</v>
      </c>
      <c r="H391" s="4" t="s">
        <v>1011</v>
      </c>
      <c r="I391" s="4"/>
      <c r="J391" s="4" t="s">
        <v>1011</v>
      </c>
      <c r="K391" s="4" t="s">
        <v>69</v>
      </c>
      <c r="L391" s="4" t="s">
        <v>69</v>
      </c>
      <c r="M391" s="4" t="s">
        <v>1021</v>
      </c>
      <c r="N391" s="4" t="s">
        <v>69</v>
      </c>
      <c r="O391" s="4" t="s">
        <v>71</v>
      </c>
      <c r="P391" s="4" t="s">
        <v>71</v>
      </c>
      <c r="Q391" s="4"/>
      <c r="R391" s="4" t="s">
        <v>143</v>
      </c>
      <c r="S391" s="4" t="s">
        <v>71</v>
      </c>
      <c r="T391" s="4" t="s">
        <v>71</v>
      </c>
      <c r="U391" s="4" t="str">
        <f t="shared" si="6"/>
        <v>NO</v>
      </c>
    </row>
    <row r="392" spans="1:21" ht="42" customHeight="1">
      <c r="A392" s="4" t="s">
        <v>1657</v>
      </c>
      <c r="B392" s="4" t="s">
        <v>787</v>
      </c>
      <c r="C392" s="4" t="s">
        <v>461</v>
      </c>
      <c r="D392" s="4" t="s">
        <v>787</v>
      </c>
      <c r="E392" s="4" t="s">
        <v>461</v>
      </c>
      <c r="F392" s="4" t="s">
        <v>1009</v>
      </c>
      <c r="G392" s="4" t="s">
        <v>1658</v>
      </c>
      <c r="H392" s="4" t="s">
        <v>1018</v>
      </c>
      <c r="I392" s="4"/>
      <c r="J392" s="4" t="s">
        <v>1018</v>
      </c>
      <c r="K392" s="4" t="s">
        <v>61</v>
      </c>
      <c r="L392" s="4" t="s">
        <v>92</v>
      </c>
      <c r="M392" s="4" t="s">
        <v>1012</v>
      </c>
      <c r="N392" s="4" t="s">
        <v>92</v>
      </c>
      <c r="O392" s="4" t="s">
        <v>71</v>
      </c>
      <c r="P392" s="4" t="s">
        <v>71</v>
      </c>
      <c r="Q392" s="4"/>
      <c r="R392" s="4" t="s">
        <v>143</v>
      </c>
      <c r="S392" s="4" t="s">
        <v>71</v>
      </c>
      <c r="T392" s="4" t="s">
        <v>71</v>
      </c>
      <c r="U392" s="4" t="str">
        <f t="shared" si="6"/>
        <v>NO</v>
      </c>
    </row>
    <row r="393" spans="1:21" ht="42" customHeight="1">
      <c r="A393" s="4" t="s">
        <v>1659</v>
      </c>
      <c r="B393" s="4" t="s">
        <v>787</v>
      </c>
      <c r="C393" s="4" t="s">
        <v>161</v>
      </c>
      <c r="D393" s="4" t="s">
        <v>787</v>
      </c>
      <c r="E393" s="4" t="s">
        <v>161</v>
      </c>
      <c r="F393" s="4" t="s">
        <v>1009</v>
      </c>
      <c r="G393" s="4" t="s">
        <v>1660</v>
      </c>
      <c r="H393" s="4" t="s">
        <v>1018</v>
      </c>
      <c r="I393" s="4"/>
      <c r="J393" s="4" t="s">
        <v>1018</v>
      </c>
      <c r="K393" s="4" t="s">
        <v>61</v>
      </c>
      <c r="L393" s="4" t="s">
        <v>72</v>
      </c>
      <c r="M393" s="4" t="s">
        <v>1012</v>
      </c>
      <c r="N393" s="4" t="s">
        <v>72</v>
      </c>
      <c r="O393" s="4" t="s">
        <v>71</v>
      </c>
      <c r="P393" s="4" t="s">
        <v>71</v>
      </c>
      <c r="Q393" s="4"/>
      <c r="R393" s="4" t="s">
        <v>143</v>
      </c>
      <c r="S393" s="4" t="s">
        <v>71</v>
      </c>
      <c r="T393" s="4" t="s">
        <v>71</v>
      </c>
      <c r="U393" s="4" t="str">
        <f t="shared" si="6"/>
        <v>NO</v>
      </c>
    </row>
    <row r="394" spans="1:21" ht="42" customHeight="1">
      <c r="A394" s="4" t="s">
        <v>1661</v>
      </c>
      <c r="B394" s="4" t="s">
        <v>790</v>
      </c>
      <c r="C394" s="4" t="s">
        <v>489</v>
      </c>
      <c r="D394" s="4" t="s">
        <v>790</v>
      </c>
      <c r="E394" s="4" t="s">
        <v>489</v>
      </c>
      <c r="F394" s="4" t="s">
        <v>1009</v>
      </c>
      <c r="G394" s="4" t="s">
        <v>1662</v>
      </c>
      <c r="H394" s="4" t="s">
        <v>1018</v>
      </c>
      <c r="I394" s="4"/>
      <c r="J394" s="4" t="s">
        <v>1018</v>
      </c>
      <c r="K394" s="4" t="s">
        <v>88</v>
      </c>
      <c r="L394" s="4" t="s">
        <v>83</v>
      </c>
      <c r="M394" s="4" t="s">
        <v>1012</v>
      </c>
      <c r="N394" s="4" t="s">
        <v>88</v>
      </c>
      <c r="O394" s="4" t="s">
        <v>71</v>
      </c>
      <c r="P394" s="4" t="s">
        <v>71</v>
      </c>
      <c r="Q394" s="4"/>
      <c r="R394" s="4" t="s">
        <v>143</v>
      </c>
      <c r="S394" s="4" t="s">
        <v>71</v>
      </c>
      <c r="T394" s="4" t="s">
        <v>71</v>
      </c>
      <c r="U394" s="4" t="str">
        <f t="shared" si="6"/>
        <v>NO</v>
      </c>
    </row>
    <row r="395" spans="1:21" ht="42" customHeight="1">
      <c r="A395" s="4" t="s">
        <v>1663</v>
      </c>
      <c r="B395" s="4" t="s">
        <v>793</v>
      </c>
      <c r="C395" s="4" t="s">
        <v>236</v>
      </c>
      <c r="D395" s="4" t="s">
        <v>793</v>
      </c>
      <c r="E395" s="4" t="s">
        <v>236</v>
      </c>
      <c r="F395" s="4" t="s">
        <v>1009</v>
      </c>
      <c r="G395" s="4" t="s">
        <v>1664</v>
      </c>
      <c r="H395" s="4" t="s">
        <v>1018</v>
      </c>
      <c r="I395" s="4"/>
      <c r="J395" s="4" t="s">
        <v>1018</v>
      </c>
      <c r="K395" s="4" t="s">
        <v>79</v>
      </c>
      <c r="L395" s="4" t="s">
        <v>81</v>
      </c>
      <c r="M395" s="4" t="s">
        <v>1012</v>
      </c>
      <c r="N395" s="4" t="s">
        <v>81</v>
      </c>
      <c r="O395" s="4" t="s">
        <v>71</v>
      </c>
      <c r="P395" s="4" t="s">
        <v>71</v>
      </c>
      <c r="Q395" s="4"/>
      <c r="R395" s="4" t="s">
        <v>143</v>
      </c>
      <c r="S395" s="4" t="s">
        <v>71</v>
      </c>
      <c r="T395" s="4" t="s">
        <v>71</v>
      </c>
      <c r="U395" s="4" t="str">
        <f t="shared" si="6"/>
        <v>NO</v>
      </c>
    </row>
    <row r="396" spans="1:21" ht="42" customHeight="1">
      <c r="A396" s="4" t="s">
        <v>1665</v>
      </c>
      <c r="B396" s="4" t="s">
        <v>793</v>
      </c>
      <c r="C396" s="4" t="s">
        <v>179</v>
      </c>
      <c r="D396" s="4" t="s">
        <v>793</v>
      </c>
      <c r="E396" s="4" t="s">
        <v>179</v>
      </c>
      <c r="F396" s="4" t="s">
        <v>1009</v>
      </c>
      <c r="G396" s="4" t="s">
        <v>1666</v>
      </c>
      <c r="H396" s="4" t="s">
        <v>1011</v>
      </c>
      <c r="I396" s="4"/>
      <c r="J396" s="4" t="s">
        <v>1011</v>
      </c>
      <c r="K396" s="4" t="s">
        <v>79</v>
      </c>
      <c r="L396" s="4" t="s">
        <v>55</v>
      </c>
      <c r="M396" s="4" t="s">
        <v>1012</v>
      </c>
      <c r="N396" s="4" t="s">
        <v>79</v>
      </c>
      <c r="O396" s="4" t="s">
        <v>71</v>
      </c>
      <c r="P396" s="4" t="s">
        <v>71</v>
      </c>
      <c r="Q396" s="4"/>
      <c r="R396" s="4" t="s">
        <v>143</v>
      </c>
      <c r="S396" s="4" t="s">
        <v>71</v>
      </c>
      <c r="T396" s="4" t="s">
        <v>71</v>
      </c>
      <c r="U396" s="4" t="str">
        <f t="shared" si="6"/>
        <v>NO</v>
      </c>
    </row>
    <row r="397" spans="1:21" ht="42" customHeight="1">
      <c r="A397" s="4" t="s">
        <v>1667</v>
      </c>
      <c r="B397" s="4" t="s">
        <v>796</v>
      </c>
      <c r="C397" s="4" t="s">
        <v>302</v>
      </c>
      <c r="D397" s="4" t="s">
        <v>796</v>
      </c>
      <c r="E397" s="4" t="s">
        <v>302</v>
      </c>
      <c r="F397" s="4" t="s">
        <v>1009</v>
      </c>
      <c r="G397" s="4" t="s">
        <v>1668</v>
      </c>
      <c r="H397" s="4" t="s">
        <v>1018</v>
      </c>
      <c r="I397" s="4"/>
      <c r="J397" s="4" t="s">
        <v>1018</v>
      </c>
      <c r="K397" s="4" t="s">
        <v>79</v>
      </c>
      <c r="L397" s="4" t="s">
        <v>81</v>
      </c>
      <c r="M397" s="4" t="s">
        <v>1012</v>
      </c>
      <c r="N397" s="4" t="s">
        <v>81</v>
      </c>
      <c r="O397" s="4" t="s">
        <v>71</v>
      </c>
      <c r="P397" s="4" t="s">
        <v>71</v>
      </c>
      <c r="Q397" s="4"/>
      <c r="R397" s="4" t="s">
        <v>143</v>
      </c>
      <c r="S397" s="4" t="s">
        <v>71</v>
      </c>
      <c r="T397" s="4" t="s">
        <v>71</v>
      </c>
      <c r="U397" s="4" t="str">
        <f t="shared" si="6"/>
        <v>NO</v>
      </c>
    </row>
    <row r="398" spans="1:21" ht="42" customHeight="1">
      <c r="A398" s="4" t="s">
        <v>1669</v>
      </c>
      <c r="B398" s="4" t="s">
        <v>796</v>
      </c>
      <c r="C398" s="4" t="s">
        <v>179</v>
      </c>
      <c r="D398" s="4" t="s">
        <v>796</v>
      </c>
      <c r="E398" s="4" t="s">
        <v>179</v>
      </c>
      <c r="F398" s="4" t="s">
        <v>1009</v>
      </c>
      <c r="G398" s="4" t="s">
        <v>1670</v>
      </c>
      <c r="H398" s="4" t="s">
        <v>1011</v>
      </c>
      <c r="I398" s="4"/>
      <c r="J398" s="4" t="s">
        <v>1011</v>
      </c>
      <c r="K398" s="4" t="s">
        <v>79</v>
      </c>
      <c r="L398" s="4" t="s">
        <v>55</v>
      </c>
      <c r="M398" s="4" t="s">
        <v>1012</v>
      </c>
      <c r="N398" s="4" t="s">
        <v>79</v>
      </c>
      <c r="O398" s="4" t="s">
        <v>71</v>
      </c>
      <c r="P398" s="4" t="s">
        <v>71</v>
      </c>
      <c r="Q398" s="4"/>
      <c r="R398" s="4" t="s">
        <v>143</v>
      </c>
      <c r="S398" s="4" t="s">
        <v>71</v>
      </c>
      <c r="T398" s="4" t="s">
        <v>71</v>
      </c>
      <c r="U398" s="4" t="str">
        <f t="shared" si="6"/>
        <v>NO</v>
      </c>
    </row>
    <row r="399" spans="1:21" ht="42" customHeight="1">
      <c r="A399" s="4" t="s">
        <v>1671</v>
      </c>
      <c r="B399" s="4" t="s">
        <v>799</v>
      </c>
      <c r="C399" s="4" t="s">
        <v>747</v>
      </c>
      <c r="D399" s="4" t="s">
        <v>799</v>
      </c>
      <c r="E399" s="4" t="s">
        <v>747</v>
      </c>
      <c r="F399" s="4" t="s">
        <v>1009</v>
      </c>
      <c r="G399" s="4" t="s">
        <v>1672</v>
      </c>
      <c r="H399" s="4" t="s">
        <v>1018</v>
      </c>
      <c r="I399" s="4"/>
      <c r="J399" s="4" t="s">
        <v>1018</v>
      </c>
      <c r="K399" s="4" t="s">
        <v>79</v>
      </c>
      <c r="L399" s="4" t="s">
        <v>90</v>
      </c>
      <c r="M399" s="4" t="s">
        <v>1012</v>
      </c>
      <c r="N399" s="4" t="s">
        <v>90</v>
      </c>
      <c r="O399" s="4" t="s">
        <v>71</v>
      </c>
      <c r="P399" s="4" t="s">
        <v>71</v>
      </c>
      <c r="Q399" s="4"/>
      <c r="R399" s="4" t="s">
        <v>143</v>
      </c>
      <c r="S399" s="4" t="s">
        <v>71</v>
      </c>
      <c r="T399" s="4" t="s">
        <v>71</v>
      </c>
      <c r="U399" s="4" t="str">
        <f t="shared" si="6"/>
        <v>NO</v>
      </c>
    </row>
    <row r="400" spans="1:21" ht="42" customHeight="1">
      <c r="A400" s="4" t="s">
        <v>1673</v>
      </c>
      <c r="B400" s="4" t="s">
        <v>799</v>
      </c>
      <c r="C400" s="4" t="s">
        <v>741</v>
      </c>
      <c r="D400" s="4" t="s">
        <v>799</v>
      </c>
      <c r="E400" s="4" t="s">
        <v>741</v>
      </c>
      <c r="F400" s="4" t="s">
        <v>1009</v>
      </c>
      <c r="G400" s="4" t="s">
        <v>1674</v>
      </c>
      <c r="H400" s="4" t="s">
        <v>1018</v>
      </c>
      <c r="I400" s="4"/>
      <c r="J400" s="4" t="s">
        <v>1018</v>
      </c>
      <c r="K400" s="4" t="s">
        <v>79</v>
      </c>
      <c r="L400" s="4" t="s">
        <v>69</v>
      </c>
      <c r="M400" s="4" t="s">
        <v>1012</v>
      </c>
      <c r="N400" s="4" t="s">
        <v>79</v>
      </c>
      <c r="O400" s="4" t="s">
        <v>71</v>
      </c>
      <c r="P400" s="4" t="s">
        <v>71</v>
      </c>
      <c r="Q400" s="4"/>
      <c r="R400" s="4" t="s">
        <v>143</v>
      </c>
      <c r="S400" s="4" t="s">
        <v>71</v>
      </c>
      <c r="T400" s="4" t="s">
        <v>71</v>
      </c>
      <c r="U400" s="4" t="str">
        <f t="shared" si="6"/>
        <v>NO</v>
      </c>
    </row>
    <row r="401" spans="1:21" ht="42" customHeight="1">
      <c r="A401" s="4" t="s">
        <v>1675</v>
      </c>
      <c r="B401" s="4" t="s">
        <v>799</v>
      </c>
      <c r="C401" s="4" t="s">
        <v>171</v>
      </c>
      <c r="D401" s="4" t="s">
        <v>799</v>
      </c>
      <c r="E401" s="4" t="s">
        <v>171</v>
      </c>
      <c r="F401" s="4" t="s">
        <v>1009</v>
      </c>
      <c r="G401" s="4" t="s">
        <v>1676</v>
      </c>
      <c r="H401" s="4" t="s">
        <v>1011</v>
      </c>
      <c r="I401" s="4"/>
      <c r="J401" s="4" t="s">
        <v>1011</v>
      </c>
      <c r="K401" s="4" t="s">
        <v>79</v>
      </c>
      <c r="L401" s="4" t="s">
        <v>48</v>
      </c>
      <c r="M401" s="4" t="s">
        <v>1012</v>
      </c>
      <c r="N401" s="4" t="s">
        <v>79</v>
      </c>
      <c r="O401" s="4" t="s">
        <v>71</v>
      </c>
      <c r="P401" s="4" t="s">
        <v>71</v>
      </c>
      <c r="Q401" s="4"/>
      <c r="R401" s="4" t="s">
        <v>143</v>
      </c>
      <c r="S401" s="4" t="s">
        <v>71</v>
      </c>
      <c r="T401" s="4" t="s">
        <v>71</v>
      </c>
      <c r="U401" s="4" t="str">
        <f t="shared" si="6"/>
        <v>NO</v>
      </c>
    </row>
    <row r="402" spans="1:21" ht="42" customHeight="1">
      <c r="A402" s="4" t="s">
        <v>1677</v>
      </c>
      <c r="B402" s="4" t="s">
        <v>802</v>
      </c>
      <c r="C402" s="4" t="s">
        <v>469</v>
      </c>
      <c r="D402" s="4" t="s">
        <v>802</v>
      </c>
      <c r="E402" s="4" t="s">
        <v>469</v>
      </c>
      <c r="F402" s="4" t="s">
        <v>1009</v>
      </c>
      <c r="G402" s="4" t="s">
        <v>1678</v>
      </c>
      <c r="H402" s="4" t="s">
        <v>1018</v>
      </c>
      <c r="I402" s="4"/>
      <c r="J402" s="4" t="s">
        <v>1018</v>
      </c>
      <c r="K402" s="4" t="s">
        <v>88</v>
      </c>
      <c r="L402" s="4" t="s">
        <v>83</v>
      </c>
      <c r="M402" s="4" t="s">
        <v>1012</v>
      </c>
      <c r="N402" s="4" t="s">
        <v>88</v>
      </c>
      <c r="O402" s="4" t="s">
        <v>71</v>
      </c>
      <c r="P402" s="4" t="s">
        <v>71</v>
      </c>
      <c r="Q402" s="4"/>
      <c r="R402" s="4" t="s">
        <v>143</v>
      </c>
      <c r="S402" s="4" t="s">
        <v>71</v>
      </c>
      <c r="T402" s="4" t="s">
        <v>71</v>
      </c>
      <c r="U402" s="4" t="str">
        <f t="shared" si="6"/>
        <v>NO</v>
      </c>
    </row>
    <row r="403" spans="1:21" ht="42" customHeight="1">
      <c r="A403" s="4" t="s">
        <v>1679</v>
      </c>
      <c r="B403" s="4" t="s">
        <v>802</v>
      </c>
      <c r="C403" s="4" t="s">
        <v>472</v>
      </c>
      <c r="D403" s="4" t="s">
        <v>802</v>
      </c>
      <c r="E403" s="4" t="s">
        <v>472</v>
      </c>
      <c r="F403" s="4" t="s">
        <v>1009</v>
      </c>
      <c r="G403" s="4" t="s">
        <v>1680</v>
      </c>
      <c r="H403" s="4" t="s">
        <v>1018</v>
      </c>
      <c r="I403" s="4"/>
      <c r="J403" s="4" t="s">
        <v>1018</v>
      </c>
      <c r="K403" s="4" t="s">
        <v>88</v>
      </c>
      <c r="L403" s="4" t="s">
        <v>90</v>
      </c>
      <c r="M403" s="4" t="s">
        <v>1012</v>
      </c>
      <c r="N403" s="4" t="s">
        <v>90</v>
      </c>
      <c r="O403" s="4" t="s">
        <v>71</v>
      </c>
      <c r="P403" s="4" t="s">
        <v>71</v>
      </c>
      <c r="Q403" s="4"/>
      <c r="R403" s="4" t="s">
        <v>143</v>
      </c>
      <c r="S403" s="4" t="s">
        <v>71</v>
      </c>
      <c r="T403" s="4" t="s">
        <v>71</v>
      </c>
      <c r="U403" s="4" t="str">
        <f t="shared" si="6"/>
        <v>NO</v>
      </c>
    </row>
    <row r="404" spans="1:21" ht="42" customHeight="1">
      <c r="A404" s="4" t="s">
        <v>1681</v>
      </c>
      <c r="B404" s="4" t="s">
        <v>805</v>
      </c>
      <c r="C404" s="4" t="s">
        <v>627</v>
      </c>
      <c r="D404" s="4" t="s">
        <v>805</v>
      </c>
      <c r="E404" s="4" t="s">
        <v>627</v>
      </c>
      <c r="F404" s="4" t="s">
        <v>1009</v>
      </c>
      <c r="G404" s="4" t="s">
        <v>1682</v>
      </c>
      <c r="H404" s="4" t="s">
        <v>1011</v>
      </c>
      <c r="I404" s="4"/>
      <c r="J404" s="4" t="s">
        <v>1011</v>
      </c>
      <c r="K404" s="4" t="s">
        <v>83</v>
      </c>
      <c r="L404" s="4" t="s">
        <v>83</v>
      </c>
      <c r="M404" s="4" t="s">
        <v>1021</v>
      </c>
      <c r="N404" s="4" t="s">
        <v>83</v>
      </c>
      <c r="O404" s="4" t="s">
        <v>71</v>
      </c>
      <c r="P404" s="4" t="s">
        <v>71</v>
      </c>
      <c r="Q404" s="4"/>
      <c r="R404" s="4" t="s">
        <v>143</v>
      </c>
      <c r="S404" s="4" t="s">
        <v>71</v>
      </c>
      <c r="T404" s="4" t="s">
        <v>71</v>
      </c>
      <c r="U404" s="4" t="str">
        <f t="shared" si="6"/>
        <v>NO</v>
      </c>
    </row>
    <row r="405" spans="1:21" ht="42" customHeight="1">
      <c r="A405" s="4" t="s">
        <v>1683</v>
      </c>
      <c r="B405" s="4" t="s">
        <v>808</v>
      </c>
      <c r="C405" s="4" t="s">
        <v>469</v>
      </c>
      <c r="D405" s="4" t="s">
        <v>808</v>
      </c>
      <c r="E405" s="4" t="s">
        <v>469</v>
      </c>
      <c r="F405" s="4" t="s">
        <v>1009</v>
      </c>
      <c r="G405" s="4" t="s">
        <v>1684</v>
      </c>
      <c r="H405" s="4" t="s">
        <v>1018</v>
      </c>
      <c r="I405" s="4"/>
      <c r="J405" s="4" t="s">
        <v>1018</v>
      </c>
      <c r="K405" s="4" t="s">
        <v>88</v>
      </c>
      <c r="L405" s="4" t="s">
        <v>83</v>
      </c>
      <c r="M405" s="4" t="s">
        <v>1012</v>
      </c>
      <c r="N405" s="4" t="s">
        <v>88</v>
      </c>
      <c r="O405" s="4" t="s">
        <v>71</v>
      </c>
      <c r="P405" s="4" t="s">
        <v>71</v>
      </c>
      <c r="Q405" s="4"/>
      <c r="R405" s="4" t="s">
        <v>143</v>
      </c>
      <c r="S405" s="4" t="s">
        <v>71</v>
      </c>
      <c r="T405" s="4" t="s">
        <v>71</v>
      </c>
      <c r="U405" s="4" t="str">
        <f t="shared" si="6"/>
        <v>NO</v>
      </c>
    </row>
    <row r="406" spans="1:21" ht="42" customHeight="1">
      <c r="A406" s="4" t="s">
        <v>1685</v>
      </c>
      <c r="B406" s="4" t="s">
        <v>811</v>
      </c>
      <c r="C406" s="4" t="s">
        <v>808</v>
      </c>
      <c r="D406" s="4" t="s">
        <v>811</v>
      </c>
      <c r="E406" s="4" t="s">
        <v>808</v>
      </c>
      <c r="F406" s="4" t="s">
        <v>1009</v>
      </c>
      <c r="G406" s="4" t="s">
        <v>1686</v>
      </c>
      <c r="H406" s="4" t="s">
        <v>1018</v>
      </c>
      <c r="I406" s="4"/>
      <c r="J406" s="4" t="s">
        <v>1018</v>
      </c>
      <c r="K406" s="4" t="s">
        <v>58</v>
      </c>
      <c r="L406" s="4" t="s">
        <v>88</v>
      </c>
      <c r="M406" s="4" t="s">
        <v>1012</v>
      </c>
      <c r="N406" s="4" t="s">
        <v>88</v>
      </c>
      <c r="O406" s="4" t="s">
        <v>71</v>
      </c>
      <c r="P406" s="4" t="s">
        <v>71</v>
      </c>
      <c r="Q406" s="4"/>
      <c r="R406" s="4" t="s">
        <v>143</v>
      </c>
      <c r="S406" s="4" t="s">
        <v>71</v>
      </c>
      <c r="T406" s="4" t="s">
        <v>71</v>
      </c>
      <c r="U406" s="4" t="str">
        <f t="shared" si="6"/>
        <v>NO</v>
      </c>
    </row>
    <row r="407" spans="1:21" ht="42" customHeight="1">
      <c r="A407" s="4" t="s">
        <v>1687</v>
      </c>
      <c r="B407" s="4" t="s">
        <v>811</v>
      </c>
      <c r="C407" s="4" t="s">
        <v>814</v>
      </c>
      <c r="D407" s="4" t="s">
        <v>811</v>
      </c>
      <c r="E407" s="4" t="s">
        <v>814</v>
      </c>
      <c r="F407" s="4" t="s">
        <v>1009</v>
      </c>
      <c r="G407" s="4" t="s">
        <v>1688</v>
      </c>
      <c r="H407" s="4" t="s">
        <v>1018</v>
      </c>
      <c r="I407" s="4"/>
      <c r="J407" s="4" t="s">
        <v>1018</v>
      </c>
      <c r="K407" s="4" t="s">
        <v>58</v>
      </c>
      <c r="L407" s="4" t="s">
        <v>86</v>
      </c>
      <c r="M407" s="4" t="s">
        <v>1012</v>
      </c>
      <c r="N407" s="4" t="s">
        <v>86</v>
      </c>
      <c r="O407" s="4" t="s">
        <v>71</v>
      </c>
      <c r="P407" s="4" t="s">
        <v>71</v>
      </c>
      <c r="Q407" s="4"/>
      <c r="R407" s="4" t="s">
        <v>143</v>
      </c>
      <c r="S407" s="4" t="s">
        <v>71</v>
      </c>
      <c r="T407" s="4" t="s">
        <v>71</v>
      </c>
      <c r="U407" s="4" t="str">
        <f t="shared" si="6"/>
        <v>NO</v>
      </c>
    </row>
    <row r="408" spans="1:21" ht="42" customHeight="1">
      <c r="A408" s="4" t="s">
        <v>1689</v>
      </c>
      <c r="B408" s="4" t="s">
        <v>811</v>
      </c>
      <c r="C408" s="4" t="s">
        <v>774</v>
      </c>
      <c r="D408" s="4" t="s">
        <v>811</v>
      </c>
      <c r="E408" s="4" t="s">
        <v>774</v>
      </c>
      <c r="F408" s="4" t="s">
        <v>1009</v>
      </c>
      <c r="G408" s="4" t="s">
        <v>1690</v>
      </c>
      <c r="H408" s="4" t="s">
        <v>1018</v>
      </c>
      <c r="I408" s="4"/>
      <c r="J408" s="4" t="s">
        <v>1018</v>
      </c>
      <c r="K408" s="4" t="s">
        <v>58</v>
      </c>
      <c r="L408" s="4" t="s">
        <v>75</v>
      </c>
      <c r="M408" s="4" t="s">
        <v>1012</v>
      </c>
      <c r="N408" s="4" t="s">
        <v>75</v>
      </c>
      <c r="O408" s="4" t="s">
        <v>71</v>
      </c>
      <c r="P408" s="4" t="s">
        <v>71</v>
      </c>
      <c r="Q408" s="4"/>
      <c r="R408" s="4" t="s">
        <v>143</v>
      </c>
      <c r="S408" s="4" t="s">
        <v>71</v>
      </c>
      <c r="T408" s="4" t="s">
        <v>71</v>
      </c>
      <c r="U408" s="4" t="str">
        <f t="shared" si="6"/>
        <v>NO</v>
      </c>
    </row>
    <row r="409" spans="1:21" ht="42" customHeight="1">
      <c r="A409" s="4" t="s">
        <v>1691</v>
      </c>
      <c r="B409" s="4" t="s">
        <v>811</v>
      </c>
      <c r="C409" s="4" t="s">
        <v>486</v>
      </c>
      <c r="D409" s="4" t="s">
        <v>811</v>
      </c>
      <c r="E409" s="4" t="s">
        <v>486</v>
      </c>
      <c r="F409" s="4" t="s">
        <v>1009</v>
      </c>
      <c r="G409" s="4" t="s">
        <v>1692</v>
      </c>
      <c r="H409" s="4" t="s">
        <v>1018</v>
      </c>
      <c r="I409" s="4"/>
      <c r="J409" s="4" t="s">
        <v>1018</v>
      </c>
      <c r="K409" s="4" t="s">
        <v>58</v>
      </c>
      <c r="L409" s="4" t="s">
        <v>58</v>
      </c>
      <c r="M409" s="4" t="s">
        <v>1021</v>
      </c>
      <c r="N409" s="4" t="s">
        <v>58</v>
      </c>
      <c r="O409" s="4" t="s">
        <v>71</v>
      </c>
      <c r="P409" s="4" t="s">
        <v>71</v>
      </c>
      <c r="Q409" s="4"/>
      <c r="R409" s="4" t="s">
        <v>143</v>
      </c>
      <c r="S409" s="4" t="s">
        <v>71</v>
      </c>
      <c r="T409" s="4" t="s">
        <v>71</v>
      </c>
      <c r="U409" s="4" t="str">
        <f t="shared" si="6"/>
        <v>NO</v>
      </c>
    </row>
    <row r="410" spans="1:21" ht="42" customHeight="1">
      <c r="A410" s="4" t="s">
        <v>1693</v>
      </c>
      <c r="B410" s="4" t="s">
        <v>814</v>
      </c>
      <c r="C410" s="4" t="s">
        <v>808</v>
      </c>
      <c r="D410" s="4" t="s">
        <v>814</v>
      </c>
      <c r="E410" s="4" t="s">
        <v>808</v>
      </c>
      <c r="F410" s="4" t="s">
        <v>1009</v>
      </c>
      <c r="G410" s="4" t="s">
        <v>1694</v>
      </c>
      <c r="H410" s="4" t="s">
        <v>1018</v>
      </c>
      <c r="I410" s="4"/>
      <c r="J410" s="4" t="s">
        <v>1018</v>
      </c>
      <c r="K410" s="4" t="s">
        <v>86</v>
      </c>
      <c r="L410" s="4" t="s">
        <v>88</v>
      </c>
      <c r="M410" s="4" t="s">
        <v>1012</v>
      </c>
      <c r="N410" s="4" t="s">
        <v>88</v>
      </c>
      <c r="O410" s="4" t="s">
        <v>71</v>
      </c>
      <c r="P410" s="4" t="s">
        <v>71</v>
      </c>
      <c r="Q410" s="4"/>
      <c r="R410" s="4" t="s">
        <v>143</v>
      </c>
      <c r="S410" s="4" t="s">
        <v>71</v>
      </c>
      <c r="T410" s="4" t="s">
        <v>71</v>
      </c>
      <c r="U410" s="4" t="str">
        <f t="shared" si="6"/>
        <v>NO</v>
      </c>
    </row>
    <row r="411" spans="1:21" ht="42" customHeight="1">
      <c r="A411" s="4" t="s">
        <v>1695</v>
      </c>
      <c r="B411" s="4" t="s">
        <v>817</v>
      </c>
      <c r="C411" s="4" t="s">
        <v>614</v>
      </c>
      <c r="D411" s="4" t="s">
        <v>817</v>
      </c>
      <c r="E411" s="4" t="s">
        <v>614</v>
      </c>
      <c r="F411" s="4" t="s">
        <v>1009</v>
      </c>
      <c r="G411" s="4" t="s">
        <v>1696</v>
      </c>
      <c r="H411" s="4" t="s">
        <v>1018</v>
      </c>
      <c r="I411" s="4"/>
      <c r="J411" s="4" t="s">
        <v>1018</v>
      </c>
      <c r="K411" s="4" t="s">
        <v>86</v>
      </c>
      <c r="L411" s="4" t="s">
        <v>61</v>
      </c>
      <c r="M411" s="4" t="s">
        <v>1012</v>
      </c>
      <c r="N411" s="4" t="s">
        <v>86</v>
      </c>
      <c r="O411" s="4" t="s">
        <v>71</v>
      </c>
      <c r="P411" s="4" t="s">
        <v>71</v>
      </c>
      <c r="Q411" s="4"/>
      <c r="R411" s="4" t="s">
        <v>143</v>
      </c>
      <c r="S411" s="4" t="s">
        <v>71</v>
      </c>
      <c r="T411" s="4" t="s">
        <v>71</v>
      </c>
      <c r="U411" s="4" t="str">
        <f t="shared" si="6"/>
        <v>NO</v>
      </c>
    </row>
    <row r="412" spans="1:21" ht="42" customHeight="1">
      <c r="A412" s="4" t="s">
        <v>1697</v>
      </c>
      <c r="B412" s="4" t="s">
        <v>817</v>
      </c>
      <c r="C412" s="4" t="s">
        <v>751</v>
      </c>
      <c r="D412" s="4" t="s">
        <v>817</v>
      </c>
      <c r="E412" s="4" t="s">
        <v>751</v>
      </c>
      <c r="F412" s="4" t="s">
        <v>1009</v>
      </c>
      <c r="G412" s="4" t="s">
        <v>1698</v>
      </c>
      <c r="H412" s="4" t="s">
        <v>1018</v>
      </c>
      <c r="I412" s="4"/>
      <c r="J412" s="4" t="s">
        <v>1018</v>
      </c>
      <c r="K412" s="4" t="s">
        <v>86</v>
      </c>
      <c r="L412" s="4" t="s">
        <v>69</v>
      </c>
      <c r="M412" s="4" t="s">
        <v>1012</v>
      </c>
      <c r="N412" s="4" t="s">
        <v>86</v>
      </c>
      <c r="O412" s="4" t="s">
        <v>71</v>
      </c>
      <c r="P412" s="4" t="s">
        <v>71</v>
      </c>
      <c r="Q412" s="4"/>
      <c r="R412" s="4" t="s">
        <v>143</v>
      </c>
      <c r="S412" s="4" t="s">
        <v>71</v>
      </c>
      <c r="T412" s="4" t="s">
        <v>71</v>
      </c>
      <c r="U412" s="4" t="str">
        <f t="shared" si="6"/>
        <v>NO</v>
      </c>
    </row>
    <row r="413" spans="1:21" ht="42" customHeight="1">
      <c r="A413" s="4" t="s">
        <v>1699</v>
      </c>
      <c r="B413" s="4" t="s">
        <v>820</v>
      </c>
      <c r="C413" s="4" t="s">
        <v>144</v>
      </c>
      <c r="D413" s="4" t="s">
        <v>820</v>
      </c>
      <c r="E413" s="4" t="s">
        <v>144</v>
      </c>
      <c r="F413" s="4" t="s">
        <v>1009</v>
      </c>
      <c r="G413" s="4" t="s">
        <v>1700</v>
      </c>
      <c r="H413" s="4" t="s">
        <v>1018</v>
      </c>
      <c r="I413" s="4"/>
      <c r="J413" s="4" t="s">
        <v>1018</v>
      </c>
      <c r="K413" s="4" t="s">
        <v>88</v>
      </c>
      <c r="L413" s="4" t="s">
        <v>83</v>
      </c>
      <c r="M413" s="4" t="s">
        <v>1012</v>
      </c>
      <c r="N413" s="4" t="s">
        <v>88</v>
      </c>
      <c r="O413" s="4" t="s">
        <v>71</v>
      </c>
      <c r="P413" s="4" t="s">
        <v>71</v>
      </c>
      <c r="Q413" s="4"/>
      <c r="R413" s="4" t="s">
        <v>143</v>
      </c>
      <c r="S413" s="4" t="s">
        <v>71</v>
      </c>
      <c r="T413" s="4" t="s">
        <v>71</v>
      </c>
      <c r="U413" s="4" t="str">
        <f t="shared" si="6"/>
        <v>NO</v>
      </c>
    </row>
    <row r="414" spans="1:21" ht="42" customHeight="1">
      <c r="A414" s="4" t="s">
        <v>1701</v>
      </c>
      <c r="B414" s="4" t="s">
        <v>820</v>
      </c>
      <c r="C414" s="4" t="s">
        <v>672</v>
      </c>
      <c r="D414" s="4" t="s">
        <v>820</v>
      </c>
      <c r="E414" s="4" t="s">
        <v>672</v>
      </c>
      <c r="F414" s="4" t="s">
        <v>1009</v>
      </c>
      <c r="G414" s="4" t="s">
        <v>1702</v>
      </c>
      <c r="H414" s="4" t="s">
        <v>1018</v>
      </c>
      <c r="I414" s="4"/>
      <c r="J414" s="4" t="s">
        <v>1018</v>
      </c>
      <c r="K414" s="4" t="s">
        <v>88</v>
      </c>
      <c r="L414" s="4" t="s">
        <v>88</v>
      </c>
      <c r="M414" s="4" t="s">
        <v>1021</v>
      </c>
      <c r="N414" s="4" t="s">
        <v>88</v>
      </c>
      <c r="O414" s="4" t="s">
        <v>71</v>
      </c>
      <c r="P414" s="4" t="s">
        <v>71</v>
      </c>
      <c r="Q414" s="4"/>
      <c r="R414" s="4" t="s">
        <v>143</v>
      </c>
      <c r="S414" s="4" t="s">
        <v>71</v>
      </c>
      <c r="T414" s="4" t="s">
        <v>71</v>
      </c>
      <c r="U414" s="4" t="str">
        <f t="shared" si="6"/>
        <v>NO</v>
      </c>
    </row>
    <row r="415" spans="1:21" ht="42" customHeight="1">
      <c r="A415" s="4" t="s">
        <v>1703</v>
      </c>
      <c r="B415" s="4" t="s">
        <v>820</v>
      </c>
      <c r="C415" s="4" t="s">
        <v>585</v>
      </c>
      <c r="D415" s="4" t="s">
        <v>820</v>
      </c>
      <c r="E415" s="4" t="s">
        <v>585</v>
      </c>
      <c r="F415" s="4" t="s">
        <v>1009</v>
      </c>
      <c r="G415" s="4" t="s">
        <v>1704</v>
      </c>
      <c r="H415" s="4" t="s">
        <v>1018</v>
      </c>
      <c r="I415" s="4"/>
      <c r="J415" s="4" t="s">
        <v>1018</v>
      </c>
      <c r="K415" s="4" t="s">
        <v>88</v>
      </c>
      <c r="L415" s="4" t="s">
        <v>69</v>
      </c>
      <c r="M415" s="4" t="s">
        <v>1012</v>
      </c>
      <c r="N415" s="4" t="s">
        <v>88</v>
      </c>
      <c r="O415" s="4" t="s">
        <v>71</v>
      </c>
      <c r="P415" s="4" t="s">
        <v>71</v>
      </c>
      <c r="Q415" s="4"/>
      <c r="R415" s="4" t="s">
        <v>143</v>
      </c>
      <c r="S415" s="4" t="s">
        <v>71</v>
      </c>
      <c r="T415" s="4" t="s">
        <v>71</v>
      </c>
      <c r="U415" s="4" t="str">
        <f t="shared" si="6"/>
        <v>NO</v>
      </c>
    </row>
    <row r="416" spans="1:21" ht="42" customHeight="1">
      <c r="A416" s="4" t="s">
        <v>1705</v>
      </c>
      <c r="B416" s="4" t="s">
        <v>823</v>
      </c>
      <c r="C416" s="4" t="s">
        <v>489</v>
      </c>
      <c r="D416" s="4" t="s">
        <v>823</v>
      </c>
      <c r="E416" s="4" t="s">
        <v>489</v>
      </c>
      <c r="F416" s="4" t="s">
        <v>1009</v>
      </c>
      <c r="G416" s="4" t="s">
        <v>1706</v>
      </c>
      <c r="H416" s="4" t="s">
        <v>1018</v>
      </c>
      <c r="I416" s="4"/>
      <c r="J416" s="4" t="s">
        <v>1018</v>
      </c>
      <c r="K416" s="4" t="s">
        <v>88</v>
      </c>
      <c r="L416" s="4" t="s">
        <v>83</v>
      </c>
      <c r="M416" s="4" t="s">
        <v>1012</v>
      </c>
      <c r="N416" s="4" t="s">
        <v>88</v>
      </c>
      <c r="O416" s="4" t="s">
        <v>71</v>
      </c>
      <c r="P416" s="4" t="s">
        <v>71</v>
      </c>
      <c r="Q416" s="4"/>
      <c r="R416" s="4" t="s">
        <v>143</v>
      </c>
      <c r="S416" s="4" t="s">
        <v>71</v>
      </c>
      <c r="T416" s="4" t="s">
        <v>71</v>
      </c>
      <c r="U416" s="4" t="str">
        <f t="shared" si="6"/>
        <v>NO</v>
      </c>
    </row>
    <row r="417" spans="1:21" ht="42" customHeight="1">
      <c r="A417" s="4" t="s">
        <v>1707</v>
      </c>
      <c r="B417" s="4" t="s">
        <v>823</v>
      </c>
      <c r="C417" s="4" t="s">
        <v>555</v>
      </c>
      <c r="D417" s="4" t="s">
        <v>823</v>
      </c>
      <c r="E417" s="4" t="s">
        <v>555</v>
      </c>
      <c r="F417" s="4" t="s">
        <v>1009</v>
      </c>
      <c r="G417" s="4" t="s">
        <v>1708</v>
      </c>
      <c r="H417" s="4" t="s">
        <v>1018</v>
      </c>
      <c r="I417" s="4"/>
      <c r="J417" s="4" t="s">
        <v>1018</v>
      </c>
      <c r="K417" s="4" t="s">
        <v>88</v>
      </c>
      <c r="L417" s="4" t="s">
        <v>75</v>
      </c>
      <c r="M417" s="4" t="s">
        <v>1012</v>
      </c>
      <c r="N417" s="4" t="s">
        <v>88</v>
      </c>
      <c r="O417" s="4" t="s">
        <v>71</v>
      </c>
      <c r="P417" s="4" t="s">
        <v>71</v>
      </c>
      <c r="Q417" s="4"/>
      <c r="R417" s="4" t="s">
        <v>143</v>
      </c>
      <c r="S417" s="4" t="s">
        <v>71</v>
      </c>
      <c r="T417" s="4" t="s">
        <v>71</v>
      </c>
      <c r="U417" s="4" t="str">
        <f t="shared" si="6"/>
        <v>NO</v>
      </c>
    </row>
    <row r="418" spans="1:21" ht="42" customHeight="1">
      <c r="A418" s="4" t="s">
        <v>1709</v>
      </c>
      <c r="B418" s="4" t="s">
        <v>826</v>
      </c>
      <c r="C418" s="4" t="s">
        <v>478</v>
      </c>
      <c r="D418" s="4" t="s">
        <v>826</v>
      </c>
      <c r="E418" s="4" t="s">
        <v>478</v>
      </c>
      <c r="F418" s="4" t="s">
        <v>1009</v>
      </c>
      <c r="G418" s="4" t="s">
        <v>1710</v>
      </c>
      <c r="H418" s="4" t="s">
        <v>1018</v>
      </c>
      <c r="I418" s="4"/>
      <c r="J418" s="4" t="s">
        <v>1018</v>
      </c>
      <c r="K418" s="4" t="s">
        <v>58</v>
      </c>
      <c r="L418" s="4" t="s">
        <v>58</v>
      </c>
      <c r="M418" s="4" t="s">
        <v>1021</v>
      </c>
      <c r="N418" s="4" t="s">
        <v>58</v>
      </c>
      <c r="O418" s="4" t="s">
        <v>71</v>
      </c>
      <c r="P418" s="4" t="s">
        <v>71</v>
      </c>
      <c r="Q418" s="4"/>
      <c r="R418" s="4" t="s">
        <v>143</v>
      </c>
      <c r="S418" s="4" t="s">
        <v>71</v>
      </c>
      <c r="T418" s="4" t="s">
        <v>71</v>
      </c>
      <c r="U418" s="4" t="str">
        <f t="shared" si="6"/>
        <v>NO</v>
      </c>
    </row>
    <row r="419" spans="1:21" ht="42" customHeight="1">
      <c r="A419" s="4" t="s">
        <v>1711</v>
      </c>
      <c r="B419" s="4" t="s">
        <v>826</v>
      </c>
      <c r="C419" s="4" t="s">
        <v>358</v>
      </c>
      <c r="D419" s="4" t="s">
        <v>826</v>
      </c>
      <c r="E419" s="4" t="s">
        <v>358</v>
      </c>
      <c r="F419" s="4" t="s">
        <v>1009</v>
      </c>
      <c r="G419" s="4" t="s">
        <v>1712</v>
      </c>
      <c r="H419" s="4" t="s">
        <v>1018</v>
      </c>
      <c r="I419" s="4"/>
      <c r="J419" s="4" t="s">
        <v>1018</v>
      </c>
      <c r="K419" s="4" t="s">
        <v>58</v>
      </c>
      <c r="L419" s="4" t="s">
        <v>90</v>
      </c>
      <c r="M419" s="4" t="s">
        <v>1012</v>
      </c>
      <c r="N419" s="4" t="s">
        <v>90</v>
      </c>
      <c r="O419" s="4" t="s">
        <v>71</v>
      </c>
      <c r="P419" s="4" t="s">
        <v>71</v>
      </c>
      <c r="Q419" s="4"/>
      <c r="R419" s="4" t="s">
        <v>143</v>
      </c>
      <c r="S419" s="4" t="s">
        <v>71</v>
      </c>
      <c r="T419" s="4" t="s">
        <v>71</v>
      </c>
      <c r="U419" s="4" t="str">
        <f t="shared" si="6"/>
        <v>NO</v>
      </c>
    </row>
    <row r="420" spans="1:21" ht="42" customHeight="1">
      <c r="A420" s="4" t="s">
        <v>1713</v>
      </c>
      <c r="B420" s="4" t="s">
        <v>826</v>
      </c>
      <c r="C420" s="4" t="s">
        <v>864</v>
      </c>
      <c r="D420" s="4" t="s">
        <v>826</v>
      </c>
      <c r="E420" s="4" t="s">
        <v>864</v>
      </c>
      <c r="F420" s="4" t="s">
        <v>1009</v>
      </c>
      <c r="G420" s="4" t="s">
        <v>1714</v>
      </c>
      <c r="H420" s="4" t="s">
        <v>1018</v>
      </c>
      <c r="I420" s="4"/>
      <c r="J420" s="4" t="s">
        <v>1018</v>
      </c>
      <c r="K420" s="4" t="s">
        <v>58</v>
      </c>
      <c r="L420" s="4" t="s">
        <v>72</v>
      </c>
      <c r="M420" s="4" t="s">
        <v>1012</v>
      </c>
      <c r="N420" s="4" t="s">
        <v>72</v>
      </c>
      <c r="O420" s="4" t="s">
        <v>71</v>
      </c>
      <c r="P420" s="4" t="s">
        <v>71</v>
      </c>
      <c r="Q420" s="4"/>
      <c r="R420" s="4" t="s">
        <v>143</v>
      </c>
      <c r="S420" s="4" t="s">
        <v>71</v>
      </c>
      <c r="T420" s="4" t="s">
        <v>71</v>
      </c>
      <c r="U420" s="4" t="str">
        <f t="shared" si="6"/>
        <v>NO</v>
      </c>
    </row>
    <row r="421" spans="1:21" ht="42" customHeight="1">
      <c r="A421" s="4" t="s">
        <v>1715</v>
      </c>
      <c r="B421" s="4" t="s">
        <v>829</v>
      </c>
      <c r="C421" s="4" t="s">
        <v>302</v>
      </c>
      <c r="D421" s="4" t="s">
        <v>829</v>
      </c>
      <c r="E421" s="4" t="s">
        <v>302</v>
      </c>
      <c r="F421" s="4" t="s">
        <v>1009</v>
      </c>
      <c r="G421" s="4" t="s">
        <v>1716</v>
      </c>
      <c r="H421" s="4" t="s">
        <v>1018</v>
      </c>
      <c r="I421" s="4"/>
      <c r="J421" s="4" t="s">
        <v>1018</v>
      </c>
      <c r="K421" s="4" t="s">
        <v>79</v>
      </c>
      <c r="L421" s="4" t="s">
        <v>81</v>
      </c>
      <c r="M421" s="4" t="s">
        <v>1012</v>
      </c>
      <c r="N421" s="4" t="s">
        <v>81</v>
      </c>
      <c r="O421" s="4" t="s">
        <v>71</v>
      </c>
      <c r="P421" s="4" t="s">
        <v>71</v>
      </c>
      <c r="Q421" s="4"/>
      <c r="R421" s="4" t="s">
        <v>143</v>
      </c>
      <c r="S421" s="4" t="s">
        <v>71</v>
      </c>
      <c r="T421" s="4" t="s">
        <v>71</v>
      </c>
      <c r="U421" s="4" t="str">
        <f t="shared" si="6"/>
        <v>NO</v>
      </c>
    </row>
    <row r="422" spans="1:21" ht="42" customHeight="1">
      <c r="A422" s="4" t="s">
        <v>1717</v>
      </c>
      <c r="B422" s="4" t="s">
        <v>829</v>
      </c>
      <c r="C422" s="4" t="s">
        <v>236</v>
      </c>
      <c r="D422" s="4" t="s">
        <v>829</v>
      </c>
      <c r="E422" s="4" t="s">
        <v>236</v>
      </c>
      <c r="F422" s="4" t="s">
        <v>1009</v>
      </c>
      <c r="G422" s="4" t="s">
        <v>1718</v>
      </c>
      <c r="H422" s="4" t="s">
        <v>1018</v>
      </c>
      <c r="I422" s="4"/>
      <c r="J422" s="4" t="s">
        <v>1018</v>
      </c>
      <c r="K422" s="4" t="s">
        <v>79</v>
      </c>
      <c r="L422" s="4" t="s">
        <v>81</v>
      </c>
      <c r="M422" s="4" t="s">
        <v>1012</v>
      </c>
      <c r="N422" s="4" t="s">
        <v>81</v>
      </c>
      <c r="O422" s="4" t="s">
        <v>71</v>
      </c>
      <c r="P422" s="4" t="s">
        <v>71</v>
      </c>
      <c r="Q422" s="4"/>
      <c r="R422" s="4" t="s">
        <v>143</v>
      </c>
      <c r="S422" s="4" t="s">
        <v>71</v>
      </c>
      <c r="T422" s="4" t="s">
        <v>71</v>
      </c>
      <c r="U422" s="4" t="str">
        <f t="shared" si="6"/>
        <v>NO</v>
      </c>
    </row>
    <row r="423" spans="1:21" ht="42" customHeight="1">
      <c r="A423" s="4" t="s">
        <v>1719</v>
      </c>
      <c r="B423" s="4" t="s">
        <v>835</v>
      </c>
      <c r="C423" s="4" t="s">
        <v>472</v>
      </c>
      <c r="D423" s="4" t="s">
        <v>835</v>
      </c>
      <c r="E423" s="4" t="s">
        <v>472</v>
      </c>
      <c r="F423" s="4" t="s">
        <v>1009</v>
      </c>
      <c r="G423" s="4" t="s">
        <v>1720</v>
      </c>
      <c r="H423" s="4" t="s">
        <v>1018</v>
      </c>
      <c r="I423" s="4"/>
      <c r="J423" s="4" t="s">
        <v>1018</v>
      </c>
      <c r="K423" s="4" t="s">
        <v>88</v>
      </c>
      <c r="L423" s="4" t="s">
        <v>90</v>
      </c>
      <c r="M423" s="4" t="s">
        <v>1012</v>
      </c>
      <c r="N423" s="4" t="s">
        <v>90</v>
      </c>
      <c r="O423" s="4" t="s">
        <v>71</v>
      </c>
      <c r="P423" s="4" t="s">
        <v>71</v>
      </c>
      <c r="Q423" s="4"/>
      <c r="R423" s="4" t="s">
        <v>143</v>
      </c>
      <c r="S423" s="4" t="s">
        <v>71</v>
      </c>
      <c r="T423" s="4" t="s">
        <v>71</v>
      </c>
      <c r="U423" s="4" t="str">
        <f t="shared" si="6"/>
        <v>NO</v>
      </c>
    </row>
    <row r="424" spans="1:21" ht="42" customHeight="1">
      <c r="A424" s="4" t="s">
        <v>1721</v>
      </c>
      <c r="B424" s="4" t="s">
        <v>835</v>
      </c>
      <c r="C424" s="4" t="s">
        <v>783</v>
      </c>
      <c r="D424" s="4" t="s">
        <v>835</v>
      </c>
      <c r="E424" s="4" t="s">
        <v>783</v>
      </c>
      <c r="F424" s="4" t="s">
        <v>1009</v>
      </c>
      <c r="G424" s="4" t="s">
        <v>1722</v>
      </c>
      <c r="H424" s="4" t="s">
        <v>1018</v>
      </c>
      <c r="I424" s="4"/>
      <c r="J424" s="4" t="s">
        <v>1018</v>
      </c>
      <c r="K424" s="4" t="s">
        <v>88</v>
      </c>
      <c r="L424" s="4" t="s">
        <v>69</v>
      </c>
      <c r="M424" s="4" t="s">
        <v>1012</v>
      </c>
      <c r="N424" s="4" t="s">
        <v>88</v>
      </c>
      <c r="O424" s="4" t="s">
        <v>71</v>
      </c>
      <c r="P424" s="4" t="s">
        <v>71</v>
      </c>
      <c r="Q424" s="4"/>
      <c r="R424" s="4" t="s">
        <v>143</v>
      </c>
      <c r="S424" s="4" t="s">
        <v>71</v>
      </c>
      <c r="T424" s="4" t="s">
        <v>71</v>
      </c>
      <c r="U424" s="4" t="str">
        <f t="shared" si="6"/>
        <v>NO</v>
      </c>
    </row>
    <row r="425" spans="1:21" ht="42" customHeight="1">
      <c r="A425" s="4" t="s">
        <v>1723</v>
      </c>
      <c r="B425" s="4" t="s">
        <v>855</v>
      </c>
      <c r="C425" s="4" t="s">
        <v>120</v>
      </c>
      <c r="D425" s="4" t="s">
        <v>287</v>
      </c>
      <c r="E425" s="4" t="s">
        <v>120</v>
      </c>
      <c r="F425" s="4" t="s">
        <v>1009</v>
      </c>
      <c r="G425" s="4" t="s">
        <v>1724</v>
      </c>
      <c r="H425" s="4" t="s">
        <v>1018</v>
      </c>
      <c r="I425" s="4" t="s">
        <v>1725</v>
      </c>
      <c r="J425" s="4" t="s">
        <v>1018</v>
      </c>
      <c r="K425" s="4" t="s">
        <v>48</v>
      </c>
      <c r="L425" s="4" t="s">
        <v>48</v>
      </c>
      <c r="M425" s="4" t="s">
        <v>1021</v>
      </c>
      <c r="N425" s="4" t="s">
        <v>48</v>
      </c>
      <c r="O425" s="4" t="s">
        <v>1030</v>
      </c>
      <c r="P425" s="4" t="s">
        <v>1030</v>
      </c>
      <c r="Q425" s="4" t="s">
        <v>1726</v>
      </c>
      <c r="R425" s="4" t="s">
        <v>1032</v>
      </c>
      <c r="S425" s="4" t="s">
        <v>132</v>
      </c>
      <c r="T425" s="4" t="s">
        <v>133</v>
      </c>
      <c r="U425" s="4" t="str">
        <f t="shared" si="6"/>
        <v>SÍ</v>
      </c>
    </row>
    <row r="426" spans="1:21" ht="42" customHeight="1">
      <c r="A426" s="4" t="s">
        <v>1727</v>
      </c>
      <c r="B426" s="4" t="s">
        <v>861</v>
      </c>
      <c r="C426" s="4" t="s">
        <v>512</v>
      </c>
      <c r="D426" s="4" t="s">
        <v>861</v>
      </c>
      <c r="E426" s="4" t="s">
        <v>512</v>
      </c>
      <c r="F426" s="4" t="s">
        <v>1009</v>
      </c>
      <c r="G426" s="4" t="s">
        <v>1728</v>
      </c>
      <c r="H426" s="4" t="s">
        <v>1018</v>
      </c>
      <c r="I426" s="4"/>
      <c r="J426" s="4" t="s">
        <v>1018</v>
      </c>
      <c r="K426" s="4" t="s">
        <v>92</v>
      </c>
      <c r="L426" s="4" t="s">
        <v>92</v>
      </c>
      <c r="M426" s="4" t="s">
        <v>1021</v>
      </c>
      <c r="N426" s="4" t="s">
        <v>92</v>
      </c>
      <c r="O426" s="4" t="s">
        <v>71</v>
      </c>
      <c r="P426" s="4" t="s">
        <v>71</v>
      </c>
      <c r="Q426" s="4"/>
      <c r="R426" s="4" t="s">
        <v>143</v>
      </c>
      <c r="S426" s="4" t="s">
        <v>71</v>
      </c>
      <c r="T426" s="4" t="s">
        <v>71</v>
      </c>
      <c r="U426" s="4" t="str">
        <f t="shared" si="6"/>
        <v>NO</v>
      </c>
    </row>
    <row r="427" spans="1:21" ht="42" customHeight="1">
      <c r="A427" s="4" t="s">
        <v>1729</v>
      </c>
      <c r="B427" s="4" t="s">
        <v>848</v>
      </c>
      <c r="C427" s="4" t="s">
        <v>744</v>
      </c>
      <c r="D427" s="4" t="s">
        <v>848</v>
      </c>
      <c r="E427" s="4" t="s">
        <v>744</v>
      </c>
      <c r="F427" s="4" t="s">
        <v>1009</v>
      </c>
      <c r="G427" s="4" t="s">
        <v>1730</v>
      </c>
      <c r="H427" s="4" t="s">
        <v>1018</v>
      </c>
      <c r="I427" s="4"/>
      <c r="J427" s="4" t="s">
        <v>1018</v>
      </c>
      <c r="K427" s="4" t="s">
        <v>55</v>
      </c>
      <c r="L427" s="4" t="s">
        <v>77</v>
      </c>
      <c r="M427" s="4" t="s">
        <v>1012</v>
      </c>
      <c r="N427" s="4" t="s">
        <v>77</v>
      </c>
      <c r="O427" s="4" t="s">
        <v>71</v>
      </c>
      <c r="P427" s="4" t="s">
        <v>71</v>
      </c>
      <c r="Q427" s="4"/>
      <c r="R427" s="4" t="s">
        <v>143</v>
      </c>
      <c r="S427" s="4" t="s">
        <v>71</v>
      </c>
      <c r="T427" s="4" t="s">
        <v>71</v>
      </c>
      <c r="U427" s="4" t="str">
        <f t="shared" si="6"/>
        <v>NO</v>
      </c>
    </row>
    <row r="428" spans="1:21" ht="42" customHeight="1">
      <c r="A428" s="4" t="s">
        <v>1731</v>
      </c>
      <c r="B428" s="4" t="s">
        <v>851</v>
      </c>
      <c r="C428" s="4" t="s">
        <v>627</v>
      </c>
      <c r="D428" s="4" t="s">
        <v>851</v>
      </c>
      <c r="E428" s="4" t="s">
        <v>627</v>
      </c>
      <c r="F428" s="4" t="s">
        <v>1009</v>
      </c>
      <c r="G428" s="4" t="s">
        <v>1732</v>
      </c>
      <c r="H428" s="4" t="s">
        <v>1018</v>
      </c>
      <c r="I428" s="4"/>
      <c r="J428" s="4" t="s">
        <v>1018</v>
      </c>
      <c r="K428" s="4" t="s">
        <v>77</v>
      </c>
      <c r="L428" s="4" t="s">
        <v>83</v>
      </c>
      <c r="M428" s="4" t="s">
        <v>1012</v>
      </c>
      <c r="N428" s="4" t="s">
        <v>83</v>
      </c>
      <c r="O428" s="4" t="s">
        <v>71</v>
      </c>
      <c r="P428" s="4" t="s">
        <v>71</v>
      </c>
      <c r="Q428" s="4"/>
      <c r="R428" s="4" t="s">
        <v>143</v>
      </c>
      <c r="S428" s="4" t="s">
        <v>71</v>
      </c>
      <c r="T428" s="4" t="s">
        <v>71</v>
      </c>
      <c r="U428" s="4" t="str">
        <f t="shared" si="6"/>
        <v>NO</v>
      </c>
    </row>
    <row r="429" spans="1:21" ht="42" customHeight="1">
      <c r="A429" s="4" t="s">
        <v>1733</v>
      </c>
      <c r="B429" s="4" t="s">
        <v>851</v>
      </c>
      <c r="C429" s="4" t="s">
        <v>594</v>
      </c>
      <c r="D429" s="4" t="s">
        <v>851</v>
      </c>
      <c r="E429" s="4" t="s">
        <v>594</v>
      </c>
      <c r="F429" s="4" t="s">
        <v>1009</v>
      </c>
      <c r="G429" s="4" t="s">
        <v>1734</v>
      </c>
      <c r="H429" s="4" t="s">
        <v>1018</v>
      </c>
      <c r="I429" s="4"/>
      <c r="J429" s="4" t="s">
        <v>1018</v>
      </c>
      <c r="K429" s="4" t="s">
        <v>77</v>
      </c>
      <c r="L429" s="4" t="s">
        <v>83</v>
      </c>
      <c r="M429" s="4" t="s">
        <v>1012</v>
      </c>
      <c r="N429" s="4" t="s">
        <v>83</v>
      </c>
      <c r="O429" s="4" t="s">
        <v>71</v>
      </c>
      <c r="P429" s="4" t="s">
        <v>71</v>
      </c>
      <c r="Q429" s="4"/>
      <c r="R429" s="4" t="s">
        <v>143</v>
      </c>
      <c r="S429" s="4" t="s">
        <v>71</v>
      </c>
      <c r="T429" s="4" t="s">
        <v>71</v>
      </c>
      <c r="U429" s="4" t="str">
        <f t="shared" si="6"/>
        <v>NO</v>
      </c>
    </row>
    <row r="430" spans="1:21" ht="42" customHeight="1">
      <c r="A430" s="4" t="s">
        <v>1735</v>
      </c>
      <c r="B430" s="4" t="s">
        <v>844</v>
      </c>
      <c r="C430" s="4" t="s">
        <v>759</v>
      </c>
      <c r="D430" s="4" t="s">
        <v>844</v>
      </c>
      <c r="E430" s="4" t="s">
        <v>759</v>
      </c>
      <c r="F430" s="4" t="s">
        <v>1009</v>
      </c>
      <c r="G430" s="4" t="s">
        <v>1736</v>
      </c>
      <c r="H430" s="4" t="s">
        <v>1011</v>
      </c>
      <c r="I430" s="4"/>
      <c r="J430" s="4" t="s">
        <v>1011</v>
      </c>
      <c r="K430" s="4" t="s">
        <v>55</v>
      </c>
      <c r="L430" s="4" t="s">
        <v>79</v>
      </c>
      <c r="M430" s="4" t="s">
        <v>1012</v>
      </c>
      <c r="N430" s="4" t="s">
        <v>79</v>
      </c>
      <c r="O430" s="4" t="s">
        <v>71</v>
      </c>
      <c r="P430" s="4" t="s">
        <v>71</v>
      </c>
      <c r="Q430" s="4"/>
      <c r="R430" s="4" t="s">
        <v>143</v>
      </c>
      <c r="S430" s="4" t="s">
        <v>71</v>
      </c>
      <c r="T430" s="4" t="s">
        <v>71</v>
      </c>
      <c r="U430" s="4" t="str">
        <f t="shared" si="6"/>
        <v>NO</v>
      </c>
    </row>
    <row r="431" spans="1:21" ht="42" customHeight="1">
      <c r="A431" s="4" t="s">
        <v>1737</v>
      </c>
      <c r="B431" s="4" t="s">
        <v>832</v>
      </c>
      <c r="C431" s="4" t="s">
        <v>348</v>
      </c>
      <c r="D431" s="4" t="s">
        <v>832</v>
      </c>
      <c r="E431" s="4" t="s">
        <v>348</v>
      </c>
      <c r="F431" s="4" t="s">
        <v>1009</v>
      </c>
      <c r="G431" s="4" t="s">
        <v>1738</v>
      </c>
      <c r="H431" s="4" t="s">
        <v>1011</v>
      </c>
      <c r="I431" s="4"/>
      <c r="J431" s="4" t="s">
        <v>1011</v>
      </c>
      <c r="K431" s="4" t="s">
        <v>58</v>
      </c>
      <c r="L431" s="4" t="s">
        <v>90</v>
      </c>
      <c r="M431" s="4" t="s">
        <v>1012</v>
      </c>
      <c r="N431" s="4" t="s">
        <v>90</v>
      </c>
      <c r="O431" s="4" t="s">
        <v>71</v>
      </c>
      <c r="P431" s="4" t="s">
        <v>71</v>
      </c>
      <c r="Q431" s="4"/>
      <c r="R431" s="4" t="s">
        <v>143</v>
      </c>
      <c r="S431" s="4" t="s">
        <v>71</v>
      </c>
      <c r="T431" s="4" t="s">
        <v>71</v>
      </c>
      <c r="U431" s="4" t="str">
        <f t="shared" si="6"/>
        <v>NO</v>
      </c>
    </row>
    <row r="432" spans="1:21" ht="42" customHeight="1">
      <c r="A432" s="4" t="s">
        <v>1739</v>
      </c>
      <c r="B432" s="4" t="s">
        <v>841</v>
      </c>
      <c r="C432" s="4" t="s">
        <v>469</v>
      </c>
      <c r="D432" s="4" t="s">
        <v>841</v>
      </c>
      <c r="E432" s="4" t="s">
        <v>469</v>
      </c>
      <c r="F432" s="4" t="s">
        <v>1009</v>
      </c>
      <c r="G432" s="4" t="s">
        <v>1740</v>
      </c>
      <c r="H432" s="4" t="s">
        <v>1011</v>
      </c>
      <c r="I432" s="4"/>
      <c r="J432" s="4" t="s">
        <v>1011</v>
      </c>
      <c r="K432" s="4" t="s">
        <v>81</v>
      </c>
      <c r="L432" s="4" t="s">
        <v>83</v>
      </c>
      <c r="M432" s="4" t="s">
        <v>1012</v>
      </c>
      <c r="N432" s="4" t="s">
        <v>83</v>
      </c>
      <c r="O432" s="4" t="s">
        <v>71</v>
      </c>
      <c r="P432" s="4" t="s">
        <v>71</v>
      </c>
      <c r="Q432" s="4"/>
      <c r="R432" s="4" t="s">
        <v>143</v>
      </c>
      <c r="S432" s="4" t="s">
        <v>71</v>
      </c>
      <c r="T432" s="4" t="s">
        <v>71</v>
      </c>
      <c r="U432" s="4" t="str">
        <f t="shared" si="6"/>
        <v>NO</v>
      </c>
    </row>
    <row r="433" spans="1:21" ht="42" customHeight="1">
      <c r="A433" s="4" t="s">
        <v>1741</v>
      </c>
      <c r="B433" s="4" t="s">
        <v>838</v>
      </c>
      <c r="C433" s="4" t="s">
        <v>762</v>
      </c>
      <c r="D433" s="4" t="s">
        <v>838</v>
      </c>
      <c r="E433" s="4" t="s">
        <v>762</v>
      </c>
      <c r="F433" s="4" t="s">
        <v>1009</v>
      </c>
      <c r="G433" s="4" t="s">
        <v>1742</v>
      </c>
      <c r="H433" s="4" t="s">
        <v>1011</v>
      </c>
      <c r="I433" s="4"/>
      <c r="J433" s="4" t="s">
        <v>1011</v>
      </c>
      <c r="K433" s="4" t="s">
        <v>86</v>
      </c>
      <c r="L433" s="4" t="s">
        <v>92</v>
      </c>
      <c r="M433" s="4" t="s">
        <v>1012</v>
      </c>
      <c r="N433" s="4" t="s">
        <v>92</v>
      </c>
      <c r="O433" s="4" t="s">
        <v>71</v>
      </c>
      <c r="P433" s="4" t="s">
        <v>71</v>
      </c>
      <c r="Q433" s="4"/>
      <c r="R433" s="4" t="s">
        <v>143</v>
      </c>
      <c r="S433" s="4" t="s">
        <v>71</v>
      </c>
      <c r="T433" s="4" t="s">
        <v>71</v>
      </c>
      <c r="U433" s="4" t="str">
        <f t="shared" si="6"/>
        <v>NO</v>
      </c>
    </row>
    <row r="434" spans="1:21" ht="42" customHeight="1">
      <c r="A434" s="4" t="s">
        <v>1743</v>
      </c>
      <c r="B434" s="4" t="s">
        <v>867</v>
      </c>
      <c r="C434" s="4" t="s">
        <v>469</v>
      </c>
      <c r="D434" s="4" t="s">
        <v>867</v>
      </c>
      <c r="E434" s="4" t="s">
        <v>469</v>
      </c>
      <c r="F434" s="4" t="s">
        <v>1009</v>
      </c>
      <c r="G434" s="4" t="s">
        <v>1744</v>
      </c>
      <c r="H434" s="4" t="s">
        <v>1018</v>
      </c>
      <c r="I434" s="4"/>
      <c r="J434" s="4" t="s">
        <v>1018</v>
      </c>
      <c r="K434" s="4" t="s">
        <v>48</v>
      </c>
      <c r="L434" s="4" t="s">
        <v>83</v>
      </c>
      <c r="M434" s="4" t="s">
        <v>1012</v>
      </c>
      <c r="N434" s="4" t="s">
        <v>83</v>
      </c>
      <c r="O434" s="4" t="s">
        <v>71</v>
      </c>
      <c r="P434" s="4" t="s">
        <v>71</v>
      </c>
      <c r="Q434" s="4"/>
      <c r="R434" s="4" t="s">
        <v>143</v>
      </c>
      <c r="S434" s="4" t="s">
        <v>71</v>
      </c>
      <c r="T434" s="4" t="s">
        <v>71</v>
      </c>
      <c r="U434" s="4" t="str">
        <f t="shared" si="6"/>
        <v>NO</v>
      </c>
    </row>
    <row r="435" spans="1:21" ht="42" customHeight="1">
      <c r="A435" s="4" t="s">
        <v>1745</v>
      </c>
      <c r="B435" s="4" t="s">
        <v>512</v>
      </c>
      <c r="C435" s="4" t="s">
        <v>867</v>
      </c>
      <c r="D435" s="4" t="s">
        <v>512</v>
      </c>
      <c r="E435" s="4" t="s">
        <v>867</v>
      </c>
      <c r="F435" s="4" t="s">
        <v>1009</v>
      </c>
      <c r="G435" s="4" t="s">
        <v>1746</v>
      </c>
      <c r="H435" s="4" t="s">
        <v>1018</v>
      </c>
      <c r="I435" s="4"/>
      <c r="J435" s="4" t="s">
        <v>1018</v>
      </c>
      <c r="K435" s="4" t="s">
        <v>92</v>
      </c>
      <c r="L435" s="4" t="s">
        <v>48</v>
      </c>
      <c r="M435" s="4" t="s">
        <v>1012</v>
      </c>
      <c r="N435" s="4" t="s">
        <v>92</v>
      </c>
      <c r="O435" s="4" t="s">
        <v>71</v>
      </c>
      <c r="P435" s="4" t="s">
        <v>71</v>
      </c>
      <c r="Q435" s="4"/>
      <c r="R435" s="4" t="s">
        <v>143</v>
      </c>
      <c r="S435" s="4" t="s">
        <v>71</v>
      </c>
      <c r="T435" s="4" t="s">
        <v>71</v>
      </c>
      <c r="U435" s="4" t="str">
        <f t="shared" si="6"/>
        <v>NO</v>
      </c>
    </row>
    <row r="436" spans="1:21" ht="42" customHeight="1">
      <c r="A436" s="4" t="s">
        <v>1747</v>
      </c>
      <c r="B436" s="4" t="s">
        <v>527</v>
      </c>
      <c r="C436" s="4" t="s">
        <v>867</v>
      </c>
      <c r="D436" s="4" t="s">
        <v>527</v>
      </c>
      <c r="E436" s="4" t="s">
        <v>867</v>
      </c>
      <c r="F436" s="4" t="s">
        <v>1009</v>
      </c>
      <c r="G436" s="4" t="s">
        <v>1748</v>
      </c>
      <c r="H436" s="4" t="s">
        <v>1018</v>
      </c>
      <c r="I436" s="4"/>
      <c r="J436" s="4" t="s">
        <v>1018</v>
      </c>
      <c r="K436" s="4" t="s">
        <v>69</v>
      </c>
      <c r="L436" s="4" t="s">
        <v>48</v>
      </c>
      <c r="M436" s="4" t="s">
        <v>1012</v>
      </c>
      <c r="N436" s="4" t="s">
        <v>69</v>
      </c>
      <c r="O436" s="4" t="s">
        <v>71</v>
      </c>
      <c r="P436" s="4" t="s">
        <v>71</v>
      </c>
      <c r="Q436" s="4"/>
      <c r="R436" s="4" t="s">
        <v>143</v>
      </c>
      <c r="S436" s="4" t="s">
        <v>71</v>
      </c>
      <c r="T436" s="4" t="s">
        <v>71</v>
      </c>
      <c r="U436" s="4" t="str">
        <f t="shared" si="6"/>
        <v>NO</v>
      </c>
    </row>
    <row r="437" spans="1:21" ht="42" customHeight="1">
      <c r="A437" s="4" t="s">
        <v>1749</v>
      </c>
      <c r="B437" s="4" t="s">
        <v>458</v>
      </c>
      <c r="C437" s="4" t="s">
        <v>867</v>
      </c>
      <c r="D437" s="4" t="s">
        <v>458</v>
      </c>
      <c r="E437" s="4" t="s">
        <v>867</v>
      </c>
      <c r="F437" s="4" t="s">
        <v>1009</v>
      </c>
      <c r="G437" s="4" t="s">
        <v>1750</v>
      </c>
      <c r="H437" s="4" t="s">
        <v>1018</v>
      </c>
      <c r="I437" s="4"/>
      <c r="J437" s="4" t="s">
        <v>1018</v>
      </c>
      <c r="K437" s="4" t="s">
        <v>55</v>
      </c>
      <c r="L437" s="4" t="s">
        <v>48</v>
      </c>
      <c r="M437" s="4" t="s">
        <v>1012</v>
      </c>
      <c r="N437" s="4" t="s">
        <v>55</v>
      </c>
      <c r="O437" s="4" t="s">
        <v>71</v>
      </c>
      <c r="P437" s="4" t="s">
        <v>71</v>
      </c>
      <c r="Q437" s="4"/>
      <c r="R437" s="4" t="s">
        <v>143</v>
      </c>
      <c r="S437" s="4" t="s">
        <v>71</v>
      </c>
      <c r="T437" s="4" t="s">
        <v>71</v>
      </c>
      <c r="U437" s="4" t="str">
        <f t="shared" si="6"/>
        <v>NO</v>
      </c>
    </row>
    <row r="438" spans="1:21" ht="42" customHeight="1">
      <c r="A438" s="4" t="s">
        <v>1751</v>
      </c>
      <c r="B438" s="4" t="s">
        <v>445</v>
      </c>
      <c r="C438" s="4" t="s">
        <v>867</v>
      </c>
      <c r="D438" s="4" t="s">
        <v>445</v>
      </c>
      <c r="E438" s="4" t="s">
        <v>867</v>
      </c>
      <c r="F438" s="4" t="s">
        <v>1009</v>
      </c>
      <c r="G438" s="4" t="s">
        <v>1752</v>
      </c>
      <c r="H438" s="4" t="s">
        <v>1018</v>
      </c>
      <c r="I438" s="4"/>
      <c r="J438" s="4" t="s">
        <v>1018</v>
      </c>
      <c r="K438" s="4" t="s">
        <v>83</v>
      </c>
      <c r="L438" s="4" t="s">
        <v>48</v>
      </c>
      <c r="M438" s="4" t="s">
        <v>1012</v>
      </c>
      <c r="N438" s="4" t="s">
        <v>83</v>
      </c>
      <c r="O438" s="4" t="s">
        <v>71</v>
      </c>
      <c r="P438" s="4" t="s">
        <v>71</v>
      </c>
      <c r="Q438" s="4"/>
      <c r="R438" s="4" t="s">
        <v>143</v>
      </c>
      <c r="S438" s="4" t="s">
        <v>71</v>
      </c>
      <c r="T438" s="4" t="s">
        <v>71</v>
      </c>
      <c r="U438" s="4" t="str">
        <f t="shared" si="6"/>
        <v>NO</v>
      </c>
    </row>
    <row r="439" spans="1:21" ht="42" customHeight="1">
      <c r="A439" s="4" t="s">
        <v>1753</v>
      </c>
      <c r="B439" s="4" t="s">
        <v>636</v>
      </c>
      <c r="C439" s="4" t="s">
        <v>867</v>
      </c>
      <c r="D439" s="4" t="s">
        <v>636</v>
      </c>
      <c r="E439" s="4" t="s">
        <v>867</v>
      </c>
      <c r="F439" s="4" t="s">
        <v>1009</v>
      </c>
      <c r="G439" s="4" t="s">
        <v>1754</v>
      </c>
      <c r="H439" s="4" t="s">
        <v>1018</v>
      </c>
      <c r="I439" s="4"/>
      <c r="J439" s="4" t="s">
        <v>1018</v>
      </c>
      <c r="K439" s="4" t="s">
        <v>86</v>
      </c>
      <c r="L439" s="4" t="s">
        <v>48</v>
      </c>
      <c r="M439" s="4" t="s">
        <v>1012</v>
      </c>
      <c r="N439" s="4" t="s">
        <v>86</v>
      </c>
      <c r="O439" s="4" t="s">
        <v>71</v>
      </c>
      <c r="P439" s="4" t="s">
        <v>71</v>
      </c>
      <c r="Q439" s="4"/>
      <c r="R439" s="4" t="s">
        <v>143</v>
      </c>
      <c r="S439" s="4" t="s">
        <v>71</v>
      </c>
      <c r="T439" s="4" t="s">
        <v>71</v>
      </c>
      <c r="U439" s="4" t="str">
        <f t="shared" si="6"/>
        <v>NO</v>
      </c>
    </row>
    <row r="440" spans="1:21" ht="42" customHeight="1">
      <c r="A440" s="4" t="s">
        <v>1755</v>
      </c>
      <c r="B440" s="4" t="s">
        <v>489</v>
      </c>
      <c r="C440" s="4" t="s">
        <v>867</v>
      </c>
      <c r="D440" s="4" t="s">
        <v>489</v>
      </c>
      <c r="E440" s="4" t="s">
        <v>867</v>
      </c>
      <c r="F440" s="4" t="s">
        <v>1009</v>
      </c>
      <c r="G440" s="4" t="s">
        <v>1756</v>
      </c>
      <c r="H440" s="4" t="s">
        <v>1018</v>
      </c>
      <c r="I440" s="4"/>
      <c r="J440" s="4" t="s">
        <v>1018</v>
      </c>
      <c r="K440" s="4" t="s">
        <v>83</v>
      </c>
      <c r="L440" s="4" t="s">
        <v>48</v>
      </c>
      <c r="M440" s="4" t="s">
        <v>1012</v>
      </c>
      <c r="N440" s="4" t="s">
        <v>83</v>
      </c>
      <c r="O440" s="4" t="s">
        <v>71</v>
      </c>
      <c r="P440" s="4" t="s">
        <v>71</v>
      </c>
      <c r="Q440" s="4"/>
      <c r="R440" s="4" t="s">
        <v>143</v>
      </c>
      <c r="S440" s="4" t="s">
        <v>71</v>
      </c>
      <c r="T440" s="4" t="s">
        <v>71</v>
      </c>
      <c r="U440" s="4" t="str">
        <f t="shared" si="6"/>
        <v>NO</v>
      </c>
    </row>
    <row r="441" spans="1:21" ht="42" customHeight="1">
      <c r="A441" s="4" t="s">
        <v>1757</v>
      </c>
      <c r="B441" s="4" t="s">
        <v>493</v>
      </c>
      <c r="C441" s="4" t="s">
        <v>867</v>
      </c>
      <c r="D441" s="4" t="s">
        <v>493</v>
      </c>
      <c r="E441" s="4" t="s">
        <v>867</v>
      </c>
      <c r="F441" s="4" t="s">
        <v>1009</v>
      </c>
      <c r="G441" s="4" t="s">
        <v>1758</v>
      </c>
      <c r="H441" s="4" t="s">
        <v>1018</v>
      </c>
      <c r="I441" s="4"/>
      <c r="J441" s="4" t="s">
        <v>1018</v>
      </c>
      <c r="K441" s="4" t="s">
        <v>61</v>
      </c>
      <c r="L441" s="4" t="s">
        <v>48</v>
      </c>
      <c r="M441" s="4" t="s">
        <v>1012</v>
      </c>
      <c r="N441" s="4" t="s">
        <v>61</v>
      </c>
      <c r="O441" s="4" t="s">
        <v>71</v>
      </c>
      <c r="P441" s="4" t="s">
        <v>71</v>
      </c>
      <c r="Q441" s="4"/>
      <c r="R441" s="4" t="s">
        <v>143</v>
      </c>
      <c r="S441" s="4" t="s">
        <v>71</v>
      </c>
      <c r="T441" s="4" t="s">
        <v>71</v>
      </c>
      <c r="U441" s="4" t="str">
        <f t="shared" si="6"/>
        <v>NO</v>
      </c>
    </row>
    <row r="442" spans="1:21" ht="42" customHeight="1">
      <c r="A442" s="4" t="s">
        <v>1759</v>
      </c>
      <c r="B442" s="4" t="s">
        <v>486</v>
      </c>
      <c r="C442" s="4" t="s">
        <v>867</v>
      </c>
      <c r="D442" s="4" t="s">
        <v>486</v>
      </c>
      <c r="E442" s="4" t="s">
        <v>867</v>
      </c>
      <c r="F442" s="4" t="s">
        <v>1009</v>
      </c>
      <c r="G442" s="4" t="s">
        <v>1760</v>
      </c>
      <c r="H442" s="4" t="s">
        <v>1018</v>
      </c>
      <c r="I442" s="4"/>
      <c r="J442" s="4" t="s">
        <v>1018</v>
      </c>
      <c r="K442" s="4" t="s">
        <v>58</v>
      </c>
      <c r="L442" s="4" t="s">
        <v>48</v>
      </c>
      <c r="M442" s="4" t="s">
        <v>1012</v>
      </c>
      <c r="N442" s="4" t="s">
        <v>58</v>
      </c>
      <c r="O442" s="4" t="s">
        <v>71</v>
      </c>
      <c r="P442" s="4" t="s">
        <v>71</v>
      </c>
      <c r="Q442" s="4"/>
      <c r="R442" s="4" t="s">
        <v>143</v>
      </c>
      <c r="S442" s="4" t="s">
        <v>71</v>
      </c>
      <c r="T442" s="4" t="s">
        <v>71</v>
      </c>
      <c r="U442" s="4" t="str">
        <f t="shared" si="6"/>
        <v>NO</v>
      </c>
    </row>
    <row r="443" spans="1:21" ht="42" customHeight="1">
      <c r="A443" s="4" t="s">
        <v>1761</v>
      </c>
      <c r="B443" s="4" t="s">
        <v>710</v>
      </c>
      <c r="C443" s="4" t="s">
        <v>867</v>
      </c>
      <c r="D443" s="4" t="s">
        <v>710</v>
      </c>
      <c r="E443" s="4" t="s">
        <v>867</v>
      </c>
      <c r="F443" s="4" t="s">
        <v>1009</v>
      </c>
      <c r="G443" s="4" t="s">
        <v>1762</v>
      </c>
      <c r="H443" s="4" t="s">
        <v>1018</v>
      </c>
      <c r="I443" s="4"/>
      <c r="J443" s="4" t="s">
        <v>1018</v>
      </c>
      <c r="K443" s="4" t="s">
        <v>69</v>
      </c>
      <c r="L443" s="4" t="s">
        <v>48</v>
      </c>
      <c r="M443" s="4" t="s">
        <v>1012</v>
      </c>
      <c r="N443" s="4" t="s">
        <v>69</v>
      </c>
      <c r="O443" s="4" t="s">
        <v>71</v>
      </c>
      <c r="P443" s="4" t="s">
        <v>71</v>
      </c>
      <c r="Q443" s="4"/>
      <c r="R443" s="4" t="s">
        <v>143</v>
      </c>
      <c r="S443" s="4" t="s">
        <v>71</v>
      </c>
      <c r="T443" s="4" t="s">
        <v>71</v>
      </c>
      <c r="U443" s="4" t="str">
        <f t="shared" si="6"/>
        <v>NO</v>
      </c>
    </row>
    <row r="444" spans="1:21" ht="42" customHeight="1">
      <c r="A444" s="4" t="s">
        <v>1763</v>
      </c>
      <c r="B444" s="4" t="s">
        <v>676</v>
      </c>
      <c r="C444" s="4" t="s">
        <v>867</v>
      </c>
      <c r="D444" s="4" t="s">
        <v>676</v>
      </c>
      <c r="E444" s="4" t="s">
        <v>867</v>
      </c>
      <c r="F444" s="4" t="s">
        <v>1009</v>
      </c>
      <c r="G444" s="4" t="s">
        <v>1764</v>
      </c>
      <c r="H444" s="4" t="s">
        <v>1018</v>
      </c>
      <c r="I444" s="4"/>
      <c r="J444" s="4" t="s">
        <v>1018</v>
      </c>
      <c r="K444" s="4" t="s">
        <v>58</v>
      </c>
      <c r="L444" s="4" t="s">
        <v>48</v>
      </c>
      <c r="M444" s="4" t="s">
        <v>1012</v>
      </c>
      <c r="N444" s="4" t="s">
        <v>58</v>
      </c>
      <c r="O444" s="4" t="s">
        <v>71</v>
      </c>
      <c r="P444" s="4" t="s">
        <v>71</v>
      </c>
      <c r="Q444" s="4"/>
      <c r="R444" s="4" t="s">
        <v>143</v>
      </c>
      <c r="S444" s="4" t="s">
        <v>71</v>
      </c>
      <c r="T444" s="4" t="s">
        <v>71</v>
      </c>
      <c r="U444" s="4" t="str">
        <f t="shared" si="6"/>
        <v>NO</v>
      </c>
    </row>
    <row r="445" spans="1:21" ht="42" customHeight="1">
      <c r="A445" s="4" t="s">
        <v>1765</v>
      </c>
      <c r="B445" s="4" t="s">
        <v>167</v>
      </c>
      <c r="C445" s="4" t="s">
        <v>877</v>
      </c>
      <c r="D445" s="4" t="s">
        <v>167</v>
      </c>
      <c r="E445" s="4" t="s">
        <v>877</v>
      </c>
      <c r="F445" s="4" t="s">
        <v>1009</v>
      </c>
      <c r="G445" s="4" t="s">
        <v>1766</v>
      </c>
      <c r="H445" s="4" t="s">
        <v>1018</v>
      </c>
      <c r="I445" s="4"/>
      <c r="J445" s="4" t="s">
        <v>1018</v>
      </c>
      <c r="K445" s="4" t="s">
        <v>72</v>
      </c>
      <c r="L445" s="4" t="s">
        <v>79</v>
      </c>
      <c r="M445" s="4" t="s">
        <v>1012</v>
      </c>
      <c r="N445" s="4" t="s">
        <v>79</v>
      </c>
      <c r="O445" s="4" t="s">
        <v>71</v>
      </c>
      <c r="P445" s="4" t="s">
        <v>71</v>
      </c>
      <c r="Q445" s="4"/>
      <c r="R445" s="4" t="s">
        <v>143</v>
      </c>
      <c r="S445" s="4" t="s">
        <v>71</v>
      </c>
      <c r="T445" s="4" t="s">
        <v>71</v>
      </c>
      <c r="U445" s="4" t="str">
        <f t="shared" si="6"/>
        <v>NO</v>
      </c>
    </row>
    <row r="446" spans="1:21" ht="42" customHeight="1">
      <c r="A446" s="4" t="s">
        <v>1767</v>
      </c>
      <c r="B446" s="4" t="s">
        <v>716</v>
      </c>
      <c r="C446" s="4" t="s">
        <v>877</v>
      </c>
      <c r="D446" s="4" t="s">
        <v>716</v>
      </c>
      <c r="E446" s="4" t="s">
        <v>877</v>
      </c>
      <c r="F446" s="4" t="s">
        <v>1009</v>
      </c>
      <c r="G446" s="4" t="s">
        <v>1768</v>
      </c>
      <c r="H446" s="4" t="s">
        <v>1018</v>
      </c>
      <c r="I446" s="4"/>
      <c r="J446" s="4" t="s">
        <v>1018</v>
      </c>
      <c r="K446" s="4" t="s">
        <v>77</v>
      </c>
      <c r="L446" s="4" t="s">
        <v>79</v>
      </c>
      <c r="M446" s="4" t="s">
        <v>1012</v>
      </c>
      <c r="N446" s="4" t="s">
        <v>79</v>
      </c>
      <c r="O446" s="4" t="s">
        <v>71</v>
      </c>
      <c r="P446" s="4" t="s">
        <v>71</v>
      </c>
      <c r="Q446" s="4"/>
      <c r="R446" s="4" t="s">
        <v>143</v>
      </c>
      <c r="S446" s="4" t="s">
        <v>71</v>
      </c>
      <c r="T446" s="4" t="s">
        <v>71</v>
      </c>
      <c r="U446" s="4" t="str">
        <f t="shared" si="6"/>
        <v>NO</v>
      </c>
    </row>
    <row r="447" spans="1:21" ht="42" customHeight="1">
      <c r="A447" s="4" t="s">
        <v>1769</v>
      </c>
      <c r="B447" s="4" t="s">
        <v>877</v>
      </c>
      <c r="C447" s="4" t="s">
        <v>678</v>
      </c>
      <c r="D447" s="4" t="s">
        <v>877</v>
      </c>
      <c r="E447" s="4" t="s">
        <v>678</v>
      </c>
      <c r="F447" s="4" t="s">
        <v>1009</v>
      </c>
      <c r="G447" s="4" t="s">
        <v>1020</v>
      </c>
      <c r="H447" s="4" t="s">
        <v>1011</v>
      </c>
      <c r="I447" s="4"/>
      <c r="J447" s="4" t="s">
        <v>1011</v>
      </c>
      <c r="K447" s="4" t="s">
        <v>79</v>
      </c>
      <c r="L447" s="4" t="s">
        <v>88</v>
      </c>
      <c r="M447" s="4" t="s">
        <v>1012</v>
      </c>
      <c r="N447" s="4" t="s">
        <v>88</v>
      </c>
      <c r="O447" s="4" t="s">
        <v>71</v>
      </c>
      <c r="P447" s="4" t="s">
        <v>71</v>
      </c>
      <c r="Q447" s="4"/>
      <c r="R447" s="4" t="s">
        <v>143</v>
      </c>
      <c r="S447" s="4" t="s">
        <v>71</v>
      </c>
      <c r="T447" s="4" t="s">
        <v>71</v>
      </c>
      <c r="U447" s="4" t="str">
        <f t="shared" si="6"/>
        <v>NO</v>
      </c>
    </row>
    <row r="448" spans="1:21" ht="42" customHeight="1">
      <c r="A448" s="4" t="s">
        <v>1770</v>
      </c>
      <c r="B448" s="4" t="s">
        <v>731</v>
      </c>
      <c r="C448" s="4" t="s">
        <v>881</v>
      </c>
      <c r="D448" s="4" t="s">
        <v>731</v>
      </c>
      <c r="E448" s="4" t="s">
        <v>881</v>
      </c>
      <c r="F448" s="4" t="s">
        <v>1016</v>
      </c>
      <c r="G448" s="4" t="s">
        <v>1771</v>
      </c>
      <c r="H448" s="4" t="s">
        <v>1018</v>
      </c>
      <c r="I448" s="4"/>
      <c r="J448" s="4" t="s">
        <v>1018</v>
      </c>
      <c r="K448" s="4" t="s">
        <v>88</v>
      </c>
      <c r="L448" s="4" t="s">
        <v>88</v>
      </c>
      <c r="M448" s="4" t="s">
        <v>1021</v>
      </c>
      <c r="N448" s="4" t="s">
        <v>88</v>
      </c>
      <c r="O448" s="4" t="s">
        <v>71</v>
      </c>
      <c r="P448" s="4" t="s">
        <v>71</v>
      </c>
      <c r="Q448" s="4"/>
      <c r="R448" s="4" t="s">
        <v>143</v>
      </c>
      <c r="S448" s="4" t="s">
        <v>71</v>
      </c>
      <c r="T448" s="4" t="s">
        <v>71</v>
      </c>
      <c r="U448" s="4" t="str">
        <f t="shared" si="6"/>
        <v>NO</v>
      </c>
    </row>
    <row r="449" spans="1:21" ht="42" customHeight="1">
      <c r="A449" s="4" t="s">
        <v>1772</v>
      </c>
      <c r="B449" s="4" t="s">
        <v>885</v>
      </c>
      <c r="C449" s="4" t="s">
        <v>881</v>
      </c>
      <c r="D449" s="4" t="s">
        <v>885</v>
      </c>
      <c r="E449" s="4" t="s">
        <v>881</v>
      </c>
      <c r="F449" s="4" t="s">
        <v>1016</v>
      </c>
      <c r="G449" s="4" t="s">
        <v>1773</v>
      </c>
      <c r="H449" s="4" t="s">
        <v>1018</v>
      </c>
      <c r="I449" s="4"/>
      <c r="J449" s="4" t="s">
        <v>1018</v>
      </c>
      <c r="K449" s="4" t="s">
        <v>72</v>
      </c>
      <c r="L449" s="4" t="s">
        <v>88</v>
      </c>
      <c r="M449" s="4" t="s">
        <v>1012</v>
      </c>
      <c r="N449" s="4" t="s">
        <v>88</v>
      </c>
      <c r="O449" s="4" t="s">
        <v>71</v>
      </c>
      <c r="P449" s="4" t="s">
        <v>71</v>
      </c>
      <c r="Q449" s="4"/>
      <c r="R449" s="4" t="s">
        <v>143</v>
      </c>
      <c r="S449" s="4" t="s">
        <v>71</v>
      </c>
      <c r="T449" s="4" t="s">
        <v>71</v>
      </c>
      <c r="U449" s="4" t="str">
        <f t="shared" si="6"/>
        <v>NO</v>
      </c>
    </row>
    <row r="450" spans="1:21" ht="42" customHeight="1">
      <c r="A450" s="4" t="s">
        <v>1774</v>
      </c>
      <c r="B450" s="4" t="s">
        <v>881</v>
      </c>
      <c r="C450" s="4" t="s">
        <v>889</v>
      </c>
      <c r="D450" s="4" t="s">
        <v>881</v>
      </c>
      <c r="E450" s="4" t="s">
        <v>889</v>
      </c>
      <c r="F450" s="4" t="s">
        <v>1009</v>
      </c>
      <c r="G450" s="4" t="s">
        <v>1775</v>
      </c>
      <c r="H450" s="4" t="s">
        <v>1018</v>
      </c>
      <c r="I450" s="4"/>
      <c r="J450" s="4" t="s">
        <v>1018</v>
      </c>
      <c r="K450" s="4" t="s">
        <v>88</v>
      </c>
      <c r="L450" s="4" t="s">
        <v>72</v>
      </c>
      <c r="M450" s="4" t="s">
        <v>1012</v>
      </c>
      <c r="N450" s="4" t="s">
        <v>88</v>
      </c>
      <c r="O450" s="4" t="s">
        <v>71</v>
      </c>
      <c r="P450" s="4" t="s">
        <v>71</v>
      </c>
      <c r="Q450" s="4"/>
      <c r="R450" s="4" t="s">
        <v>143</v>
      </c>
      <c r="S450" s="4" t="s">
        <v>71</v>
      </c>
      <c r="T450" s="4" t="s">
        <v>71</v>
      </c>
      <c r="U450" s="4" t="str">
        <f t="shared" si="6"/>
        <v>NO</v>
      </c>
    </row>
    <row r="451" spans="1:21" ht="42" customHeight="1">
      <c r="A451" s="4" t="s">
        <v>1776</v>
      </c>
      <c r="B451" s="4" t="s">
        <v>881</v>
      </c>
      <c r="C451" s="4" t="s">
        <v>340</v>
      </c>
      <c r="D451" s="4" t="s">
        <v>881</v>
      </c>
      <c r="E451" s="4" t="s">
        <v>340</v>
      </c>
      <c r="F451" s="4" t="s">
        <v>1009</v>
      </c>
      <c r="G451" s="4" t="s">
        <v>1777</v>
      </c>
      <c r="H451" s="4" t="s">
        <v>1018</v>
      </c>
      <c r="I451" s="4"/>
      <c r="J451" s="4" t="s">
        <v>1018</v>
      </c>
      <c r="K451" s="4" t="s">
        <v>88</v>
      </c>
      <c r="L451" s="4" t="s">
        <v>75</v>
      </c>
      <c r="M451" s="4" t="s">
        <v>1012</v>
      </c>
      <c r="N451" s="4" t="s">
        <v>88</v>
      </c>
      <c r="O451" s="4" t="s">
        <v>71</v>
      </c>
      <c r="P451" s="4" t="s">
        <v>71</v>
      </c>
      <c r="Q451" s="4"/>
      <c r="R451" s="4" t="s">
        <v>143</v>
      </c>
      <c r="S451" s="4" t="s">
        <v>71</v>
      </c>
      <c r="T451" s="4" t="s">
        <v>71</v>
      </c>
      <c r="U451" s="4" t="str">
        <f t="shared" si="6"/>
        <v>NO</v>
      </c>
    </row>
    <row r="452" spans="1:21" ht="42" customHeight="1">
      <c r="A452" s="4" t="s">
        <v>1778</v>
      </c>
      <c r="B452" s="4" t="s">
        <v>650</v>
      </c>
      <c r="C452" s="4" t="s">
        <v>881</v>
      </c>
      <c r="D452" s="4" t="s">
        <v>650</v>
      </c>
      <c r="E452" s="4" t="s">
        <v>881</v>
      </c>
      <c r="F452" s="4" t="s">
        <v>1009</v>
      </c>
      <c r="G452" s="4" t="s">
        <v>1779</v>
      </c>
      <c r="H452" s="4" t="s">
        <v>1018</v>
      </c>
      <c r="I452" s="4"/>
      <c r="J452" s="4" t="s">
        <v>1018</v>
      </c>
      <c r="K452" s="4" t="s">
        <v>88</v>
      </c>
      <c r="L452" s="4" t="s">
        <v>88</v>
      </c>
      <c r="M452" s="4" t="s">
        <v>1021</v>
      </c>
      <c r="N452" s="4" t="s">
        <v>88</v>
      </c>
      <c r="O452" s="4" t="s">
        <v>71</v>
      </c>
      <c r="P452" s="4" t="s">
        <v>71</v>
      </c>
      <c r="Q452" s="4"/>
      <c r="R452" s="4" t="s">
        <v>143</v>
      </c>
      <c r="S452" s="4" t="s">
        <v>71</v>
      </c>
      <c r="T452" s="4" t="s">
        <v>71</v>
      </c>
      <c r="U452" s="4" t="str">
        <f t="shared" si="6"/>
        <v>NO</v>
      </c>
    </row>
    <row r="453" spans="1:21" ht="42" customHeight="1">
      <c r="A453" s="4" t="s">
        <v>1780</v>
      </c>
      <c r="B453" s="4" t="s">
        <v>493</v>
      </c>
      <c r="C453" s="4" t="s">
        <v>881</v>
      </c>
      <c r="D453" s="4" t="s">
        <v>493</v>
      </c>
      <c r="E453" s="4" t="s">
        <v>881</v>
      </c>
      <c r="F453" s="4" t="s">
        <v>1009</v>
      </c>
      <c r="G453" s="4" t="s">
        <v>1781</v>
      </c>
      <c r="H453" s="4" t="s">
        <v>1018</v>
      </c>
      <c r="I453" s="4"/>
      <c r="J453" s="4" t="s">
        <v>1018</v>
      </c>
      <c r="K453" s="4" t="s">
        <v>61</v>
      </c>
      <c r="L453" s="4" t="s">
        <v>88</v>
      </c>
      <c r="M453" s="4" t="s">
        <v>1012</v>
      </c>
      <c r="N453" s="4" t="s">
        <v>88</v>
      </c>
      <c r="O453" s="4" t="s">
        <v>71</v>
      </c>
      <c r="P453" s="4" t="s">
        <v>71</v>
      </c>
      <c r="Q453" s="4"/>
      <c r="R453" s="4" t="s">
        <v>143</v>
      </c>
      <c r="S453" s="4" t="s">
        <v>71</v>
      </c>
      <c r="T453" s="4" t="s">
        <v>71</v>
      </c>
      <c r="U453" s="4" t="str">
        <f t="shared" ref="U453:U516" si="7">IF(AND(R453="revisada",S453="pasa",T453="aprobada",O453&lt;&gt;"pendiente",P453&lt;&gt;"pendiente",OR(J453="por_corroborar",AND(J453="corroborada",Q453&lt;&gt;""))),"SÍ","NO")</f>
        <v>NO</v>
      </c>
    </row>
    <row r="454" spans="1:21" ht="42" customHeight="1">
      <c r="A454" s="4" t="s">
        <v>1782</v>
      </c>
      <c r="B454" s="4" t="s">
        <v>396</v>
      </c>
      <c r="C454" s="4" t="s">
        <v>881</v>
      </c>
      <c r="D454" s="4" t="s">
        <v>396</v>
      </c>
      <c r="E454" s="4" t="s">
        <v>881</v>
      </c>
      <c r="F454" s="4" t="s">
        <v>1009</v>
      </c>
      <c r="G454" s="4" t="s">
        <v>1783</v>
      </c>
      <c r="H454" s="4" t="s">
        <v>1018</v>
      </c>
      <c r="I454" s="4"/>
      <c r="J454" s="4" t="s">
        <v>1018</v>
      </c>
      <c r="K454" s="4" t="s">
        <v>79</v>
      </c>
      <c r="L454" s="4" t="s">
        <v>88</v>
      </c>
      <c r="M454" s="4" t="s">
        <v>1012</v>
      </c>
      <c r="N454" s="4" t="s">
        <v>88</v>
      </c>
      <c r="O454" s="4" t="s">
        <v>71</v>
      </c>
      <c r="P454" s="4" t="s">
        <v>71</v>
      </c>
      <c r="Q454" s="4"/>
      <c r="R454" s="4" t="s">
        <v>143</v>
      </c>
      <c r="S454" s="4" t="s">
        <v>71</v>
      </c>
      <c r="T454" s="4" t="s">
        <v>71</v>
      </c>
      <c r="U454" s="4" t="str">
        <f t="shared" si="7"/>
        <v>NO</v>
      </c>
    </row>
    <row r="455" spans="1:21" ht="42" customHeight="1">
      <c r="A455" s="4" t="s">
        <v>1784</v>
      </c>
      <c r="B455" s="4" t="s">
        <v>555</v>
      </c>
      <c r="C455" s="4" t="s">
        <v>881</v>
      </c>
      <c r="D455" s="4" t="s">
        <v>555</v>
      </c>
      <c r="E455" s="4" t="s">
        <v>881</v>
      </c>
      <c r="F455" s="4" t="s">
        <v>1009</v>
      </c>
      <c r="G455" s="4" t="s">
        <v>1785</v>
      </c>
      <c r="H455" s="4" t="s">
        <v>1018</v>
      </c>
      <c r="I455" s="4"/>
      <c r="J455" s="4" t="s">
        <v>1018</v>
      </c>
      <c r="K455" s="4" t="s">
        <v>75</v>
      </c>
      <c r="L455" s="4" t="s">
        <v>88</v>
      </c>
      <c r="M455" s="4" t="s">
        <v>1012</v>
      </c>
      <c r="N455" s="4" t="s">
        <v>88</v>
      </c>
      <c r="O455" s="4" t="s">
        <v>71</v>
      </c>
      <c r="P455" s="4" t="s">
        <v>71</v>
      </c>
      <c r="Q455" s="4"/>
      <c r="R455" s="4" t="s">
        <v>143</v>
      </c>
      <c r="S455" s="4" t="s">
        <v>71</v>
      </c>
      <c r="T455" s="4" t="s">
        <v>71</v>
      </c>
      <c r="U455" s="4" t="str">
        <f t="shared" si="7"/>
        <v>NO</v>
      </c>
    </row>
    <row r="456" spans="1:21" ht="42" customHeight="1">
      <c r="A456" s="4" t="s">
        <v>1786</v>
      </c>
      <c r="B456" s="4" t="s">
        <v>135</v>
      </c>
      <c r="C456" s="4" t="s">
        <v>881</v>
      </c>
      <c r="D456" s="4" t="s">
        <v>135</v>
      </c>
      <c r="E456" s="4" t="s">
        <v>881</v>
      </c>
      <c r="F456" s="4" t="s">
        <v>1009</v>
      </c>
      <c r="G456" s="4" t="s">
        <v>1787</v>
      </c>
      <c r="H456" s="4" t="s">
        <v>1018</v>
      </c>
      <c r="I456" s="4"/>
      <c r="J456" s="4" t="s">
        <v>1018</v>
      </c>
      <c r="K456" s="4" t="s">
        <v>90</v>
      </c>
      <c r="L456" s="4" t="s">
        <v>88</v>
      </c>
      <c r="M456" s="4" t="s">
        <v>1012</v>
      </c>
      <c r="N456" s="4" t="s">
        <v>90</v>
      </c>
      <c r="O456" s="4" t="s">
        <v>71</v>
      </c>
      <c r="P456" s="4" t="s">
        <v>71</v>
      </c>
      <c r="Q456" s="4"/>
      <c r="R456" s="4" t="s">
        <v>143</v>
      </c>
      <c r="S456" s="4" t="s">
        <v>71</v>
      </c>
      <c r="T456" s="4" t="s">
        <v>71</v>
      </c>
      <c r="U456" s="4" t="str">
        <f t="shared" si="7"/>
        <v>NO</v>
      </c>
    </row>
    <row r="457" spans="1:21" ht="42" customHeight="1">
      <c r="A457" s="4" t="s">
        <v>1788</v>
      </c>
      <c r="B457" s="4" t="s">
        <v>445</v>
      </c>
      <c r="C457" s="4" t="s">
        <v>881</v>
      </c>
      <c r="D457" s="4" t="s">
        <v>445</v>
      </c>
      <c r="E457" s="4" t="s">
        <v>881</v>
      </c>
      <c r="F457" s="4" t="s">
        <v>1016</v>
      </c>
      <c r="G457" s="4" t="s">
        <v>1789</v>
      </c>
      <c r="H457" s="4" t="s">
        <v>1018</v>
      </c>
      <c r="I457" s="4"/>
      <c r="J457" s="4" t="s">
        <v>1018</v>
      </c>
      <c r="K457" s="4" t="s">
        <v>83</v>
      </c>
      <c r="L457" s="4" t="s">
        <v>88</v>
      </c>
      <c r="M457" s="4" t="s">
        <v>1012</v>
      </c>
      <c r="N457" s="4" t="s">
        <v>88</v>
      </c>
      <c r="O457" s="4" t="s">
        <v>71</v>
      </c>
      <c r="P457" s="4" t="s">
        <v>71</v>
      </c>
      <c r="Q457" s="4"/>
      <c r="R457" s="4" t="s">
        <v>143</v>
      </c>
      <c r="S457" s="4" t="s">
        <v>71</v>
      </c>
      <c r="T457" s="4" t="s">
        <v>71</v>
      </c>
      <c r="U457" s="4" t="str">
        <f t="shared" si="7"/>
        <v>NO</v>
      </c>
    </row>
    <row r="458" spans="1:21" ht="42" customHeight="1">
      <c r="A458" s="4" t="s">
        <v>1790</v>
      </c>
      <c r="B458" s="4" t="s">
        <v>885</v>
      </c>
      <c r="C458" s="4" t="s">
        <v>889</v>
      </c>
      <c r="D458" s="4" t="s">
        <v>885</v>
      </c>
      <c r="E458" s="4" t="s">
        <v>889</v>
      </c>
      <c r="F458" s="4" t="s">
        <v>1009</v>
      </c>
      <c r="G458" s="4" t="s">
        <v>1791</v>
      </c>
      <c r="H458" s="4" t="s">
        <v>1018</v>
      </c>
      <c r="I458" s="4"/>
      <c r="J458" s="4" t="s">
        <v>1018</v>
      </c>
      <c r="K458" s="4" t="s">
        <v>72</v>
      </c>
      <c r="L458" s="4" t="s">
        <v>72</v>
      </c>
      <c r="M458" s="4" t="s">
        <v>1021</v>
      </c>
      <c r="N458" s="4" t="s">
        <v>72</v>
      </c>
      <c r="O458" s="4" t="s">
        <v>71</v>
      </c>
      <c r="P458" s="4" t="s">
        <v>71</v>
      </c>
      <c r="Q458" s="4"/>
      <c r="R458" s="4" t="s">
        <v>143</v>
      </c>
      <c r="S458" s="4" t="s">
        <v>71</v>
      </c>
      <c r="T458" s="4" t="s">
        <v>71</v>
      </c>
      <c r="U458" s="4" t="str">
        <f t="shared" si="7"/>
        <v>NO</v>
      </c>
    </row>
    <row r="459" spans="1:21" ht="42" customHeight="1">
      <c r="A459" s="4" t="s">
        <v>1792</v>
      </c>
      <c r="B459" s="4" t="s">
        <v>885</v>
      </c>
      <c r="C459" s="4" t="s">
        <v>284</v>
      </c>
      <c r="D459" s="4" t="s">
        <v>885</v>
      </c>
      <c r="E459" s="4" t="s">
        <v>284</v>
      </c>
      <c r="F459" s="4" t="s">
        <v>1009</v>
      </c>
      <c r="G459" s="4" t="s">
        <v>1793</v>
      </c>
      <c r="H459" s="4" t="s">
        <v>1018</v>
      </c>
      <c r="I459" s="4"/>
      <c r="J459" s="4" t="s">
        <v>1018</v>
      </c>
      <c r="K459" s="4" t="s">
        <v>72</v>
      </c>
      <c r="L459" s="4" t="s">
        <v>61</v>
      </c>
      <c r="M459" s="4" t="s">
        <v>1012</v>
      </c>
      <c r="N459" s="4" t="s">
        <v>72</v>
      </c>
      <c r="O459" s="4" t="s">
        <v>71</v>
      </c>
      <c r="P459" s="4" t="s">
        <v>71</v>
      </c>
      <c r="Q459" s="4"/>
      <c r="R459" s="4" t="s">
        <v>143</v>
      </c>
      <c r="S459" s="4" t="s">
        <v>71</v>
      </c>
      <c r="T459" s="4" t="s">
        <v>71</v>
      </c>
      <c r="U459" s="4" t="str">
        <f t="shared" si="7"/>
        <v>NO</v>
      </c>
    </row>
    <row r="460" spans="1:21" ht="42" customHeight="1">
      <c r="A460" s="4" t="s">
        <v>1794</v>
      </c>
      <c r="B460" s="4" t="s">
        <v>321</v>
      </c>
      <c r="C460" s="4" t="s">
        <v>885</v>
      </c>
      <c r="D460" s="4" t="s">
        <v>321</v>
      </c>
      <c r="E460" s="4" t="s">
        <v>885</v>
      </c>
      <c r="F460" s="4" t="s">
        <v>1009</v>
      </c>
      <c r="G460" s="4" t="s">
        <v>1795</v>
      </c>
      <c r="H460" s="4" t="s">
        <v>1018</v>
      </c>
      <c r="I460" s="4"/>
      <c r="J460" s="4" t="s">
        <v>1018</v>
      </c>
      <c r="K460" s="4" t="s">
        <v>75</v>
      </c>
      <c r="L460" s="4" t="s">
        <v>72</v>
      </c>
      <c r="M460" s="4" t="s">
        <v>1012</v>
      </c>
      <c r="N460" s="4" t="s">
        <v>75</v>
      </c>
      <c r="O460" s="4" t="s">
        <v>71</v>
      </c>
      <c r="P460" s="4" t="s">
        <v>71</v>
      </c>
      <c r="Q460" s="4"/>
      <c r="R460" s="4" t="s">
        <v>143</v>
      </c>
      <c r="S460" s="4" t="s">
        <v>71</v>
      </c>
      <c r="T460" s="4" t="s">
        <v>71</v>
      </c>
      <c r="U460" s="4" t="str">
        <f t="shared" si="7"/>
        <v>NO</v>
      </c>
    </row>
    <row r="461" spans="1:21" ht="42" customHeight="1">
      <c r="A461" s="4" t="s">
        <v>1796</v>
      </c>
      <c r="B461" s="4" t="s">
        <v>409</v>
      </c>
      <c r="C461" s="4" t="s">
        <v>885</v>
      </c>
      <c r="D461" s="4" t="s">
        <v>409</v>
      </c>
      <c r="E461" s="4" t="s">
        <v>885</v>
      </c>
      <c r="F461" s="4" t="s">
        <v>1009</v>
      </c>
      <c r="G461" s="4" t="s">
        <v>1797</v>
      </c>
      <c r="H461" s="4" t="s">
        <v>1018</v>
      </c>
      <c r="I461" s="4"/>
      <c r="J461" s="4" t="s">
        <v>1018</v>
      </c>
      <c r="K461" s="4" t="s">
        <v>72</v>
      </c>
      <c r="L461" s="4" t="s">
        <v>72</v>
      </c>
      <c r="M461" s="4" t="s">
        <v>1021</v>
      </c>
      <c r="N461" s="4" t="s">
        <v>72</v>
      </c>
      <c r="O461" s="4" t="s">
        <v>71</v>
      </c>
      <c r="P461" s="4" t="s">
        <v>71</v>
      </c>
      <c r="Q461" s="4"/>
      <c r="R461" s="4" t="s">
        <v>143</v>
      </c>
      <c r="S461" s="4" t="s">
        <v>71</v>
      </c>
      <c r="T461" s="4" t="s">
        <v>71</v>
      </c>
      <c r="U461" s="4" t="str">
        <f t="shared" si="7"/>
        <v>NO</v>
      </c>
    </row>
    <row r="462" spans="1:21" ht="42" customHeight="1">
      <c r="A462" s="4" t="s">
        <v>1798</v>
      </c>
      <c r="B462" s="4" t="s">
        <v>608</v>
      </c>
      <c r="C462" s="4" t="s">
        <v>885</v>
      </c>
      <c r="D462" s="4" t="s">
        <v>608</v>
      </c>
      <c r="E462" s="4" t="s">
        <v>885</v>
      </c>
      <c r="F462" s="4" t="s">
        <v>1009</v>
      </c>
      <c r="G462" s="4" t="s">
        <v>1799</v>
      </c>
      <c r="H462" s="4" t="s">
        <v>1018</v>
      </c>
      <c r="I462" s="4"/>
      <c r="J462" s="4" t="s">
        <v>1018</v>
      </c>
      <c r="K462" s="4" t="s">
        <v>72</v>
      </c>
      <c r="L462" s="4" t="s">
        <v>72</v>
      </c>
      <c r="M462" s="4" t="s">
        <v>1021</v>
      </c>
      <c r="N462" s="4" t="s">
        <v>72</v>
      </c>
      <c r="O462" s="4" t="s">
        <v>71</v>
      </c>
      <c r="P462" s="4" t="s">
        <v>71</v>
      </c>
      <c r="Q462" s="4"/>
      <c r="R462" s="4" t="s">
        <v>143</v>
      </c>
      <c r="S462" s="4" t="s">
        <v>71</v>
      </c>
      <c r="T462" s="4" t="s">
        <v>71</v>
      </c>
      <c r="U462" s="4" t="str">
        <f t="shared" si="7"/>
        <v>NO</v>
      </c>
    </row>
    <row r="463" spans="1:21" ht="42" customHeight="1">
      <c r="A463" s="4" t="s">
        <v>1800</v>
      </c>
      <c r="B463" s="4" t="s">
        <v>380</v>
      </c>
      <c r="C463" s="4" t="s">
        <v>885</v>
      </c>
      <c r="D463" s="4" t="s">
        <v>380</v>
      </c>
      <c r="E463" s="4" t="s">
        <v>885</v>
      </c>
      <c r="F463" s="4" t="s">
        <v>1009</v>
      </c>
      <c r="G463" s="4" t="s">
        <v>1801</v>
      </c>
      <c r="H463" s="4" t="s">
        <v>1018</v>
      </c>
      <c r="I463" s="4"/>
      <c r="J463" s="4" t="s">
        <v>1018</v>
      </c>
      <c r="K463" s="4" t="s">
        <v>58</v>
      </c>
      <c r="L463" s="4" t="s">
        <v>72</v>
      </c>
      <c r="M463" s="4" t="s">
        <v>1012</v>
      </c>
      <c r="N463" s="4" t="s">
        <v>72</v>
      </c>
      <c r="O463" s="4" t="s">
        <v>71</v>
      </c>
      <c r="P463" s="4" t="s">
        <v>71</v>
      </c>
      <c r="Q463" s="4"/>
      <c r="R463" s="4" t="s">
        <v>143</v>
      </c>
      <c r="S463" s="4" t="s">
        <v>71</v>
      </c>
      <c r="T463" s="4" t="s">
        <v>71</v>
      </c>
      <c r="U463" s="4" t="str">
        <f t="shared" si="7"/>
        <v>NO</v>
      </c>
    </row>
    <row r="464" spans="1:21" ht="42" customHeight="1">
      <c r="A464" s="4" t="s">
        <v>1802</v>
      </c>
      <c r="B464" s="4" t="s">
        <v>445</v>
      </c>
      <c r="C464" s="4" t="s">
        <v>889</v>
      </c>
      <c r="D464" s="4" t="s">
        <v>445</v>
      </c>
      <c r="E464" s="4" t="s">
        <v>889</v>
      </c>
      <c r="F464" s="4" t="s">
        <v>1009</v>
      </c>
      <c r="G464" s="4" t="s">
        <v>1803</v>
      </c>
      <c r="H464" s="4" t="s">
        <v>1018</v>
      </c>
      <c r="I464" s="4"/>
      <c r="J464" s="4" t="s">
        <v>1018</v>
      </c>
      <c r="K464" s="4" t="s">
        <v>83</v>
      </c>
      <c r="L464" s="4" t="s">
        <v>72</v>
      </c>
      <c r="M464" s="4" t="s">
        <v>1012</v>
      </c>
      <c r="N464" s="4" t="s">
        <v>83</v>
      </c>
      <c r="O464" s="4" t="s">
        <v>71</v>
      </c>
      <c r="P464" s="4" t="s">
        <v>71</v>
      </c>
      <c r="Q464" s="4"/>
      <c r="R464" s="4" t="s">
        <v>143</v>
      </c>
      <c r="S464" s="4" t="s">
        <v>71</v>
      </c>
      <c r="T464" s="4" t="s">
        <v>71</v>
      </c>
      <c r="U464" s="4" t="str">
        <f t="shared" si="7"/>
        <v>NO</v>
      </c>
    </row>
    <row r="465" spans="1:21" ht="42" customHeight="1">
      <c r="A465" s="4" t="s">
        <v>1804</v>
      </c>
      <c r="B465" s="4" t="s">
        <v>321</v>
      </c>
      <c r="C465" s="4" t="s">
        <v>889</v>
      </c>
      <c r="D465" s="4" t="s">
        <v>321</v>
      </c>
      <c r="E465" s="4" t="s">
        <v>889</v>
      </c>
      <c r="F465" s="4" t="s">
        <v>1009</v>
      </c>
      <c r="G465" s="4" t="s">
        <v>1805</v>
      </c>
      <c r="H465" s="4" t="s">
        <v>1018</v>
      </c>
      <c r="I465" s="4"/>
      <c r="J465" s="4" t="s">
        <v>1018</v>
      </c>
      <c r="K465" s="4" t="s">
        <v>75</v>
      </c>
      <c r="L465" s="4" t="s">
        <v>72</v>
      </c>
      <c r="M465" s="4" t="s">
        <v>1012</v>
      </c>
      <c r="N465" s="4" t="s">
        <v>75</v>
      </c>
      <c r="O465" s="4" t="s">
        <v>71</v>
      </c>
      <c r="P465" s="4" t="s">
        <v>71</v>
      </c>
      <c r="Q465" s="4"/>
      <c r="R465" s="4" t="s">
        <v>143</v>
      </c>
      <c r="S465" s="4" t="s">
        <v>71</v>
      </c>
      <c r="T465" s="4" t="s">
        <v>71</v>
      </c>
      <c r="U465" s="4" t="str">
        <f t="shared" si="7"/>
        <v>NO</v>
      </c>
    </row>
    <row r="466" spans="1:21" ht="42" customHeight="1">
      <c r="A466" s="4" t="s">
        <v>1806</v>
      </c>
      <c r="B466" s="4" t="s">
        <v>297</v>
      </c>
      <c r="C466" s="4" t="s">
        <v>889</v>
      </c>
      <c r="D466" s="4" t="s">
        <v>297</v>
      </c>
      <c r="E466" s="4" t="s">
        <v>889</v>
      </c>
      <c r="F466" s="4" t="s">
        <v>1009</v>
      </c>
      <c r="G466" s="4" t="s">
        <v>1807</v>
      </c>
      <c r="H466" s="4" t="s">
        <v>1018</v>
      </c>
      <c r="I466" s="4"/>
      <c r="J466" s="4" t="s">
        <v>1018</v>
      </c>
      <c r="K466" s="4" t="s">
        <v>75</v>
      </c>
      <c r="L466" s="4" t="s">
        <v>72</v>
      </c>
      <c r="M466" s="4" t="s">
        <v>1012</v>
      </c>
      <c r="N466" s="4" t="s">
        <v>75</v>
      </c>
      <c r="O466" s="4" t="s">
        <v>71</v>
      </c>
      <c r="P466" s="4" t="s">
        <v>71</v>
      </c>
      <c r="Q466" s="4"/>
      <c r="R466" s="4" t="s">
        <v>143</v>
      </c>
      <c r="S466" s="4" t="s">
        <v>71</v>
      </c>
      <c r="T466" s="4" t="s">
        <v>71</v>
      </c>
      <c r="U466" s="4" t="str">
        <f t="shared" si="7"/>
        <v>NO</v>
      </c>
    </row>
    <row r="467" spans="1:21" ht="42" customHeight="1">
      <c r="A467" s="4" t="s">
        <v>1808</v>
      </c>
      <c r="B467" s="4" t="s">
        <v>409</v>
      </c>
      <c r="C467" s="4" t="s">
        <v>889</v>
      </c>
      <c r="D467" s="4" t="s">
        <v>409</v>
      </c>
      <c r="E467" s="4" t="s">
        <v>889</v>
      </c>
      <c r="F467" s="4" t="s">
        <v>1009</v>
      </c>
      <c r="G467" s="4" t="s">
        <v>1809</v>
      </c>
      <c r="H467" s="4" t="s">
        <v>1018</v>
      </c>
      <c r="I467" s="4"/>
      <c r="J467" s="4" t="s">
        <v>1018</v>
      </c>
      <c r="K467" s="4" t="s">
        <v>72</v>
      </c>
      <c r="L467" s="4" t="s">
        <v>72</v>
      </c>
      <c r="M467" s="4" t="s">
        <v>1021</v>
      </c>
      <c r="N467" s="4" t="s">
        <v>72</v>
      </c>
      <c r="O467" s="4" t="s">
        <v>71</v>
      </c>
      <c r="P467" s="4" t="s">
        <v>71</v>
      </c>
      <c r="Q467" s="4"/>
      <c r="R467" s="4" t="s">
        <v>143</v>
      </c>
      <c r="S467" s="4" t="s">
        <v>71</v>
      </c>
      <c r="T467" s="4" t="s">
        <v>71</v>
      </c>
      <c r="U467" s="4" t="str">
        <f t="shared" si="7"/>
        <v>NO</v>
      </c>
    </row>
    <row r="468" spans="1:21" ht="42" customHeight="1">
      <c r="A468" s="4" t="s">
        <v>1810</v>
      </c>
      <c r="B468" s="4" t="s">
        <v>371</v>
      </c>
      <c r="C468" s="4" t="s">
        <v>889</v>
      </c>
      <c r="D468" s="4" t="s">
        <v>371</v>
      </c>
      <c r="E468" s="4" t="s">
        <v>889</v>
      </c>
      <c r="F468" s="4" t="s">
        <v>1009</v>
      </c>
      <c r="G468" s="4" t="s">
        <v>1811</v>
      </c>
      <c r="H468" s="4" t="s">
        <v>1018</v>
      </c>
      <c r="I468" s="4"/>
      <c r="J468" s="4" t="s">
        <v>1018</v>
      </c>
      <c r="K468" s="4" t="s">
        <v>69</v>
      </c>
      <c r="L468" s="4" t="s">
        <v>72</v>
      </c>
      <c r="M468" s="4" t="s">
        <v>1012</v>
      </c>
      <c r="N468" s="4" t="s">
        <v>72</v>
      </c>
      <c r="O468" s="4" t="s">
        <v>71</v>
      </c>
      <c r="P468" s="4" t="s">
        <v>71</v>
      </c>
      <c r="Q468" s="4"/>
      <c r="R468" s="4" t="s">
        <v>143</v>
      </c>
      <c r="S468" s="4" t="s">
        <v>71</v>
      </c>
      <c r="T468" s="4" t="s">
        <v>71</v>
      </c>
      <c r="U468" s="4" t="str">
        <f t="shared" si="7"/>
        <v>NO</v>
      </c>
    </row>
    <row r="469" spans="1:21" ht="42" customHeight="1">
      <c r="A469" s="4" t="s">
        <v>1812</v>
      </c>
      <c r="B469" s="4" t="s">
        <v>608</v>
      </c>
      <c r="C469" s="4" t="s">
        <v>889</v>
      </c>
      <c r="D469" s="4" t="s">
        <v>608</v>
      </c>
      <c r="E469" s="4" t="s">
        <v>889</v>
      </c>
      <c r="F469" s="4" t="s">
        <v>1009</v>
      </c>
      <c r="G469" s="4" t="s">
        <v>1813</v>
      </c>
      <c r="H469" s="4" t="s">
        <v>1018</v>
      </c>
      <c r="I469" s="4"/>
      <c r="J469" s="4" t="s">
        <v>1018</v>
      </c>
      <c r="K469" s="4" t="s">
        <v>72</v>
      </c>
      <c r="L469" s="4" t="s">
        <v>72</v>
      </c>
      <c r="M469" s="4" t="s">
        <v>1021</v>
      </c>
      <c r="N469" s="4" t="s">
        <v>72</v>
      </c>
      <c r="O469" s="4" t="s">
        <v>71</v>
      </c>
      <c r="P469" s="4" t="s">
        <v>71</v>
      </c>
      <c r="Q469" s="4"/>
      <c r="R469" s="4" t="s">
        <v>143</v>
      </c>
      <c r="S469" s="4" t="s">
        <v>71</v>
      </c>
      <c r="T469" s="4" t="s">
        <v>71</v>
      </c>
      <c r="U469" s="4" t="str">
        <f t="shared" si="7"/>
        <v>NO</v>
      </c>
    </row>
    <row r="470" spans="1:21" ht="42" customHeight="1">
      <c r="A470" s="4" t="s">
        <v>1814</v>
      </c>
      <c r="B470" s="4" t="s">
        <v>894</v>
      </c>
      <c r="C470" s="4" t="s">
        <v>889</v>
      </c>
      <c r="D470" s="4" t="s">
        <v>894</v>
      </c>
      <c r="E470" s="4" t="s">
        <v>889</v>
      </c>
      <c r="F470" s="4" t="s">
        <v>1009</v>
      </c>
      <c r="G470" s="4" t="s">
        <v>1815</v>
      </c>
      <c r="H470" s="4" t="s">
        <v>1018</v>
      </c>
      <c r="I470" s="4"/>
      <c r="J470" s="4" t="s">
        <v>1018</v>
      </c>
      <c r="K470" s="4" t="s">
        <v>72</v>
      </c>
      <c r="L470" s="4" t="s">
        <v>72</v>
      </c>
      <c r="M470" s="4" t="s">
        <v>1021</v>
      </c>
      <c r="N470" s="4" t="s">
        <v>72</v>
      </c>
      <c r="O470" s="4" t="s">
        <v>71</v>
      </c>
      <c r="P470" s="4" t="s">
        <v>71</v>
      </c>
      <c r="Q470" s="4"/>
      <c r="R470" s="4" t="s">
        <v>143</v>
      </c>
      <c r="S470" s="4" t="s">
        <v>71</v>
      </c>
      <c r="T470" s="4" t="s">
        <v>71</v>
      </c>
      <c r="U470" s="4" t="str">
        <f t="shared" si="7"/>
        <v>NO</v>
      </c>
    </row>
    <row r="471" spans="1:21" ht="42" customHeight="1">
      <c r="A471" s="4" t="s">
        <v>1816</v>
      </c>
      <c r="B471" s="4" t="s">
        <v>894</v>
      </c>
      <c r="C471" s="4" t="s">
        <v>885</v>
      </c>
      <c r="D471" s="4" t="s">
        <v>894</v>
      </c>
      <c r="E471" s="4" t="s">
        <v>885</v>
      </c>
      <c r="F471" s="4" t="s">
        <v>1009</v>
      </c>
      <c r="G471" s="4" t="s">
        <v>1817</v>
      </c>
      <c r="H471" s="4" t="s">
        <v>1018</v>
      </c>
      <c r="I471" s="4"/>
      <c r="J471" s="4" t="s">
        <v>1018</v>
      </c>
      <c r="K471" s="4" t="s">
        <v>72</v>
      </c>
      <c r="L471" s="4" t="s">
        <v>72</v>
      </c>
      <c r="M471" s="4" t="s">
        <v>1021</v>
      </c>
      <c r="N471" s="4" t="s">
        <v>72</v>
      </c>
      <c r="O471" s="4" t="s">
        <v>71</v>
      </c>
      <c r="P471" s="4" t="s">
        <v>71</v>
      </c>
      <c r="Q471" s="4"/>
      <c r="R471" s="4" t="s">
        <v>143</v>
      </c>
      <c r="S471" s="4" t="s">
        <v>71</v>
      </c>
      <c r="T471" s="4" t="s">
        <v>71</v>
      </c>
      <c r="U471" s="4" t="str">
        <f t="shared" si="7"/>
        <v>NO</v>
      </c>
    </row>
    <row r="472" spans="1:21" ht="42" customHeight="1">
      <c r="A472" s="4" t="s">
        <v>1818</v>
      </c>
      <c r="B472" s="4" t="s">
        <v>894</v>
      </c>
      <c r="C472" s="4" t="s">
        <v>881</v>
      </c>
      <c r="D472" s="4" t="s">
        <v>894</v>
      </c>
      <c r="E472" s="4" t="s">
        <v>881</v>
      </c>
      <c r="F472" s="4" t="s">
        <v>1009</v>
      </c>
      <c r="G472" s="4" t="s">
        <v>1819</v>
      </c>
      <c r="H472" s="4" t="s">
        <v>1018</v>
      </c>
      <c r="I472" s="4"/>
      <c r="J472" s="4" t="s">
        <v>1018</v>
      </c>
      <c r="K472" s="4" t="s">
        <v>72</v>
      </c>
      <c r="L472" s="4" t="s">
        <v>88</v>
      </c>
      <c r="M472" s="4" t="s">
        <v>1012</v>
      </c>
      <c r="N472" s="4" t="s">
        <v>88</v>
      </c>
      <c r="O472" s="4" t="s">
        <v>71</v>
      </c>
      <c r="P472" s="4" t="s">
        <v>71</v>
      </c>
      <c r="Q472" s="4"/>
      <c r="R472" s="4" t="s">
        <v>143</v>
      </c>
      <c r="S472" s="4" t="s">
        <v>71</v>
      </c>
      <c r="T472" s="4" t="s">
        <v>71</v>
      </c>
      <c r="U472" s="4" t="str">
        <f t="shared" si="7"/>
        <v>NO</v>
      </c>
    </row>
    <row r="473" spans="1:21" ht="42" customHeight="1">
      <c r="A473" s="4" t="s">
        <v>1820</v>
      </c>
      <c r="B473" s="4" t="s">
        <v>894</v>
      </c>
      <c r="C473" s="4" t="s">
        <v>650</v>
      </c>
      <c r="D473" s="4" t="s">
        <v>894</v>
      </c>
      <c r="E473" s="4" t="s">
        <v>650</v>
      </c>
      <c r="F473" s="4" t="s">
        <v>1009</v>
      </c>
      <c r="G473" s="4" t="s">
        <v>1821</v>
      </c>
      <c r="H473" s="4" t="s">
        <v>1018</v>
      </c>
      <c r="I473" s="4"/>
      <c r="J473" s="4" t="s">
        <v>1018</v>
      </c>
      <c r="K473" s="4" t="s">
        <v>72</v>
      </c>
      <c r="L473" s="4" t="s">
        <v>88</v>
      </c>
      <c r="M473" s="4" t="s">
        <v>1012</v>
      </c>
      <c r="N473" s="4" t="s">
        <v>88</v>
      </c>
      <c r="O473" s="4" t="s">
        <v>71</v>
      </c>
      <c r="P473" s="4" t="s">
        <v>71</v>
      </c>
      <c r="Q473" s="4"/>
      <c r="R473" s="4" t="s">
        <v>143</v>
      </c>
      <c r="S473" s="4" t="s">
        <v>71</v>
      </c>
      <c r="T473" s="4" t="s">
        <v>71</v>
      </c>
      <c r="U473" s="4" t="str">
        <f t="shared" si="7"/>
        <v>NO</v>
      </c>
    </row>
    <row r="474" spans="1:21" ht="42" customHeight="1">
      <c r="A474" s="4" t="s">
        <v>1822</v>
      </c>
      <c r="B474" s="4" t="s">
        <v>894</v>
      </c>
      <c r="C474" s="4" t="s">
        <v>384</v>
      </c>
      <c r="D474" s="4" t="s">
        <v>894</v>
      </c>
      <c r="E474" s="4" t="s">
        <v>384</v>
      </c>
      <c r="F474" s="4" t="s">
        <v>1009</v>
      </c>
      <c r="G474" s="4" t="s">
        <v>1823</v>
      </c>
      <c r="H474" s="4" t="s">
        <v>1018</v>
      </c>
      <c r="I474" s="4"/>
      <c r="J474" s="4" t="s">
        <v>1018</v>
      </c>
      <c r="K474" s="4" t="s">
        <v>72</v>
      </c>
      <c r="L474" s="4" t="s">
        <v>58</v>
      </c>
      <c r="M474" s="4" t="s">
        <v>1012</v>
      </c>
      <c r="N474" s="4" t="s">
        <v>72</v>
      </c>
      <c r="O474" s="4" t="s">
        <v>71</v>
      </c>
      <c r="P474" s="4" t="s">
        <v>71</v>
      </c>
      <c r="Q474" s="4"/>
      <c r="R474" s="4" t="s">
        <v>143</v>
      </c>
      <c r="S474" s="4" t="s">
        <v>71</v>
      </c>
      <c r="T474" s="4" t="s">
        <v>71</v>
      </c>
      <c r="U474" s="4" t="str">
        <f t="shared" si="7"/>
        <v>NO</v>
      </c>
    </row>
    <row r="475" spans="1:21" ht="42" customHeight="1">
      <c r="A475" s="4" t="s">
        <v>1824</v>
      </c>
      <c r="B475" s="4" t="s">
        <v>481</v>
      </c>
      <c r="C475" s="4" t="s">
        <v>894</v>
      </c>
      <c r="D475" s="4" t="s">
        <v>481</v>
      </c>
      <c r="E475" s="4" t="s">
        <v>894</v>
      </c>
      <c r="F475" s="4" t="s">
        <v>1009</v>
      </c>
      <c r="G475" s="4" t="s">
        <v>1825</v>
      </c>
      <c r="H475" s="4" t="s">
        <v>1018</v>
      </c>
      <c r="I475" s="4"/>
      <c r="J475" s="4" t="s">
        <v>1018</v>
      </c>
      <c r="K475" s="4" t="s">
        <v>72</v>
      </c>
      <c r="L475" s="4" t="s">
        <v>72</v>
      </c>
      <c r="M475" s="4" t="s">
        <v>1021</v>
      </c>
      <c r="N475" s="4" t="s">
        <v>72</v>
      </c>
      <c r="O475" s="4" t="s">
        <v>71</v>
      </c>
      <c r="P475" s="4" t="s">
        <v>71</v>
      </c>
      <c r="Q475" s="4"/>
      <c r="R475" s="4" t="s">
        <v>143</v>
      </c>
      <c r="S475" s="4" t="s">
        <v>71</v>
      </c>
      <c r="T475" s="4" t="s">
        <v>71</v>
      </c>
      <c r="U475" s="4" t="str">
        <f t="shared" si="7"/>
        <v>NO</v>
      </c>
    </row>
    <row r="476" spans="1:21" ht="42" customHeight="1">
      <c r="A476" s="4" t="s">
        <v>1826</v>
      </c>
      <c r="B476" s="4" t="s">
        <v>608</v>
      </c>
      <c r="C476" s="4" t="s">
        <v>894</v>
      </c>
      <c r="D476" s="4" t="s">
        <v>608</v>
      </c>
      <c r="E476" s="4" t="s">
        <v>894</v>
      </c>
      <c r="F476" s="4" t="s">
        <v>1009</v>
      </c>
      <c r="G476" s="4" t="s">
        <v>1827</v>
      </c>
      <c r="H476" s="4" t="s">
        <v>1018</v>
      </c>
      <c r="I476" s="4"/>
      <c r="J476" s="4" t="s">
        <v>1018</v>
      </c>
      <c r="K476" s="4" t="s">
        <v>72</v>
      </c>
      <c r="L476" s="4" t="s">
        <v>72</v>
      </c>
      <c r="M476" s="4" t="s">
        <v>1021</v>
      </c>
      <c r="N476" s="4" t="s">
        <v>72</v>
      </c>
      <c r="O476" s="4" t="s">
        <v>71</v>
      </c>
      <c r="P476" s="4" t="s">
        <v>71</v>
      </c>
      <c r="Q476" s="4"/>
      <c r="R476" s="4" t="s">
        <v>143</v>
      </c>
      <c r="S476" s="4" t="s">
        <v>71</v>
      </c>
      <c r="T476" s="4" t="s">
        <v>71</v>
      </c>
      <c r="U476" s="4" t="str">
        <f t="shared" si="7"/>
        <v>NO</v>
      </c>
    </row>
    <row r="477" spans="1:21" ht="42" customHeight="1">
      <c r="A477" s="4" t="s">
        <v>1828</v>
      </c>
      <c r="B477" s="4" t="s">
        <v>306</v>
      </c>
      <c r="C477" s="4" t="s">
        <v>897</v>
      </c>
      <c r="D477" s="4" t="s">
        <v>306</v>
      </c>
      <c r="E477" s="4" t="s">
        <v>897</v>
      </c>
      <c r="F477" s="4" t="s">
        <v>1009</v>
      </c>
      <c r="G477" s="4" t="s">
        <v>1829</v>
      </c>
      <c r="H477" s="4" t="s">
        <v>1018</v>
      </c>
      <c r="I477" s="4"/>
      <c r="J477" s="4" t="s">
        <v>1018</v>
      </c>
      <c r="K477" s="4" t="s">
        <v>75</v>
      </c>
      <c r="L477" s="4" t="s">
        <v>79</v>
      </c>
      <c r="M477" s="4" t="s">
        <v>1012</v>
      </c>
      <c r="N477" s="4" t="s">
        <v>79</v>
      </c>
      <c r="O477" s="4" t="s">
        <v>71</v>
      </c>
      <c r="P477" s="4" t="s">
        <v>71</v>
      </c>
      <c r="Q477" s="4"/>
      <c r="R477" s="4" t="s">
        <v>143</v>
      </c>
      <c r="S477" s="4" t="s">
        <v>71</v>
      </c>
      <c r="T477" s="4" t="s">
        <v>71</v>
      </c>
      <c r="U477" s="4" t="str">
        <f t="shared" si="7"/>
        <v>NO</v>
      </c>
    </row>
    <row r="478" spans="1:21" ht="42" customHeight="1">
      <c r="A478" s="4" t="s">
        <v>1830</v>
      </c>
      <c r="B478" s="4" t="s">
        <v>329</v>
      </c>
      <c r="C478" s="4" t="s">
        <v>897</v>
      </c>
      <c r="D478" s="4" t="s">
        <v>329</v>
      </c>
      <c r="E478" s="4" t="s">
        <v>897</v>
      </c>
      <c r="F478" s="4" t="s">
        <v>1009</v>
      </c>
      <c r="G478" s="4" t="s">
        <v>1831</v>
      </c>
      <c r="H478" s="4" t="s">
        <v>1018</v>
      </c>
      <c r="I478" s="4"/>
      <c r="J478" s="4" t="s">
        <v>1018</v>
      </c>
      <c r="K478" s="4" t="s">
        <v>61</v>
      </c>
      <c r="L478" s="4" t="s">
        <v>79</v>
      </c>
      <c r="M478" s="4" t="s">
        <v>1012</v>
      </c>
      <c r="N478" s="4" t="s">
        <v>79</v>
      </c>
      <c r="O478" s="4" t="s">
        <v>71</v>
      </c>
      <c r="P478" s="4" t="s">
        <v>71</v>
      </c>
      <c r="Q478" s="4"/>
      <c r="R478" s="4" t="s">
        <v>143</v>
      </c>
      <c r="S478" s="4" t="s">
        <v>71</v>
      </c>
      <c r="T478" s="4" t="s">
        <v>71</v>
      </c>
      <c r="U478" s="4" t="str">
        <f t="shared" si="7"/>
        <v>NO</v>
      </c>
    </row>
    <row r="479" spans="1:21" ht="42" customHeight="1">
      <c r="A479" s="4" t="s">
        <v>1832</v>
      </c>
      <c r="B479" s="4" t="s">
        <v>351</v>
      </c>
      <c r="C479" s="4" t="s">
        <v>897</v>
      </c>
      <c r="D479" s="4" t="s">
        <v>351</v>
      </c>
      <c r="E479" s="4" t="s">
        <v>897</v>
      </c>
      <c r="F479" s="4" t="s">
        <v>1009</v>
      </c>
      <c r="G479" s="4" t="s">
        <v>1833</v>
      </c>
      <c r="H479" s="4" t="s">
        <v>1018</v>
      </c>
      <c r="I479" s="4"/>
      <c r="J479" s="4" t="s">
        <v>1018</v>
      </c>
      <c r="K479" s="4" t="s">
        <v>81</v>
      </c>
      <c r="L479" s="4" t="s">
        <v>79</v>
      </c>
      <c r="M479" s="4" t="s">
        <v>1012</v>
      </c>
      <c r="N479" s="4" t="s">
        <v>81</v>
      </c>
      <c r="O479" s="4" t="s">
        <v>71</v>
      </c>
      <c r="P479" s="4" t="s">
        <v>71</v>
      </c>
      <c r="Q479" s="4"/>
      <c r="R479" s="4" t="s">
        <v>143</v>
      </c>
      <c r="S479" s="4" t="s">
        <v>71</v>
      </c>
      <c r="T479" s="4" t="s">
        <v>71</v>
      </c>
      <c r="U479" s="4" t="str">
        <f t="shared" si="7"/>
        <v>NO</v>
      </c>
    </row>
    <row r="480" spans="1:21" ht="42" customHeight="1">
      <c r="A480" s="4" t="s">
        <v>1834</v>
      </c>
      <c r="B480" s="4" t="s">
        <v>297</v>
      </c>
      <c r="C480" s="4" t="s">
        <v>897</v>
      </c>
      <c r="D480" s="4" t="s">
        <v>297</v>
      </c>
      <c r="E480" s="4" t="s">
        <v>897</v>
      </c>
      <c r="F480" s="4" t="s">
        <v>1009</v>
      </c>
      <c r="G480" s="4" t="s">
        <v>1835</v>
      </c>
      <c r="H480" s="4" t="s">
        <v>1018</v>
      </c>
      <c r="I480" s="4"/>
      <c r="J480" s="4" t="s">
        <v>1018</v>
      </c>
      <c r="K480" s="4" t="s">
        <v>75</v>
      </c>
      <c r="L480" s="4" t="s">
        <v>79</v>
      </c>
      <c r="M480" s="4" t="s">
        <v>1012</v>
      </c>
      <c r="N480" s="4" t="s">
        <v>79</v>
      </c>
      <c r="O480" s="4" t="s">
        <v>71</v>
      </c>
      <c r="P480" s="4" t="s">
        <v>71</v>
      </c>
      <c r="Q480" s="4"/>
      <c r="R480" s="4" t="s">
        <v>143</v>
      </c>
      <c r="S480" s="4" t="s">
        <v>71</v>
      </c>
      <c r="T480" s="4" t="s">
        <v>71</v>
      </c>
      <c r="U480" s="4" t="str">
        <f t="shared" si="7"/>
        <v>NO</v>
      </c>
    </row>
    <row r="481" spans="1:21" ht="42" customHeight="1">
      <c r="A481" s="4" t="s">
        <v>1836</v>
      </c>
      <c r="B481" s="4" t="s">
        <v>321</v>
      </c>
      <c r="C481" s="4" t="s">
        <v>897</v>
      </c>
      <c r="D481" s="4" t="s">
        <v>321</v>
      </c>
      <c r="E481" s="4" t="s">
        <v>897</v>
      </c>
      <c r="F481" s="4" t="s">
        <v>1009</v>
      </c>
      <c r="G481" s="4" t="s">
        <v>1837</v>
      </c>
      <c r="H481" s="4" t="s">
        <v>1018</v>
      </c>
      <c r="I481" s="4"/>
      <c r="J481" s="4" t="s">
        <v>1018</v>
      </c>
      <c r="K481" s="4" t="s">
        <v>75</v>
      </c>
      <c r="L481" s="4" t="s">
        <v>79</v>
      </c>
      <c r="M481" s="4" t="s">
        <v>1012</v>
      </c>
      <c r="N481" s="4" t="s">
        <v>79</v>
      </c>
      <c r="O481" s="4" t="s">
        <v>71</v>
      </c>
      <c r="P481" s="4" t="s">
        <v>71</v>
      </c>
      <c r="Q481" s="4"/>
      <c r="R481" s="4" t="s">
        <v>143</v>
      </c>
      <c r="S481" s="4" t="s">
        <v>71</v>
      </c>
      <c r="T481" s="4" t="s">
        <v>71</v>
      </c>
      <c r="U481" s="4" t="str">
        <f t="shared" si="7"/>
        <v>NO</v>
      </c>
    </row>
    <row r="482" spans="1:21" ht="42" customHeight="1">
      <c r="A482" s="4" t="s">
        <v>1838</v>
      </c>
      <c r="B482" s="4" t="s">
        <v>475</v>
      </c>
      <c r="C482" s="4" t="s">
        <v>897</v>
      </c>
      <c r="D482" s="4" t="s">
        <v>475</v>
      </c>
      <c r="E482" s="4" t="s">
        <v>897</v>
      </c>
      <c r="F482" s="4" t="s">
        <v>1009</v>
      </c>
      <c r="G482" s="4" t="s">
        <v>1839</v>
      </c>
      <c r="H482" s="4" t="s">
        <v>1018</v>
      </c>
      <c r="I482" s="4"/>
      <c r="J482" s="4" t="s">
        <v>1018</v>
      </c>
      <c r="K482" s="4" t="s">
        <v>61</v>
      </c>
      <c r="L482" s="4" t="s">
        <v>79</v>
      </c>
      <c r="M482" s="4" t="s">
        <v>1012</v>
      </c>
      <c r="N482" s="4" t="s">
        <v>79</v>
      </c>
      <c r="O482" s="4" t="s">
        <v>71</v>
      </c>
      <c r="P482" s="4" t="s">
        <v>71</v>
      </c>
      <c r="Q482" s="4"/>
      <c r="R482" s="4" t="s">
        <v>143</v>
      </c>
      <c r="S482" s="4" t="s">
        <v>71</v>
      </c>
      <c r="T482" s="4" t="s">
        <v>71</v>
      </c>
      <c r="U482" s="4" t="str">
        <f t="shared" si="7"/>
        <v>NO</v>
      </c>
    </row>
    <row r="483" spans="1:21" ht="42" customHeight="1">
      <c r="A483" s="4" t="s">
        <v>1840</v>
      </c>
      <c r="B483" s="4" t="s">
        <v>549</v>
      </c>
      <c r="C483" s="4" t="s">
        <v>897</v>
      </c>
      <c r="D483" s="4" t="s">
        <v>549</v>
      </c>
      <c r="E483" s="4" t="s">
        <v>897</v>
      </c>
      <c r="F483" s="4" t="s">
        <v>1009</v>
      </c>
      <c r="G483" s="4" t="s">
        <v>1841</v>
      </c>
      <c r="H483" s="4" t="s">
        <v>1018</v>
      </c>
      <c r="I483" s="4"/>
      <c r="J483" s="4" t="s">
        <v>1018</v>
      </c>
      <c r="K483" s="4" t="s">
        <v>79</v>
      </c>
      <c r="L483" s="4" t="s">
        <v>79</v>
      </c>
      <c r="M483" s="4" t="s">
        <v>1021</v>
      </c>
      <c r="N483" s="4" t="s">
        <v>79</v>
      </c>
      <c r="O483" s="4" t="s">
        <v>71</v>
      </c>
      <c r="P483" s="4" t="s">
        <v>71</v>
      </c>
      <c r="Q483" s="4"/>
      <c r="R483" s="4" t="s">
        <v>143</v>
      </c>
      <c r="S483" s="4" t="s">
        <v>71</v>
      </c>
      <c r="T483" s="4" t="s">
        <v>71</v>
      </c>
      <c r="U483" s="4" t="str">
        <f t="shared" si="7"/>
        <v>NO</v>
      </c>
    </row>
    <row r="484" spans="1:21" ht="42" customHeight="1">
      <c r="A484" s="4" t="s">
        <v>1842</v>
      </c>
      <c r="B484" s="4" t="s">
        <v>512</v>
      </c>
      <c r="C484" s="4" t="s">
        <v>897</v>
      </c>
      <c r="D484" s="4" t="s">
        <v>512</v>
      </c>
      <c r="E484" s="4" t="s">
        <v>897</v>
      </c>
      <c r="F484" s="4" t="s">
        <v>1009</v>
      </c>
      <c r="G484" s="4" t="s">
        <v>1843</v>
      </c>
      <c r="H484" s="4" t="s">
        <v>1018</v>
      </c>
      <c r="I484" s="4"/>
      <c r="J484" s="4" t="s">
        <v>1018</v>
      </c>
      <c r="K484" s="4" t="s">
        <v>92</v>
      </c>
      <c r="L484" s="4" t="s">
        <v>79</v>
      </c>
      <c r="M484" s="4" t="s">
        <v>1012</v>
      </c>
      <c r="N484" s="4" t="s">
        <v>92</v>
      </c>
      <c r="O484" s="4" t="s">
        <v>71</v>
      </c>
      <c r="P484" s="4" t="s">
        <v>71</v>
      </c>
      <c r="Q484" s="4"/>
      <c r="R484" s="4" t="s">
        <v>143</v>
      </c>
      <c r="S484" s="4" t="s">
        <v>71</v>
      </c>
      <c r="T484" s="4" t="s">
        <v>71</v>
      </c>
      <c r="U484" s="4" t="str">
        <f t="shared" si="7"/>
        <v>NO</v>
      </c>
    </row>
    <row r="485" spans="1:21" ht="42" customHeight="1">
      <c r="A485" s="4" t="s">
        <v>1844</v>
      </c>
      <c r="B485" s="4" t="s">
        <v>897</v>
      </c>
      <c r="C485" s="4" t="s">
        <v>340</v>
      </c>
      <c r="D485" s="4" t="s">
        <v>897</v>
      </c>
      <c r="E485" s="4" t="s">
        <v>340</v>
      </c>
      <c r="F485" s="4" t="s">
        <v>1016</v>
      </c>
      <c r="G485" s="4" t="s">
        <v>1845</v>
      </c>
      <c r="H485" s="4" t="s">
        <v>1018</v>
      </c>
      <c r="I485" s="4"/>
      <c r="J485" s="4" t="s">
        <v>1018</v>
      </c>
      <c r="K485" s="4" t="s">
        <v>79</v>
      </c>
      <c r="L485" s="4" t="s">
        <v>75</v>
      </c>
      <c r="M485" s="4" t="s">
        <v>1012</v>
      </c>
      <c r="N485" s="4" t="s">
        <v>79</v>
      </c>
      <c r="O485" s="4" t="s">
        <v>71</v>
      </c>
      <c r="P485" s="4" t="s">
        <v>71</v>
      </c>
      <c r="Q485" s="4"/>
      <c r="R485" s="4" t="s">
        <v>143</v>
      </c>
      <c r="S485" s="4" t="s">
        <v>71</v>
      </c>
      <c r="T485" s="4" t="s">
        <v>71</v>
      </c>
      <c r="U485" s="4" t="str">
        <f t="shared" si="7"/>
        <v>NO</v>
      </c>
    </row>
    <row r="486" spans="1:21" ht="42" customHeight="1">
      <c r="A486" s="4" t="s">
        <v>1846</v>
      </c>
      <c r="B486" s="4" t="s">
        <v>901</v>
      </c>
      <c r="C486" s="4" t="s">
        <v>135</v>
      </c>
      <c r="D486" s="4" t="s">
        <v>901</v>
      </c>
      <c r="E486" s="4" t="s">
        <v>135</v>
      </c>
      <c r="F486" s="4" t="s">
        <v>1009</v>
      </c>
      <c r="G486" s="4" t="s">
        <v>1847</v>
      </c>
      <c r="H486" s="4" t="s">
        <v>1018</v>
      </c>
      <c r="I486" s="4"/>
      <c r="J486" s="4" t="s">
        <v>1018</v>
      </c>
      <c r="K486" s="4" t="s">
        <v>90</v>
      </c>
      <c r="L486" s="4" t="s">
        <v>90</v>
      </c>
      <c r="M486" s="4" t="s">
        <v>1021</v>
      </c>
      <c r="N486" s="4" t="s">
        <v>90</v>
      </c>
      <c r="O486" s="4" t="s">
        <v>71</v>
      </c>
      <c r="P486" s="4" t="s">
        <v>71</v>
      </c>
      <c r="Q486" s="4"/>
      <c r="R486" s="4" t="s">
        <v>143</v>
      </c>
      <c r="S486" s="4" t="s">
        <v>71</v>
      </c>
      <c r="T486" s="4" t="s">
        <v>71</v>
      </c>
      <c r="U486" s="4" t="str">
        <f t="shared" si="7"/>
        <v>NO</v>
      </c>
    </row>
    <row r="487" spans="1:21" ht="42" customHeight="1">
      <c r="A487" s="4" t="s">
        <v>1848</v>
      </c>
      <c r="B487" s="4" t="s">
        <v>901</v>
      </c>
      <c r="C487" s="4" t="s">
        <v>329</v>
      </c>
      <c r="D487" s="4" t="s">
        <v>901</v>
      </c>
      <c r="E487" s="4" t="s">
        <v>329</v>
      </c>
      <c r="F487" s="4" t="s">
        <v>1009</v>
      </c>
      <c r="G487" s="4" t="s">
        <v>1849</v>
      </c>
      <c r="H487" s="4" t="s">
        <v>1018</v>
      </c>
      <c r="I487" s="4"/>
      <c r="J487" s="4" t="s">
        <v>1018</v>
      </c>
      <c r="K487" s="4" t="s">
        <v>90</v>
      </c>
      <c r="L487" s="4" t="s">
        <v>61</v>
      </c>
      <c r="M487" s="4" t="s">
        <v>1012</v>
      </c>
      <c r="N487" s="4" t="s">
        <v>90</v>
      </c>
      <c r="O487" s="4" t="s">
        <v>71</v>
      </c>
      <c r="P487" s="4" t="s">
        <v>71</v>
      </c>
      <c r="Q487" s="4"/>
      <c r="R487" s="4" t="s">
        <v>143</v>
      </c>
      <c r="S487" s="4" t="s">
        <v>71</v>
      </c>
      <c r="T487" s="4" t="s">
        <v>71</v>
      </c>
      <c r="U487" s="4" t="str">
        <f t="shared" si="7"/>
        <v>NO</v>
      </c>
    </row>
    <row r="488" spans="1:21" ht="42" customHeight="1">
      <c r="A488" s="4" t="s">
        <v>1850</v>
      </c>
      <c r="B488" s="4" t="s">
        <v>901</v>
      </c>
      <c r="C488" s="4" t="s">
        <v>120</v>
      </c>
      <c r="D488" s="4" t="s">
        <v>901</v>
      </c>
      <c r="E488" s="4" t="s">
        <v>120</v>
      </c>
      <c r="F488" s="4" t="s">
        <v>1009</v>
      </c>
      <c r="G488" s="4" t="s">
        <v>1851</v>
      </c>
      <c r="H488" s="4" t="s">
        <v>1018</v>
      </c>
      <c r="I488" s="4"/>
      <c r="J488" s="4" t="s">
        <v>1018</v>
      </c>
      <c r="K488" s="4" t="s">
        <v>90</v>
      </c>
      <c r="L488" s="4" t="s">
        <v>48</v>
      </c>
      <c r="M488" s="4" t="s">
        <v>1012</v>
      </c>
      <c r="N488" s="4" t="s">
        <v>90</v>
      </c>
      <c r="O488" s="4" t="s">
        <v>71</v>
      </c>
      <c r="P488" s="4" t="s">
        <v>71</v>
      </c>
      <c r="Q488" s="4"/>
      <c r="R488" s="4" t="s">
        <v>143</v>
      </c>
      <c r="S488" s="4" t="s">
        <v>71</v>
      </c>
      <c r="T488" s="4" t="s">
        <v>71</v>
      </c>
      <c r="U488" s="4" t="str">
        <f t="shared" si="7"/>
        <v>NO</v>
      </c>
    </row>
    <row r="489" spans="1:21" ht="42" customHeight="1">
      <c r="A489" s="4" t="s">
        <v>1852</v>
      </c>
      <c r="B489" s="4" t="s">
        <v>901</v>
      </c>
      <c r="C489" s="4" t="s">
        <v>461</v>
      </c>
      <c r="D489" s="4" t="s">
        <v>901</v>
      </c>
      <c r="E489" s="4" t="s">
        <v>461</v>
      </c>
      <c r="F489" s="4" t="s">
        <v>1009</v>
      </c>
      <c r="G489" s="4" t="s">
        <v>1853</v>
      </c>
      <c r="H489" s="4" t="s">
        <v>1018</v>
      </c>
      <c r="I489" s="4"/>
      <c r="J489" s="4" t="s">
        <v>1018</v>
      </c>
      <c r="K489" s="4" t="s">
        <v>90</v>
      </c>
      <c r="L489" s="4" t="s">
        <v>92</v>
      </c>
      <c r="M489" s="4" t="s">
        <v>1012</v>
      </c>
      <c r="N489" s="4" t="s">
        <v>92</v>
      </c>
      <c r="O489" s="4" t="s">
        <v>71</v>
      </c>
      <c r="P489" s="4" t="s">
        <v>71</v>
      </c>
      <c r="Q489" s="4"/>
      <c r="R489" s="4" t="s">
        <v>143</v>
      </c>
      <c r="S489" s="4" t="s">
        <v>71</v>
      </c>
      <c r="T489" s="4" t="s">
        <v>71</v>
      </c>
      <c r="U489" s="4" t="str">
        <f t="shared" si="7"/>
        <v>NO</v>
      </c>
    </row>
    <row r="490" spans="1:21" ht="42" customHeight="1">
      <c r="A490" s="4" t="s">
        <v>1854</v>
      </c>
      <c r="B490" s="4" t="s">
        <v>245</v>
      </c>
      <c r="C490" s="4" t="s">
        <v>901</v>
      </c>
      <c r="D490" s="4" t="s">
        <v>245</v>
      </c>
      <c r="E490" s="4" t="s">
        <v>901</v>
      </c>
      <c r="F490" s="4" t="s">
        <v>1009</v>
      </c>
      <c r="G490" s="4" t="s">
        <v>1855</v>
      </c>
      <c r="H490" s="4" t="s">
        <v>1018</v>
      </c>
      <c r="I490" s="4"/>
      <c r="J490" s="4" t="s">
        <v>1018</v>
      </c>
      <c r="K490" s="4" t="s">
        <v>86</v>
      </c>
      <c r="L490" s="4" t="s">
        <v>90</v>
      </c>
      <c r="M490" s="4" t="s">
        <v>1012</v>
      </c>
      <c r="N490" s="4" t="s">
        <v>90</v>
      </c>
      <c r="O490" s="4" t="s">
        <v>71</v>
      </c>
      <c r="P490" s="4" t="s">
        <v>71</v>
      </c>
      <c r="Q490" s="4"/>
      <c r="R490" s="4" t="s">
        <v>143</v>
      </c>
      <c r="S490" s="4" t="s">
        <v>71</v>
      </c>
      <c r="T490" s="4" t="s">
        <v>71</v>
      </c>
      <c r="U490" s="4" t="str">
        <f t="shared" si="7"/>
        <v>NO</v>
      </c>
    </row>
    <row r="491" spans="1:21" ht="42" customHeight="1">
      <c r="A491" s="4" t="s">
        <v>1856</v>
      </c>
      <c r="B491" s="4" t="s">
        <v>371</v>
      </c>
      <c r="C491" s="4" t="s">
        <v>901</v>
      </c>
      <c r="D491" s="4" t="s">
        <v>371</v>
      </c>
      <c r="E491" s="4" t="s">
        <v>901</v>
      </c>
      <c r="F491" s="4" t="s">
        <v>1009</v>
      </c>
      <c r="G491" s="4" t="s">
        <v>1857</v>
      </c>
      <c r="H491" s="4" t="s">
        <v>1018</v>
      </c>
      <c r="I491" s="4"/>
      <c r="J491" s="4" t="s">
        <v>1018</v>
      </c>
      <c r="K491" s="4" t="s">
        <v>69</v>
      </c>
      <c r="L491" s="4" t="s">
        <v>90</v>
      </c>
      <c r="M491" s="4" t="s">
        <v>1012</v>
      </c>
      <c r="N491" s="4" t="s">
        <v>90</v>
      </c>
      <c r="O491" s="4" t="s">
        <v>71</v>
      </c>
      <c r="P491" s="4" t="s">
        <v>71</v>
      </c>
      <c r="Q491" s="4"/>
      <c r="R491" s="4" t="s">
        <v>143</v>
      </c>
      <c r="S491" s="4" t="s">
        <v>71</v>
      </c>
      <c r="T491" s="4" t="s">
        <v>71</v>
      </c>
      <c r="U491" s="4" t="str">
        <f t="shared" si="7"/>
        <v>NO</v>
      </c>
    </row>
    <row r="492" spans="1:21" ht="42" customHeight="1">
      <c r="A492" s="4" t="s">
        <v>1858</v>
      </c>
      <c r="B492" s="4" t="s">
        <v>348</v>
      </c>
      <c r="C492" s="4" t="s">
        <v>901</v>
      </c>
      <c r="D492" s="4" t="s">
        <v>348</v>
      </c>
      <c r="E492" s="4" t="s">
        <v>901</v>
      </c>
      <c r="F492" s="4" t="s">
        <v>1009</v>
      </c>
      <c r="G492" s="4" t="s">
        <v>1859</v>
      </c>
      <c r="H492" s="4" t="s">
        <v>1018</v>
      </c>
      <c r="I492" s="4"/>
      <c r="J492" s="4" t="s">
        <v>1018</v>
      </c>
      <c r="K492" s="4" t="s">
        <v>90</v>
      </c>
      <c r="L492" s="4" t="s">
        <v>90</v>
      </c>
      <c r="M492" s="4" t="s">
        <v>1021</v>
      </c>
      <c r="N492" s="4" t="s">
        <v>90</v>
      </c>
      <c r="O492" s="4" t="s">
        <v>71</v>
      </c>
      <c r="P492" s="4" t="s">
        <v>71</v>
      </c>
      <c r="Q492" s="4"/>
      <c r="R492" s="4" t="s">
        <v>143</v>
      </c>
      <c r="S492" s="4" t="s">
        <v>71</v>
      </c>
      <c r="T492" s="4" t="s">
        <v>71</v>
      </c>
      <c r="U492" s="4" t="str">
        <f t="shared" si="7"/>
        <v>NO</v>
      </c>
    </row>
    <row r="493" spans="1:21" ht="42" customHeight="1">
      <c r="A493" s="4" t="s">
        <v>1860</v>
      </c>
      <c r="B493" s="4" t="s">
        <v>440</v>
      </c>
      <c r="C493" s="4" t="s">
        <v>901</v>
      </c>
      <c r="D493" s="4" t="s">
        <v>440</v>
      </c>
      <c r="E493" s="4" t="s">
        <v>901</v>
      </c>
      <c r="F493" s="4" t="s">
        <v>1009</v>
      </c>
      <c r="G493" s="4" t="s">
        <v>1861</v>
      </c>
      <c r="H493" s="4" t="s">
        <v>1018</v>
      </c>
      <c r="I493" s="4"/>
      <c r="J493" s="4" t="s">
        <v>1018</v>
      </c>
      <c r="K493" s="4" t="s">
        <v>83</v>
      </c>
      <c r="L493" s="4" t="s">
        <v>90</v>
      </c>
      <c r="M493" s="4" t="s">
        <v>1012</v>
      </c>
      <c r="N493" s="4" t="s">
        <v>90</v>
      </c>
      <c r="O493" s="4" t="s">
        <v>71</v>
      </c>
      <c r="P493" s="4" t="s">
        <v>71</v>
      </c>
      <c r="Q493" s="4"/>
      <c r="R493" s="4" t="s">
        <v>143</v>
      </c>
      <c r="S493" s="4" t="s">
        <v>71</v>
      </c>
      <c r="T493" s="4" t="s">
        <v>71</v>
      </c>
      <c r="U493" s="4" t="str">
        <f t="shared" si="7"/>
        <v>NO</v>
      </c>
    </row>
    <row r="494" spans="1:21" ht="42" customHeight="1">
      <c r="A494" s="4" t="s">
        <v>1862</v>
      </c>
      <c r="B494" s="4" t="s">
        <v>904</v>
      </c>
      <c r="C494" s="4" t="s">
        <v>179</v>
      </c>
      <c r="D494" s="4" t="s">
        <v>904</v>
      </c>
      <c r="E494" s="4" t="s">
        <v>179</v>
      </c>
      <c r="F494" s="4" t="s">
        <v>1009</v>
      </c>
      <c r="G494" s="4" t="s">
        <v>1863</v>
      </c>
      <c r="H494" s="4" t="s">
        <v>1018</v>
      </c>
      <c r="I494" s="4"/>
      <c r="J494" s="4" t="s">
        <v>1018</v>
      </c>
      <c r="K494" s="4" t="s">
        <v>58</v>
      </c>
      <c r="L494" s="4" t="s">
        <v>55</v>
      </c>
      <c r="M494" s="4" t="s">
        <v>1012</v>
      </c>
      <c r="N494" s="4" t="s">
        <v>58</v>
      </c>
      <c r="O494" s="4" t="s">
        <v>71</v>
      </c>
      <c r="P494" s="4" t="s">
        <v>71</v>
      </c>
      <c r="Q494" s="4"/>
      <c r="R494" s="4" t="s">
        <v>143</v>
      </c>
      <c r="S494" s="4" t="s">
        <v>71</v>
      </c>
      <c r="T494" s="4" t="s">
        <v>71</v>
      </c>
      <c r="U494" s="4" t="str">
        <f t="shared" si="7"/>
        <v>NO</v>
      </c>
    </row>
    <row r="495" spans="1:21" ht="42" customHeight="1">
      <c r="A495" s="4" t="s">
        <v>1864</v>
      </c>
      <c r="B495" s="4" t="s">
        <v>904</v>
      </c>
      <c r="C495" s="4" t="s">
        <v>867</v>
      </c>
      <c r="D495" s="4" t="s">
        <v>904</v>
      </c>
      <c r="E495" s="4" t="s">
        <v>867</v>
      </c>
      <c r="F495" s="4" t="s">
        <v>1009</v>
      </c>
      <c r="G495" s="4" t="s">
        <v>1865</v>
      </c>
      <c r="H495" s="4" t="s">
        <v>1018</v>
      </c>
      <c r="I495" s="4"/>
      <c r="J495" s="4" t="s">
        <v>1018</v>
      </c>
      <c r="K495" s="4" t="s">
        <v>58</v>
      </c>
      <c r="L495" s="4" t="s">
        <v>48</v>
      </c>
      <c r="M495" s="4" t="s">
        <v>1012</v>
      </c>
      <c r="N495" s="4" t="s">
        <v>58</v>
      </c>
      <c r="O495" s="4" t="s">
        <v>71</v>
      </c>
      <c r="P495" s="4" t="s">
        <v>71</v>
      </c>
      <c r="Q495" s="4"/>
      <c r="R495" s="4" t="s">
        <v>143</v>
      </c>
      <c r="S495" s="4" t="s">
        <v>71</v>
      </c>
      <c r="T495" s="4" t="s">
        <v>71</v>
      </c>
      <c r="U495" s="4" t="str">
        <f t="shared" si="7"/>
        <v>NO</v>
      </c>
    </row>
    <row r="496" spans="1:21" ht="42" customHeight="1">
      <c r="A496" s="4" t="s">
        <v>1866</v>
      </c>
      <c r="B496" s="4" t="s">
        <v>588</v>
      </c>
      <c r="C496" s="4" t="s">
        <v>904</v>
      </c>
      <c r="D496" s="4" t="s">
        <v>588</v>
      </c>
      <c r="E496" s="4" t="s">
        <v>904</v>
      </c>
      <c r="F496" s="4" t="s">
        <v>1009</v>
      </c>
      <c r="G496" s="4" t="s">
        <v>1867</v>
      </c>
      <c r="H496" s="4" t="s">
        <v>1018</v>
      </c>
      <c r="I496" s="4"/>
      <c r="J496" s="4" t="s">
        <v>1018</v>
      </c>
      <c r="K496" s="4" t="s">
        <v>83</v>
      </c>
      <c r="L496" s="4" t="s">
        <v>58</v>
      </c>
      <c r="M496" s="4" t="s">
        <v>1012</v>
      </c>
      <c r="N496" s="4" t="s">
        <v>83</v>
      </c>
      <c r="O496" s="4" t="s">
        <v>71</v>
      </c>
      <c r="P496" s="4" t="s">
        <v>71</v>
      </c>
      <c r="Q496" s="4"/>
      <c r="R496" s="4" t="s">
        <v>143</v>
      </c>
      <c r="S496" s="4" t="s">
        <v>71</v>
      </c>
      <c r="T496" s="4" t="s">
        <v>71</v>
      </c>
      <c r="U496" s="4" t="str">
        <f t="shared" si="7"/>
        <v>NO</v>
      </c>
    </row>
    <row r="497" spans="1:21" ht="42" customHeight="1">
      <c r="A497" s="4" t="s">
        <v>1868</v>
      </c>
      <c r="B497" s="4" t="s">
        <v>594</v>
      </c>
      <c r="C497" s="4" t="s">
        <v>904</v>
      </c>
      <c r="D497" s="4" t="s">
        <v>594</v>
      </c>
      <c r="E497" s="4" t="s">
        <v>904</v>
      </c>
      <c r="F497" s="4" t="s">
        <v>1009</v>
      </c>
      <c r="G497" s="4" t="s">
        <v>1869</v>
      </c>
      <c r="H497" s="4" t="s">
        <v>1018</v>
      </c>
      <c r="I497" s="4"/>
      <c r="J497" s="4" t="s">
        <v>1018</v>
      </c>
      <c r="K497" s="4" t="s">
        <v>83</v>
      </c>
      <c r="L497" s="4" t="s">
        <v>58</v>
      </c>
      <c r="M497" s="4" t="s">
        <v>1012</v>
      </c>
      <c r="N497" s="4" t="s">
        <v>83</v>
      </c>
      <c r="O497" s="4" t="s">
        <v>71</v>
      </c>
      <c r="P497" s="4" t="s">
        <v>71</v>
      </c>
      <c r="Q497" s="4"/>
      <c r="R497" s="4" t="s">
        <v>143</v>
      </c>
      <c r="S497" s="4" t="s">
        <v>71</v>
      </c>
      <c r="T497" s="4" t="s">
        <v>71</v>
      </c>
      <c r="U497" s="4" t="str">
        <f t="shared" si="7"/>
        <v>NO</v>
      </c>
    </row>
    <row r="498" spans="1:21" ht="42" customHeight="1">
      <c r="A498" s="4" t="s">
        <v>1870</v>
      </c>
      <c r="B498" s="4" t="s">
        <v>573</v>
      </c>
      <c r="C498" s="4" t="s">
        <v>904</v>
      </c>
      <c r="D498" s="4" t="s">
        <v>573</v>
      </c>
      <c r="E498" s="4" t="s">
        <v>904</v>
      </c>
      <c r="F498" s="4" t="s">
        <v>1009</v>
      </c>
      <c r="G498" s="4" t="s">
        <v>1871</v>
      </c>
      <c r="H498" s="4" t="s">
        <v>1018</v>
      </c>
      <c r="I498" s="4"/>
      <c r="J498" s="4" t="s">
        <v>1018</v>
      </c>
      <c r="K498" s="4" t="s">
        <v>58</v>
      </c>
      <c r="L498" s="4" t="s">
        <v>58</v>
      </c>
      <c r="M498" s="4" t="s">
        <v>1021</v>
      </c>
      <c r="N498" s="4" t="s">
        <v>58</v>
      </c>
      <c r="O498" s="4" t="s">
        <v>71</v>
      </c>
      <c r="P498" s="4" t="s">
        <v>71</v>
      </c>
      <c r="Q498" s="4"/>
      <c r="R498" s="4" t="s">
        <v>143</v>
      </c>
      <c r="S498" s="4" t="s">
        <v>71</v>
      </c>
      <c r="T498" s="4" t="s">
        <v>71</v>
      </c>
      <c r="U498" s="4" t="str">
        <f t="shared" si="7"/>
        <v>NO</v>
      </c>
    </row>
    <row r="499" spans="1:21" ht="42" customHeight="1">
      <c r="A499" s="4" t="s">
        <v>1872</v>
      </c>
      <c r="B499" s="4" t="s">
        <v>221</v>
      </c>
      <c r="C499" s="4" t="s">
        <v>904</v>
      </c>
      <c r="D499" s="4" t="s">
        <v>221</v>
      </c>
      <c r="E499" s="4" t="s">
        <v>904</v>
      </c>
      <c r="F499" s="4" t="s">
        <v>1009</v>
      </c>
      <c r="G499" s="4" t="s">
        <v>1873</v>
      </c>
      <c r="H499" s="4" t="s">
        <v>1018</v>
      </c>
      <c r="I499" s="4"/>
      <c r="J499" s="4" t="s">
        <v>1018</v>
      </c>
      <c r="K499" s="4" t="s">
        <v>77</v>
      </c>
      <c r="L499" s="4" t="s">
        <v>58</v>
      </c>
      <c r="M499" s="4" t="s">
        <v>1012</v>
      </c>
      <c r="N499" s="4" t="s">
        <v>77</v>
      </c>
      <c r="O499" s="4" t="s">
        <v>71</v>
      </c>
      <c r="P499" s="4" t="s">
        <v>71</v>
      </c>
      <c r="Q499" s="4"/>
      <c r="R499" s="4" t="s">
        <v>143</v>
      </c>
      <c r="S499" s="4" t="s">
        <v>71</v>
      </c>
      <c r="T499" s="4" t="s">
        <v>71</v>
      </c>
      <c r="U499" s="4" t="str">
        <f t="shared" si="7"/>
        <v>NO</v>
      </c>
    </row>
    <row r="500" spans="1:21" ht="42" customHeight="1">
      <c r="A500" s="4" t="s">
        <v>1874</v>
      </c>
      <c r="B500" s="4" t="s">
        <v>627</v>
      </c>
      <c r="C500" s="4" t="s">
        <v>904</v>
      </c>
      <c r="D500" s="4" t="s">
        <v>627</v>
      </c>
      <c r="E500" s="4" t="s">
        <v>904</v>
      </c>
      <c r="F500" s="4" t="s">
        <v>1009</v>
      </c>
      <c r="G500" s="4" t="s">
        <v>1875</v>
      </c>
      <c r="H500" s="4" t="s">
        <v>1018</v>
      </c>
      <c r="I500" s="4"/>
      <c r="J500" s="4" t="s">
        <v>1018</v>
      </c>
      <c r="K500" s="4" t="s">
        <v>83</v>
      </c>
      <c r="L500" s="4" t="s">
        <v>58</v>
      </c>
      <c r="M500" s="4" t="s">
        <v>1012</v>
      </c>
      <c r="N500" s="4" t="s">
        <v>83</v>
      </c>
      <c r="O500" s="4" t="s">
        <v>71</v>
      </c>
      <c r="P500" s="4" t="s">
        <v>71</v>
      </c>
      <c r="Q500" s="4"/>
      <c r="R500" s="4" t="s">
        <v>143</v>
      </c>
      <c r="S500" s="4" t="s">
        <v>71</v>
      </c>
      <c r="T500" s="4" t="s">
        <v>71</v>
      </c>
      <c r="U500" s="4" t="str">
        <f t="shared" si="7"/>
        <v>NO</v>
      </c>
    </row>
    <row r="501" spans="1:21" ht="42" customHeight="1">
      <c r="A501" s="4" t="s">
        <v>1876</v>
      </c>
      <c r="B501" s="4" t="s">
        <v>636</v>
      </c>
      <c r="C501" s="4" t="s">
        <v>904</v>
      </c>
      <c r="D501" s="4" t="s">
        <v>636</v>
      </c>
      <c r="E501" s="4" t="s">
        <v>904</v>
      </c>
      <c r="F501" s="4" t="s">
        <v>1009</v>
      </c>
      <c r="G501" s="4" t="s">
        <v>1877</v>
      </c>
      <c r="H501" s="4" t="s">
        <v>1018</v>
      </c>
      <c r="I501" s="4"/>
      <c r="J501" s="4" t="s">
        <v>1018</v>
      </c>
      <c r="K501" s="4" t="s">
        <v>86</v>
      </c>
      <c r="L501" s="4" t="s">
        <v>58</v>
      </c>
      <c r="M501" s="4" t="s">
        <v>1012</v>
      </c>
      <c r="N501" s="4" t="s">
        <v>86</v>
      </c>
      <c r="O501" s="4" t="s">
        <v>71</v>
      </c>
      <c r="P501" s="4" t="s">
        <v>71</v>
      </c>
      <c r="Q501" s="4"/>
      <c r="R501" s="4" t="s">
        <v>143</v>
      </c>
      <c r="S501" s="4" t="s">
        <v>71</v>
      </c>
      <c r="T501" s="4" t="s">
        <v>71</v>
      </c>
      <c r="U501" s="4" t="str">
        <f t="shared" si="7"/>
        <v>NO</v>
      </c>
    </row>
    <row r="502" spans="1:21" ht="42" customHeight="1">
      <c r="A502" s="4" t="s">
        <v>1878</v>
      </c>
      <c r="B502" s="4" t="s">
        <v>908</v>
      </c>
      <c r="C502" s="4" t="s">
        <v>802</v>
      </c>
      <c r="D502" s="4" t="s">
        <v>908</v>
      </c>
      <c r="E502" s="4" t="s">
        <v>802</v>
      </c>
      <c r="F502" s="4" t="s">
        <v>1009</v>
      </c>
      <c r="G502" s="4" t="s">
        <v>1879</v>
      </c>
      <c r="H502" s="4" t="s">
        <v>1018</v>
      </c>
      <c r="I502" s="4"/>
      <c r="J502" s="4" t="s">
        <v>1018</v>
      </c>
      <c r="K502" s="4" t="s">
        <v>77</v>
      </c>
      <c r="L502" s="4" t="s">
        <v>88</v>
      </c>
      <c r="M502" s="4" t="s">
        <v>1012</v>
      </c>
      <c r="N502" s="4" t="s">
        <v>88</v>
      </c>
      <c r="O502" s="4" t="s">
        <v>71</v>
      </c>
      <c r="P502" s="4" t="s">
        <v>71</v>
      </c>
      <c r="Q502" s="4"/>
      <c r="R502" s="4" t="s">
        <v>143</v>
      </c>
      <c r="S502" s="4" t="s">
        <v>71</v>
      </c>
      <c r="T502" s="4" t="s">
        <v>71</v>
      </c>
      <c r="U502" s="4" t="str">
        <f t="shared" si="7"/>
        <v>NO</v>
      </c>
    </row>
    <row r="503" spans="1:21" ht="42" customHeight="1">
      <c r="A503" s="4" t="s">
        <v>1880</v>
      </c>
      <c r="B503" s="4" t="s">
        <v>908</v>
      </c>
      <c r="C503" s="4" t="s">
        <v>498</v>
      </c>
      <c r="D503" s="4" t="s">
        <v>908</v>
      </c>
      <c r="E503" s="4" t="s">
        <v>498</v>
      </c>
      <c r="F503" s="4" t="s">
        <v>1009</v>
      </c>
      <c r="G503" s="4" t="s">
        <v>1881</v>
      </c>
      <c r="H503" s="4" t="s">
        <v>1018</v>
      </c>
      <c r="I503" s="4"/>
      <c r="J503" s="4" t="s">
        <v>1018</v>
      </c>
      <c r="K503" s="4" t="s">
        <v>77</v>
      </c>
      <c r="L503" s="4" t="s">
        <v>77</v>
      </c>
      <c r="M503" s="4" t="s">
        <v>1021</v>
      </c>
      <c r="N503" s="4" t="s">
        <v>77</v>
      </c>
      <c r="O503" s="4" t="s">
        <v>71</v>
      </c>
      <c r="P503" s="4" t="s">
        <v>71</v>
      </c>
      <c r="Q503" s="4"/>
      <c r="R503" s="4" t="s">
        <v>143</v>
      </c>
      <c r="S503" s="4" t="s">
        <v>71</v>
      </c>
      <c r="T503" s="4" t="s">
        <v>71</v>
      </c>
      <c r="U503" s="4" t="str">
        <f t="shared" si="7"/>
        <v>NO</v>
      </c>
    </row>
    <row r="504" spans="1:21" ht="42" customHeight="1">
      <c r="A504" s="4" t="s">
        <v>1882</v>
      </c>
      <c r="B504" s="4" t="s">
        <v>908</v>
      </c>
      <c r="C504" s="4" t="s">
        <v>378</v>
      </c>
      <c r="D504" s="4" t="s">
        <v>908</v>
      </c>
      <c r="E504" s="4" t="s">
        <v>378</v>
      </c>
      <c r="F504" s="4" t="s">
        <v>1009</v>
      </c>
      <c r="G504" s="4" t="s">
        <v>1883</v>
      </c>
      <c r="H504" s="4" t="s">
        <v>1018</v>
      </c>
      <c r="I504" s="4"/>
      <c r="J504" s="4" t="s">
        <v>1018</v>
      </c>
      <c r="K504" s="4" t="s">
        <v>77</v>
      </c>
      <c r="L504" s="4" t="s">
        <v>61</v>
      </c>
      <c r="M504" s="4" t="s">
        <v>1012</v>
      </c>
      <c r="N504" s="4" t="s">
        <v>77</v>
      </c>
      <c r="O504" s="4" t="s">
        <v>71</v>
      </c>
      <c r="P504" s="4" t="s">
        <v>71</v>
      </c>
      <c r="Q504" s="4"/>
      <c r="R504" s="4" t="s">
        <v>143</v>
      </c>
      <c r="S504" s="4" t="s">
        <v>71</v>
      </c>
      <c r="T504" s="4" t="s">
        <v>71</v>
      </c>
      <c r="U504" s="4" t="str">
        <f t="shared" si="7"/>
        <v>NO</v>
      </c>
    </row>
    <row r="505" spans="1:21" ht="42" customHeight="1">
      <c r="A505" s="4" t="s">
        <v>1884</v>
      </c>
      <c r="B505" s="4" t="s">
        <v>908</v>
      </c>
      <c r="C505" s="4" t="s">
        <v>245</v>
      </c>
      <c r="D505" s="4" t="s">
        <v>908</v>
      </c>
      <c r="E505" s="4" t="s">
        <v>245</v>
      </c>
      <c r="F505" s="4" t="s">
        <v>1009</v>
      </c>
      <c r="G505" s="4" t="s">
        <v>1885</v>
      </c>
      <c r="H505" s="4" t="s">
        <v>1018</v>
      </c>
      <c r="I505" s="4"/>
      <c r="J505" s="4" t="s">
        <v>1018</v>
      </c>
      <c r="K505" s="4" t="s">
        <v>77</v>
      </c>
      <c r="L505" s="4" t="s">
        <v>86</v>
      </c>
      <c r="M505" s="4" t="s">
        <v>1012</v>
      </c>
      <c r="N505" s="4" t="s">
        <v>86</v>
      </c>
      <c r="O505" s="4" t="s">
        <v>71</v>
      </c>
      <c r="P505" s="4" t="s">
        <v>71</v>
      </c>
      <c r="Q505" s="4"/>
      <c r="R505" s="4" t="s">
        <v>143</v>
      </c>
      <c r="S505" s="4" t="s">
        <v>71</v>
      </c>
      <c r="T505" s="4" t="s">
        <v>71</v>
      </c>
      <c r="U505" s="4" t="str">
        <f t="shared" si="7"/>
        <v>NO</v>
      </c>
    </row>
    <row r="506" spans="1:21" ht="42" customHeight="1">
      <c r="A506" s="4" t="s">
        <v>1886</v>
      </c>
      <c r="B506" s="4" t="s">
        <v>908</v>
      </c>
      <c r="C506" s="4" t="s">
        <v>469</v>
      </c>
      <c r="D506" s="4" t="s">
        <v>908</v>
      </c>
      <c r="E506" s="4" t="s">
        <v>469</v>
      </c>
      <c r="F506" s="4" t="s">
        <v>1009</v>
      </c>
      <c r="G506" s="4" t="s">
        <v>1887</v>
      </c>
      <c r="H506" s="4" t="s">
        <v>1018</v>
      </c>
      <c r="I506" s="4"/>
      <c r="J506" s="4" t="s">
        <v>1018</v>
      </c>
      <c r="K506" s="4" t="s">
        <v>77</v>
      </c>
      <c r="L506" s="4" t="s">
        <v>83</v>
      </c>
      <c r="M506" s="4" t="s">
        <v>1012</v>
      </c>
      <c r="N506" s="4" t="s">
        <v>83</v>
      </c>
      <c r="O506" s="4" t="s">
        <v>71</v>
      </c>
      <c r="P506" s="4" t="s">
        <v>71</v>
      </c>
      <c r="Q506" s="4"/>
      <c r="R506" s="4" t="s">
        <v>143</v>
      </c>
      <c r="S506" s="4" t="s">
        <v>71</v>
      </c>
      <c r="T506" s="4" t="s">
        <v>71</v>
      </c>
      <c r="U506" s="4" t="str">
        <f t="shared" si="7"/>
        <v>NO</v>
      </c>
    </row>
    <row r="507" spans="1:21" ht="42" customHeight="1">
      <c r="A507" s="4" t="s">
        <v>1888</v>
      </c>
      <c r="B507" s="4" t="s">
        <v>908</v>
      </c>
      <c r="C507" s="4" t="s">
        <v>936</v>
      </c>
      <c r="D507" s="4" t="s">
        <v>908</v>
      </c>
      <c r="E507" s="4" t="s">
        <v>936</v>
      </c>
      <c r="F507" s="4" t="s">
        <v>1009</v>
      </c>
      <c r="G507" s="4" t="s">
        <v>1889</v>
      </c>
      <c r="H507" s="4" t="s">
        <v>1018</v>
      </c>
      <c r="I507" s="4"/>
      <c r="J507" s="4" t="s">
        <v>1018</v>
      </c>
      <c r="K507" s="4" t="s">
        <v>77</v>
      </c>
      <c r="L507" s="4" t="s">
        <v>69</v>
      </c>
      <c r="M507" s="4" t="s">
        <v>1012</v>
      </c>
      <c r="N507" s="4" t="s">
        <v>77</v>
      </c>
      <c r="O507" s="4" t="s">
        <v>71</v>
      </c>
      <c r="P507" s="4" t="s">
        <v>71</v>
      </c>
      <c r="Q507" s="4"/>
      <c r="R507" s="4" t="s">
        <v>143</v>
      </c>
      <c r="S507" s="4" t="s">
        <v>71</v>
      </c>
      <c r="T507" s="4" t="s">
        <v>71</v>
      </c>
      <c r="U507" s="4" t="str">
        <f t="shared" si="7"/>
        <v>NO</v>
      </c>
    </row>
    <row r="508" spans="1:21" ht="42" customHeight="1">
      <c r="A508" s="4" t="s">
        <v>1890</v>
      </c>
      <c r="B508" s="4" t="s">
        <v>908</v>
      </c>
      <c r="C508" s="4" t="s">
        <v>933</v>
      </c>
      <c r="D508" s="4" t="s">
        <v>908</v>
      </c>
      <c r="E508" s="4" t="s">
        <v>933</v>
      </c>
      <c r="F508" s="4" t="s">
        <v>1009</v>
      </c>
      <c r="G508" s="4" t="s">
        <v>1891</v>
      </c>
      <c r="H508" s="4" t="s">
        <v>1018</v>
      </c>
      <c r="I508" s="4"/>
      <c r="J508" s="4" t="s">
        <v>1018</v>
      </c>
      <c r="K508" s="4" t="s">
        <v>77</v>
      </c>
      <c r="L508" s="4" t="s">
        <v>77</v>
      </c>
      <c r="M508" s="4" t="s">
        <v>1021</v>
      </c>
      <c r="N508" s="4" t="s">
        <v>77</v>
      </c>
      <c r="O508" s="4" t="s">
        <v>71</v>
      </c>
      <c r="P508" s="4" t="s">
        <v>71</v>
      </c>
      <c r="Q508" s="4"/>
      <c r="R508" s="4" t="s">
        <v>143</v>
      </c>
      <c r="S508" s="4" t="s">
        <v>71</v>
      </c>
      <c r="T508" s="4" t="s">
        <v>71</v>
      </c>
      <c r="U508" s="4" t="str">
        <f t="shared" si="7"/>
        <v>NO</v>
      </c>
    </row>
    <row r="509" spans="1:21" ht="42" customHeight="1">
      <c r="A509" s="4" t="s">
        <v>1892</v>
      </c>
      <c r="B509" s="4" t="s">
        <v>933</v>
      </c>
      <c r="C509" s="4" t="s">
        <v>802</v>
      </c>
      <c r="D509" s="4" t="s">
        <v>933</v>
      </c>
      <c r="E509" s="4" t="s">
        <v>802</v>
      </c>
      <c r="F509" s="4" t="s">
        <v>1009</v>
      </c>
      <c r="G509" s="4" t="s">
        <v>1893</v>
      </c>
      <c r="H509" s="4" t="s">
        <v>1018</v>
      </c>
      <c r="I509" s="4"/>
      <c r="J509" s="4" t="s">
        <v>1018</v>
      </c>
      <c r="K509" s="4" t="s">
        <v>77</v>
      </c>
      <c r="L509" s="4" t="s">
        <v>88</v>
      </c>
      <c r="M509" s="4" t="s">
        <v>1012</v>
      </c>
      <c r="N509" s="4" t="s">
        <v>88</v>
      </c>
      <c r="O509" s="4" t="s">
        <v>71</v>
      </c>
      <c r="P509" s="4" t="s">
        <v>71</v>
      </c>
      <c r="Q509" s="4"/>
      <c r="R509" s="4" t="s">
        <v>143</v>
      </c>
      <c r="S509" s="4" t="s">
        <v>71</v>
      </c>
      <c r="T509" s="4" t="s">
        <v>71</v>
      </c>
      <c r="U509" s="4" t="str">
        <f t="shared" si="7"/>
        <v>NO</v>
      </c>
    </row>
    <row r="510" spans="1:21" ht="42" customHeight="1">
      <c r="A510" s="4" t="s">
        <v>1894</v>
      </c>
      <c r="B510" s="4" t="s">
        <v>936</v>
      </c>
      <c r="C510" s="4" t="s">
        <v>469</v>
      </c>
      <c r="D510" s="4" t="s">
        <v>936</v>
      </c>
      <c r="E510" s="4" t="s">
        <v>469</v>
      </c>
      <c r="F510" s="4" t="s">
        <v>1009</v>
      </c>
      <c r="G510" s="4" t="s">
        <v>1895</v>
      </c>
      <c r="H510" s="4" t="s">
        <v>1018</v>
      </c>
      <c r="I510" s="4"/>
      <c r="J510" s="4" t="s">
        <v>1018</v>
      </c>
      <c r="K510" s="4" t="s">
        <v>69</v>
      </c>
      <c r="L510" s="4" t="s">
        <v>83</v>
      </c>
      <c r="M510" s="4" t="s">
        <v>1012</v>
      </c>
      <c r="N510" s="4" t="s">
        <v>83</v>
      </c>
      <c r="O510" s="4" t="s">
        <v>71</v>
      </c>
      <c r="P510" s="4" t="s">
        <v>71</v>
      </c>
      <c r="Q510" s="4"/>
      <c r="R510" s="4" t="s">
        <v>143</v>
      </c>
      <c r="S510" s="4" t="s">
        <v>71</v>
      </c>
      <c r="T510" s="4" t="s">
        <v>71</v>
      </c>
      <c r="U510" s="4" t="str">
        <f t="shared" si="7"/>
        <v>NO</v>
      </c>
    </row>
    <row r="511" spans="1:21" ht="42" customHeight="1">
      <c r="A511" s="4" t="s">
        <v>1896</v>
      </c>
      <c r="B511" s="4" t="s">
        <v>936</v>
      </c>
      <c r="C511" s="4" t="s">
        <v>645</v>
      </c>
      <c r="D511" s="4" t="s">
        <v>936</v>
      </c>
      <c r="E511" s="4" t="s">
        <v>645</v>
      </c>
      <c r="F511" s="4" t="s">
        <v>1009</v>
      </c>
      <c r="G511" s="4" t="s">
        <v>1897</v>
      </c>
      <c r="H511" s="4" t="s">
        <v>1018</v>
      </c>
      <c r="I511" s="4"/>
      <c r="J511" s="4" t="s">
        <v>1018</v>
      </c>
      <c r="K511" s="4" t="s">
        <v>69</v>
      </c>
      <c r="L511" s="4" t="s">
        <v>69</v>
      </c>
      <c r="M511" s="4" t="s">
        <v>1021</v>
      </c>
      <c r="N511" s="4" t="s">
        <v>69</v>
      </c>
      <c r="O511" s="4" t="s">
        <v>71</v>
      </c>
      <c r="P511" s="4" t="s">
        <v>71</v>
      </c>
      <c r="Q511" s="4"/>
      <c r="R511" s="4" t="s">
        <v>143</v>
      </c>
      <c r="S511" s="4" t="s">
        <v>71</v>
      </c>
      <c r="T511" s="4" t="s">
        <v>71</v>
      </c>
      <c r="U511" s="4" t="str">
        <f t="shared" si="7"/>
        <v>NO</v>
      </c>
    </row>
    <row r="512" spans="1:21" ht="42" customHeight="1">
      <c r="A512" s="4" t="s">
        <v>1898</v>
      </c>
      <c r="B512" s="4" t="s">
        <v>498</v>
      </c>
      <c r="C512" s="4" t="s">
        <v>936</v>
      </c>
      <c r="D512" s="4" t="s">
        <v>498</v>
      </c>
      <c r="E512" s="4" t="s">
        <v>936</v>
      </c>
      <c r="F512" s="4" t="s">
        <v>1009</v>
      </c>
      <c r="G512" s="4" t="s">
        <v>1899</v>
      </c>
      <c r="H512" s="4" t="s">
        <v>1018</v>
      </c>
      <c r="I512" s="4"/>
      <c r="J512" s="4" t="s">
        <v>1018</v>
      </c>
      <c r="K512" s="4" t="s">
        <v>77</v>
      </c>
      <c r="L512" s="4" t="s">
        <v>69</v>
      </c>
      <c r="M512" s="4" t="s">
        <v>1012</v>
      </c>
      <c r="N512" s="4" t="s">
        <v>77</v>
      </c>
      <c r="O512" s="4" t="s">
        <v>71</v>
      </c>
      <c r="P512" s="4" t="s">
        <v>71</v>
      </c>
      <c r="Q512" s="4"/>
      <c r="R512" s="4" t="s">
        <v>143</v>
      </c>
      <c r="S512" s="4" t="s">
        <v>71</v>
      </c>
      <c r="T512" s="4" t="s">
        <v>71</v>
      </c>
      <c r="U512" s="4" t="str">
        <f t="shared" si="7"/>
        <v>NO</v>
      </c>
    </row>
    <row r="513" spans="1:21" ht="42" customHeight="1">
      <c r="A513" s="4" t="s">
        <v>1900</v>
      </c>
      <c r="B513" s="4" t="s">
        <v>911</v>
      </c>
      <c r="C513" s="4" t="s">
        <v>287</v>
      </c>
      <c r="D513" s="4" t="s">
        <v>911</v>
      </c>
      <c r="E513" s="4" t="s">
        <v>287</v>
      </c>
      <c r="F513" s="4" t="s">
        <v>1009</v>
      </c>
      <c r="G513" s="4" t="s">
        <v>1901</v>
      </c>
      <c r="H513" s="4" t="s">
        <v>1011</v>
      </c>
      <c r="I513" s="4"/>
      <c r="J513" s="4" t="s">
        <v>1011</v>
      </c>
      <c r="K513" s="4" t="s">
        <v>86</v>
      </c>
      <c r="L513" s="4" t="s">
        <v>48</v>
      </c>
      <c r="M513" s="4" t="s">
        <v>1012</v>
      </c>
      <c r="N513" s="4" t="s">
        <v>86</v>
      </c>
      <c r="O513" s="4" t="s">
        <v>71</v>
      </c>
      <c r="P513" s="4" t="s">
        <v>71</v>
      </c>
      <c r="Q513" s="4"/>
      <c r="R513" s="4" t="s">
        <v>143</v>
      </c>
      <c r="S513" s="4" t="s">
        <v>71</v>
      </c>
      <c r="T513" s="4" t="s">
        <v>71</v>
      </c>
      <c r="U513" s="4" t="str">
        <f t="shared" si="7"/>
        <v>NO</v>
      </c>
    </row>
    <row r="514" spans="1:21" ht="42" customHeight="1">
      <c r="A514" s="4" t="s">
        <v>1902</v>
      </c>
      <c r="B514" s="4" t="s">
        <v>600</v>
      </c>
      <c r="C514" s="4" t="s">
        <v>911</v>
      </c>
      <c r="D514" s="4" t="s">
        <v>600</v>
      </c>
      <c r="E514" s="4" t="s">
        <v>911</v>
      </c>
      <c r="F514" s="4" t="s">
        <v>1009</v>
      </c>
      <c r="G514" s="4" t="s">
        <v>1903</v>
      </c>
      <c r="H514" s="4" t="s">
        <v>1018</v>
      </c>
      <c r="I514" s="4"/>
      <c r="J514" s="4" t="s">
        <v>1018</v>
      </c>
      <c r="K514" s="4" t="s">
        <v>86</v>
      </c>
      <c r="L514" s="4" t="s">
        <v>86</v>
      </c>
      <c r="M514" s="4" t="s">
        <v>1021</v>
      </c>
      <c r="N514" s="4" t="s">
        <v>86</v>
      </c>
      <c r="O514" s="4" t="s">
        <v>71</v>
      </c>
      <c r="P514" s="4" t="s">
        <v>71</v>
      </c>
      <c r="Q514" s="4"/>
      <c r="R514" s="4" t="s">
        <v>143</v>
      </c>
      <c r="S514" s="4" t="s">
        <v>71</v>
      </c>
      <c r="T514" s="4" t="s">
        <v>71</v>
      </c>
      <c r="U514" s="4" t="str">
        <f t="shared" si="7"/>
        <v>NO</v>
      </c>
    </row>
    <row r="515" spans="1:21" ht="42" customHeight="1">
      <c r="A515" s="4" t="s">
        <v>1904</v>
      </c>
      <c r="B515" s="4" t="s">
        <v>498</v>
      </c>
      <c r="C515" s="4" t="s">
        <v>911</v>
      </c>
      <c r="D515" s="4" t="s">
        <v>498</v>
      </c>
      <c r="E515" s="4" t="s">
        <v>911</v>
      </c>
      <c r="F515" s="4" t="s">
        <v>1009</v>
      </c>
      <c r="G515" s="4" t="s">
        <v>1905</v>
      </c>
      <c r="H515" s="4" t="s">
        <v>1018</v>
      </c>
      <c r="I515" s="4"/>
      <c r="J515" s="4" t="s">
        <v>1018</v>
      </c>
      <c r="K515" s="4" t="s">
        <v>77</v>
      </c>
      <c r="L515" s="4" t="s">
        <v>86</v>
      </c>
      <c r="M515" s="4" t="s">
        <v>1012</v>
      </c>
      <c r="N515" s="4" t="s">
        <v>86</v>
      </c>
      <c r="O515" s="4" t="s">
        <v>71</v>
      </c>
      <c r="P515" s="4" t="s">
        <v>71</v>
      </c>
      <c r="Q515" s="4"/>
      <c r="R515" s="4" t="s">
        <v>143</v>
      </c>
      <c r="S515" s="4" t="s">
        <v>71</v>
      </c>
      <c r="T515" s="4" t="s">
        <v>71</v>
      </c>
      <c r="U515" s="4" t="str">
        <f t="shared" si="7"/>
        <v>NO</v>
      </c>
    </row>
    <row r="516" spans="1:21" ht="42" customHeight="1">
      <c r="A516" s="4" t="s">
        <v>1906</v>
      </c>
      <c r="B516" s="4" t="s">
        <v>627</v>
      </c>
      <c r="C516" s="4" t="s">
        <v>911</v>
      </c>
      <c r="D516" s="4" t="s">
        <v>627</v>
      </c>
      <c r="E516" s="4" t="s">
        <v>911</v>
      </c>
      <c r="F516" s="4" t="s">
        <v>1009</v>
      </c>
      <c r="G516" s="4" t="s">
        <v>1907</v>
      </c>
      <c r="H516" s="4" t="s">
        <v>1018</v>
      </c>
      <c r="I516" s="4"/>
      <c r="J516" s="4" t="s">
        <v>1018</v>
      </c>
      <c r="K516" s="4" t="s">
        <v>83</v>
      </c>
      <c r="L516" s="4" t="s">
        <v>86</v>
      </c>
      <c r="M516" s="4" t="s">
        <v>1012</v>
      </c>
      <c r="N516" s="4" t="s">
        <v>86</v>
      </c>
      <c r="O516" s="4" t="s">
        <v>71</v>
      </c>
      <c r="P516" s="4" t="s">
        <v>71</v>
      </c>
      <c r="Q516" s="4"/>
      <c r="R516" s="4" t="s">
        <v>143</v>
      </c>
      <c r="S516" s="4" t="s">
        <v>71</v>
      </c>
      <c r="T516" s="4" t="s">
        <v>71</v>
      </c>
      <c r="U516" s="4" t="str">
        <f t="shared" si="7"/>
        <v>NO</v>
      </c>
    </row>
    <row r="517" spans="1:21" ht="42" customHeight="1">
      <c r="A517" s="4" t="s">
        <v>1908</v>
      </c>
      <c r="B517" s="4" t="s">
        <v>917</v>
      </c>
      <c r="C517" s="4" t="s">
        <v>911</v>
      </c>
      <c r="D517" s="4" t="s">
        <v>917</v>
      </c>
      <c r="E517" s="4" t="s">
        <v>911</v>
      </c>
      <c r="F517" s="4" t="s">
        <v>1009</v>
      </c>
      <c r="G517" s="4" t="s">
        <v>1909</v>
      </c>
      <c r="H517" s="4" t="s">
        <v>1018</v>
      </c>
      <c r="I517" s="4"/>
      <c r="J517" s="4" t="s">
        <v>1018</v>
      </c>
      <c r="K517" s="4" t="s">
        <v>75</v>
      </c>
      <c r="L517" s="4" t="s">
        <v>86</v>
      </c>
      <c r="M517" s="4" t="s">
        <v>1012</v>
      </c>
      <c r="N517" s="4" t="s">
        <v>86</v>
      </c>
      <c r="O517" s="4" t="s">
        <v>71</v>
      </c>
      <c r="P517" s="4" t="s">
        <v>71</v>
      </c>
      <c r="Q517" s="4"/>
      <c r="R517" s="4" t="s">
        <v>143</v>
      </c>
      <c r="S517" s="4" t="s">
        <v>71</v>
      </c>
      <c r="T517" s="4" t="s">
        <v>71</v>
      </c>
      <c r="U517" s="4" t="str">
        <f t="shared" ref="U517:U580" si="8">IF(AND(R517="revisada",S517="pasa",T517="aprobada",O517&lt;&gt;"pendiente",P517&lt;&gt;"pendiente",OR(J517="por_corroborar",AND(J517="corroborada",Q517&lt;&gt;""))),"SÍ","NO")</f>
        <v>NO</v>
      </c>
    </row>
    <row r="518" spans="1:21" ht="42" customHeight="1">
      <c r="A518" s="4" t="s">
        <v>1910</v>
      </c>
      <c r="B518" s="4" t="s">
        <v>914</v>
      </c>
      <c r="C518" s="4" t="s">
        <v>633</v>
      </c>
      <c r="D518" s="4" t="s">
        <v>914</v>
      </c>
      <c r="E518" s="4" t="s">
        <v>633</v>
      </c>
      <c r="F518" s="4" t="s">
        <v>1009</v>
      </c>
      <c r="G518" s="4" t="s">
        <v>1911</v>
      </c>
      <c r="H518" s="4" t="s">
        <v>1018</v>
      </c>
      <c r="I518" s="4"/>
      <c r="J518" s="4" t="s">
        <v>1018</v>
      </c>
      <c r="K518" s="4" t="s">
        <v>92</v>
      </c>
      <c r="L518" s="4" t="s">
        <v>58</v>
      </c>
      <c r="M518" s="4" t="s">
        <v>1012</v>
      </c>
      <c r="N518" s="4" t="s">
        <v>92</v>
      </c>
      <c r="O518" s="4" t="s">
        <v>71</v>
      </c>
      <c r="P518" s="4" t="s">
        <v>71</v>
      </c>
      <c r="Q518" s="4"/>
      <c r="R518" s="4" t="s">
        <v>143</v>
      </c>
      <c r="S518" s="4" t="s">
        <v>71</v>
      </c>
      <c r="T518" s="4" t="s">
        <v>71</v>
      </c>
      <c r="U518" s="4" t="str">
        <f t="shared" si="8"/>
        <v>NO</v>
      </c>
    </row>
    <row r="519" spans="1:21" ht="42" customHeight="1">
      <c r="A519" s="4" t="s">
        <v>1912</v>
      </c>
      <c r="B519" s="4" t="s">
        <v>914</v>
      </c>
      <c r="C519" s="4" t="s">
        <v>720</v>
      </c>
      <c r="D519" s="4" t="s">
        <v>914</v>
      </c>
      <c r="E519" s="4" t="s">
        <v>720</v>
      </c>
      <c r="F519" s="4" t="s">
        <v>1009</v>
      </c>
      <c r="G519" s="4" t="s">
        <v>1913</v>
      </c>
      <c r="H519" s="4" t="s">
        <v>1018</v>
      </c>
      <c r="I519" s="4"/>
      <c r="J519" s="4" t="s">
        <v>1018</v>
      </c>
      <c r="K519" s="4" t="s">
        <v>92</v>
      </c>
      <c r="L519" s="4" t="s">
        <v>90</v>
      </c>
      <c r="M519" s="4" t="s">
        <v>1012</v>
      </c>
      <c r="N519" s="4" t="s">
        <v>92</v>
      </c>
      <c r="O519" s="4" t="s">
        <v>71</v>
      </c>
      <c r="P519" s="4" t="s">
        <v>71</v>
      </c>
      <c r="Q519" s="4"/>
      <c r="R519" s="4" t="s">
        <v>143</v>
      </c>
      <c r="S519" s="4" t="s">
        <v>71</v>
      </c>
      <c r="T519" s="4" t="s">
        <v>71</v>
      </c>
      <c r="U519" s="4" t="str">
        <f t="shared" si="8"/>
        <v>NO</v>
      </c>
    </row>
    <row r="520" spans="1:21" ht="42" customHeight="1">
      <c r="A520" s="4" t="s">
        <v>1914</v>
      </c>
      <c r="B520" s="4" t="s">
        <v>914</v>
      </c>
      <c r="C520" s="4" t="s">
        <v>306</v>
      </c>
      <c r="D520" s="4" t="s">
        <v>914</v>
      </c>
      <c r="E520" s="4" t="s">
        <v>306</v>
      </c>
      <c r="F520" s="4" t="s">
        <v>1009</v>
      </c>
      <c r="G520" s="4" t="s">
        <v>1915</v>
      </c>
      <c r="H520" s="4" t="s">
        <v>1018</v>
      </c>
      <c r="I520" s="4"/>
      <c r="J520" s="4" t="s">
        <v>1018</v>
      </c>
      <c r="K520" s="4" t="s">
        <v>92</v>
      </c>
      <c r="L520" s="4" t="s">
        <v>75</v>
      </c>
      <c r="M520" s="4" t="s">
        <v>1012</v>
      </c>
      <c r="N520" s="4" t="s">
        <v>92</v>
      </c>
      <c r="O520" s="4" t="s">
        <v>71</v>
      </c>
      <c r="P520" s="4" t="s">
        <v>71</v>
      </c>
      <c r="Q520" s="4"/>
      <c r="R520" s="4" t="s">
        <v>143</v>
      </c>
      <c r="S520" s="4" t="s">
        <v>71</v>
      </c>
      <c r="T520" s="4" t="s">
        <v>71</v>
      </c>
      <c r="U520" s="4" t="str">
        <f t="shared" si="8"/>
        <v>NO</v>
      </c>
    </row>
    <row r="521" spans="1:21" ht="42" customHeight="1">
      <c r="A521" s="4" t="s">
        <v>1916</v>
      </c>
      <c r="B521" s="4" t="s">
        <v>914</v>
      </c>
      <c r="C521" s="4" t="s">
        <v>897</v>
      </c>
      <c r="D521" s="4" t="s">
        <v>914</v>
      </c>
      <c r="E521" s="4" t="s">
        <v>897</v>
      </c>
      <c r="F521" s="4" t="s">
        <v>1009</v>
      </c>
      <c r="G521" s="4" t="s">
        <v>1917</v>
      </c>
      <c r="H521" s="4" t="s">
        <v>1018</v>
      </c>
      <c r="I521" s="4"/>
      <c r="J521" s="4" t="s">
        <v>1018</v>
      </c>
      <c r="K521" s="4" t="s">
        <v>92</v>
      </c>
      <c r="L521" s="4" t="s">
        <v>79</v>
      </c>
      <c r="M521" s="4" t="s">
        <v>1012</v>
      </c>
      <c r="N521" s="4" t="s">
        <v>92</v>
      </c>
      <c r="O521" s="4" t="s">
        <v>71</v>
      </c>
      <c r="P521" s="4" t="s">
        <v>71</v>
      </c>
      <c r="Q521" s="4"/>
      <c r="R521" s="4" t="s">
        <v>143</v>
      </c>
      <c r="S521" s="4" t="s">
        <v>71</v>
      </c>
      <c r="T521" s="4" t="s">
        <v>71</v>
      </c>
      <c r="U521" s="4" t="str">
        <f t="shared" si="8"/>
        <v>NO</v>
      </c>
    </row>
    <row r="522" spans="1:21" ht="42" customHeight="1">
      <c r="A522" s="4" t="s">
        <v>1918</v>
      </c>
      <c r="B522" s="4" t="s">
        <v>917</v>
      </c>
      <c r="C522" s="4" t="s">
        <v>340</v>
      </c>
      <c r="D522" s="4" t="s">
        <v>917</v>
      </c>
      <c r="E522" s="4" t="s">
        <v>340</v>
      </c>
      <c r="F522" s="4" t="s">
        <v>1009</v>
      </c>
      <c r="G522" s="4" t="s">
        <v>1919</v>
      </c>
      <c r="H522" s="4" t="s">
        <v>1018</v>
      </c>
      <c r="I522" s="4"/>
      <c r="J522" s="4" t="s">
        <v>1018</v>
      </c>
      <c r="K522" s="4" t="s">
        <v>75</v>
      </c>
      <c r="L522" s="4" t="s">
        <v>75</v>
      </c>
      <c r="M522" s="4" t="s">
        <v>1021</v>
      </c>
      <c r="N522" s="4" t="s">
        <v>75</v>
      </c>
      <c r="O522" s="4" t="s">
        <v>71</v>
      </c>
      <c r="P522" s="4" t="s">
        <v>71</v>
      </c>
      <c r="Q522" s="4"/>
      <c r="R522" s="4" t="s">
        <v>143</v>
      </c>
      <c r="S522" s="4" t="s">
        <v>71</v>
      </c>
      <c r="T522" s="4" t="s">
        <v>71</v>
      </c>
      <c r="U522" s="4" t="str">
        <f t="shared" si="8"/>
        <v>NO</v>
      </c>
    </row>
    <row r="523" spans="1:21" ht="42" customHeight="1">
      <c r="A523" s="4" t="s">
        <v>1920</v>
      </c>
      <c r="B523" s="4" t="s">
        <v>917</v>
      </c>
      <c r="C523" s="4" t="s">
        <v>496</v>
      </c>
      <c r="D523" s="4" t="s">
        <v>917</v>
      </c>
      <c r="E523" s="4" t="s">
        <v>496</v>
      </c>
      <c r="F523" s="4" t="s">
        <v>1009</v>
      </c>
      <c r="G523" s="4" t="s">
        <v>1921</v>
      </c>
      <c r="H523" s="4" t="s">
        <v>1018</v>
      </c>
      <c r="I523" s="4"/>
      <c r="J523" s="4" t="s">
        <v>1018</v>
      </c>
      <c r="K523" s="4" t="s">
        <v>75</v>
      </c>
      <c r="L523" s="4" t="s">
        <v>75</v>
      </c>
      <c r="M523" s="4" t="s">
        <v>1021</v>
      </c>
      <c r="N523" s="4" t="s">
        <v>75</v>
      </c>
      <c r="O523" s="4" t="s">
        <v>71</v>
      </c>
      <c r="P523" s="4" t="s">
        <v>71</v>
      </c>
      <c r="Q523" s="4"/>
      <c r="R523" s="4" t="s">
        <v>143</v>
      </c>
      <c r="S523" s="4" t="s">
        <v>71</v>
      </c>
      <c r="T523" s="4" t="s">
        <v>71</v>
      </c>
      <c r="U523" s="4" t="str">
        <f t="shared" si="8"/>
        <v>NO</v>
      </c>
    </row>
    <row r="524" spans="1:21" ht="42" customHeight="1">
      <c r="A524" s="4" t="s">
        <v>1922</v>
      </c>
      <c r="B524" s="4" t="s">
        <v>917</v>
      </c>
      <c r="C524" s="4" t="s">
        <v>923</v>
      </c>
      <c r="D524" s="4" t="s">
        <v>917</v>
      </c>
      <c r="E524" s="4" t="s">
        <v>923</v>
      </c>
      <c r="F524" s="4" t="s">
        <v>1009</v>
      </c>
      <c r="G524" s="4" t="s">
        <v>1923</v>
      </c>
      <c r="H524" s="4" t="s">
        <v>1018</v>
      </c>
      <c r="I524" s="4"/>
      <c r="J524" s="4" t="s">
        <v>1018</v>
      </c>
      <c r="K524" s="4" t="s">
        <v>75</v>
      </c>
      <c r="L524" s="4" t="s">
        <v>58</v>
      </c>
      <c r="M524" s="4" t="s">
        <v>1012</v>
      </c>
      <c r="N524" s="4" t="s">
        <v>75</v>
      </c>
      <c r="O524" s="4" t="s">
        <v>71</v>
      </c>
      <c r="P524" s="4" t="s">
        <v>71</v>
      </c>
      <c r="Q524" s="4"/>
      <c r="R524" s="4" t="s">
        <v>143</v>
      </c>
      <c r="S524" s="4" t="s">
        <v>71</v>
      </c>
      <c r="T524" s="4" t="s">
        <v>71</v>
      </c>
      <c r="U524" s="4" t="str">
        <f t="shared" si="8"/>
        <v>NO</v>
      </c>
    </row>
    <row r="525" spans="1:21" ht="42" customHeight="1">
      <c r="A525" s="4" t="s">
        <v>1924</v>
      </c>
      <c r="B525" s="4" t="s">
        <v>917</v>
      </c>
      <c r="C525" s="4" t="s">
        <v>881</v>
      </c>
      <c r="D525" s="4" t="s">
        <v>917</v>
      </c>
      <c r="E525" s="4" t="s">
        <v>881</v>
      </c>
      <c r="F525" s="4" t="s">
        <v>1009</v>
      </c>
      <c r="G525" s="4" t="s">
        <v>1925</v>
      </c>
      <c r="H525" s="4" t="s">
        <v>1018</v>
      </c>
      <c r="I525" s="4"/>
      <c r="J525" s="4" t="s">
        <v>1018</v>
      </c>
      <c r="K525" s="4" t="s">
        <v>75</v>
      </c>
      <c r="L525" s="4" t="s">
        <v>88</v>
      </c>
      <c r="M525" s="4" t="s">
        <v>1012</v>
      </c>
      <c r="N525" s="4" t="s">
        <v>88</v>
      </c>
      <c r="O525" s="4" t="s">
        <v>71</v>
      </c>
      <c r="P525" s="4" t="s">
        <v>71</v>
      </c>
      <c r="Q525" s="4"/>
      <c r="R525" s="4" t="s">
        <v>143</v>
      </c>
      <c r="S525" s="4" t="s">
        <v>71</v>
      </c>
      <c r="T525" s="4" t="s">
        <v>71</v>
      </c>
      <c r="U525" s="4" t="str">
        <f t="shared" si="8"/>
        <v>NO</v>
      </c>
    </row>
    <row r="526" spans="1:21" ht="42" customHeight="1">
      <c r="A526" s="4" t="s">
        <v>1926</v>
      </c>
      <c r="B526" s="4" t="s">
        <v>920</v>
      </c>
      <c r="C526" s="4" t="s">
        <v>917</v>
      </c>
      <c r="D526" s="4" t="s">
        <v>920</v>
      </c>
      <c r="E526" s="4" t="s">
        <v>917</v>
      </c>
      <c r="F526" s="4" t="s">
        <v>1009</v>
      </c>
      <c r="G526" s="4" t="s">
        <v>1927</v>
      </c>
      <c r="H526" s="4" t="s">
        <v>1018</v>
      </c>
      <c r="I526" s="4"/>
      <c r="J526" s="4" t="s">
        <v>1018</v>
      </c>
      <c r="K526" s="4" t="s">
        <v>86</v>
      </c>
      <c r="L526" s="4" t="s">
        <v>75</v>
      </c>
      <c r="M526" s="4" t="s">
        <v>1012</v>
      </c>
      <c r="N526" s="4" t="s">
        <v>86</v>
      </c>
      <c r="O526" s="4" t="s">
        <v>71</v>
      </c>
      <c r="P526" s="4" t="s">
        <v>71</v>
      </c>
      <c r="Q526" s="4"/>
      <c r="R526" s="4" t="s">
        <v>143</v>
      </c>
      <c r="S526" s="4" t="s">
        <v>71</v>
      </c>
      <c r="T526" s="4" t="s">
        <v>71</v>
      </c>
      <c r="U526" s="4" t="str">
        <f t="shared" si="8"/>
        <v>NO</v>
      </c>
    </row>
    <row r="527" spans="1:21" ht="42" customHeight="1">
      <c r="A527" s="4" t="s">
        <v>1928</v>
      </c>
      <c r="B527" s="4" t="s">
        <v>920</v>
      </c>
      <c r="C527" s="4" t="s">
        <v>493</v>
      </c>
      <c r="D527" s="4" t="s">
        <v>920</v>
      </c>
      <c r="E527" s="4" t="s">
        <v>493</v>
      </c>
      <c r="F527" s="4" t="s">
        <v>1009</v>
      </c>
      <c r="G527" s="4" t="s">
        <v>1929</v>
      </c>
      <c r="H527" s="4" t="s">
        <v>1018</v>
      </c>
      <c r="I527" s="4"/>
      <c r="J527" s="4" t="s">
        <v>1018</v>
      </c>
      <c r="K527" s="4" t="s">
        <v>86</v>
      </c>
      <c r="L527" s="4" t="s">
        <v>61</v>
      </c>
      <c r="M527" s="4" t="s">
        <v>1012</v>
      </c>
      <c r="N527" s="4" t="s">
        <v>86</v>
      </c>
      <c r="O527" s="4" t="s">
        <v>71</v>
      </c>
      <c r="P527" s="4" t="s">
        <v>71</v>
      </c>
      <c r="Q527" s="4"/>
      <c r="R527" s="4" t="s">
        <v>143</v>
      </c>
      <c r="S527" s="4" t="s">
        <v>71</v>
      </c>
      <c r="T527" s="4" t="s">
        <v>71</v>
      </c>
      <c r="U527" s="4" t="str">
        <f t="shared" si="8"/>
        <v>NO</v>
      </c>
    </row>
    <row r="528" spans="1:21" ht="42" customHeight="1">
      <c r="A528" s="4" t="s">
        <v>1930</v>
      </c>
      <c r="B528" s="4" t="s">
        <v>920</v>
      </c>
      <c r="C528" s="4" t="s">
        <v>496</v>
      </c>
      <c r="D528" s="4" t="s">
        <v>920</v>
      </c>
      <c r="E528" s="4" t="s">
        <v>496</v>
      </c>
      <c r="F528" s="4" t="s">
        <v>1009</v>
      </c>
      <c r="G528" s="4" t="s">
        <v>1931</v>
      </c>
      <c r="H528" s="4" t="s">
        <v>1018</v>
      </c>
      <c r="I528" s="4"/>
      <c r="J528" s="4" t="s">
        <v>1018</v>
      </c>
      <c r="K528" s="4" t="s">
        <v>86</v>
      </c>
      <c r="L528" s="4" t="s">
        <v>75</v>
      </c>
      <c r="M528" s="4" t="s">
        <v>1012</v>
      </c>
      <c r="N528" s="4" t="s">
        <v>86</v>
      </c>
      <c r="O528" s="4" t="s">
        <v>71</v>
      </c>
      <c r="P528" s="4" t="s">
        <v>71</v>
      </c>
      <c r="Q528" s="4"/>
      <c r="R528" s="4" t="s">
        <v>143</v>
      </c>
      <c r="S528" s="4" t="s">
        <v>71</v>
      </c>
      <c r="T528" s="4" t="s">
        <v>71</v>
      </c>
      <c r="U528" s="4" t="str">
        <f t="shared" si="8"/>
        <v>NO</v>
      </c>
    </row>
    <row r="529" spans="1:21" ht="42" customHeight="1">
      <c r="A529" s="4" t="s">
        <v>1932</v>
      </c>
      <c r="B529" s="4" t="s">
        <v>920</v>
      </c>
      <c r="C529" s="4" t="s">
        <v>498</v>
      </c>
      <c r="D529" s="4" t="s">
        <v>920</v>
      </c>
      <c r="E529" s="4" t="s">
        <v>498</v>
      </c>
      <c r="F529" s="4" t="s">
        <v>1009</v>
      </c>
      <c r="G529" s="4" t="s">
        <v>1933</v>
      </c>
      <c r="H529" s="4" t="s">
        <v>1018</v>
      </c>
      <c r="I529" s="4"/>
      <c r="J529" s="4" t="s">
        <v>1018</v>
      </c>
      <c r="K529" s="4" t="s">
        <v>86</v>
      </c>
      <c r="L529" s="4" t="s">
        <v>77</v>
      </c>
      <c r="M529" s="4" t="s">
        <v>1012</v>
      </c>
      <c r="N529" s="4" t="s">
        <v>86</v>
      </c>
      <c r="O529" s="4" t="s">
        <v>71</v>
      </c>
      <c r="P529" s="4" t="s">
        <v>71</v>
      </c>
      <c r="Q529" s="4"/>
      <c r="R529" s="4" t="s">
        <v>143</v>
      </c>
      <c r="S529" s="4" t="s">
        <v>71</v>
      </c>
      <c r="T529" s="4" t="s">
        <v>71</v>
      </c>
      <c r="U529" s="4" t="str">
        <f t="shared" si="8"/>
        <v>NO</v>
      </c>
    </row>
    <row r="530" spans="1:21" ht="42" customHeight="1">
      <c r="A530" s="4" t="s">
        <v>1934</v>
      </c>
      <c r="B530" s="4" t="s">
        <v>920</v>
      </c>
      <c r="C530" s="4" t="s">
        <v>881</v>
      </c>
      <c r="D530" s="4" t="s">
        <v>920</v>
      </c>
      <c r="E530" s="4" t="s">
        <v>881</v>
      </c>
      <c r="F530" s="4" t="s">
        <v>1009</v>
      </c>
      <c r="G530" s="4" t="s">
        <v>1935</v>
      </c>
      <c r="H530" s="4" t="s">
        <v>1018</v>
      </c>
      <c r="I530" s="4"/>
      <c r="J530" s="4" t="s">
        <v>1018</v>
      </c>
      <c r="K530" s="4" t="s">
        <v>86</v>
      </c>
      <c r="L530" s="4" t="s">
        <v>88</v>
      </c>
      <c r="M530" s="4" t="s">
        <v>1012</v>
      </c>
      <c r="N530" s="4" t="s">
        <v>88</v>
      </c>
      <c r="O530" s="4" t="s">
        <v>71</v>
      </c>
      <c r="P530" s="4" t="s">
        <v>71</v>
      </c>
      <c r="Q530" s="4"/>
      <c r="R530" s="4" t="s">
        <v>143</v>
      </c>
      <c r="S530" s="4" t="s">
        <v>71</v>
      </c>
      <c r="T530" s="4" t="s">
        <v>71</v>
      </c>
      <c r="U530" s="4" t="str">
        <f t="shared" si="8"/>
        <v>NO</v>
      </c>
    </row>
    <row r="531" spans="1:21" ht="42" customHeight="1">
      <c r="A531" s="4" t="s">
        <v>1936</v>
      </c>
      <c r="B531" s="4" t="s">
        <v>923</v>
      </c>
      <c r="C531" s="4" t="s">
        <v>867</v>
      </c>
      <c r="D531" s="4" t="s">
        <v>923</v>
      </c>
      <c r="E531" s="4" t="s">
        <v>867</v>
      </c>
      <c r="F531" s="4" t="s">
        <v>1009</v>
      </c>
      <c r="G531" s="4" t="s">
        <v>1937</v>
      </c>
      <c r="H531" s="4" t="s">
        <v>1018</v>
      </c>
      <c r="I531" s="4"/>
      <c r="J531" s="4" t="s">
        <v>1018</v>
      </c>
      <c r="K531" s="4" t="s">
        <v>58</v>
      </c>
      <c r="L531" s="4" t="s">
        <v>48</v>
      </c>
      <c r="M531" s="4" t="s">
        <v>1012</v>
      </c>
      <c r="N531" s="4" t="s">
        <v>58</v>
      </c>
      <c r="O531" s="4" t="s">
        <v>71</v>
      </c>
      <c r="P531" s="4" t="s">
        <v>71</v>
      </c>
      <c r="Q531" s="4"/>
      <c r="R531" s="4" t="s">
        <v>143</v>
      </c>
      <c r="S531" s="4" t="s">
        <v>71</v>
      </c>
      <c r="T531" s="4" t="s">
        <v>71</v>
      </c>
      <c r="U531" s="4" t="str">
        <f t="shared" si="8"/>
        <v>NO</v>
      </c>
    </row>
    <row r="532" spans="1:21" ht="42" customHeight="1">
      <c r="A532" s="4" t="s">
        <v>1938</v>
      </c>
      <c r="B532" s="4" t="s">
        <v>930</v>
      </c>
      <c r="C532" s="4" t="s">
        <v>923</v>
      </c>
      <c r="D532" s="4" t="s">
        <v>930</v>
      </c>
      <c r="E532" s="4" t="s">
        <v>923</v>
      </c>
      <c r="F532" s="4" t="s">
        <v>1009</v>
      </c>
      <c r="G532" s="4" t="s">
        <v>1939</v>
      </c>
      <c r="H532" s="4" t="s">
        <v>1018</v>
      </c>
      <c r="I532" s="4"/>
      <c r="J532" s="4" t="s">
        <v>1018</v>
      </c>
      <c r="K532" s="4" t="s">
        <v>77</v>
      </c>
      <c r="L532" s="4" t="s">
        <v>58</v>
      </c>
      <c r="M532" s="4" t="s">
        <v>1012</v>
      </c>
      <c r="N532" s="4" t="s">
        <v>77</v>
      </c>
      <c r="O532" s="4" t="s">
        <v>71</v>
      </c>
      <c r="P532" s="4" t="s">
        <v>71</v>
      </c>
      <c r="Q532" s="4"/>
      <c r="R532" s="4" t="s">
        <v>143</v>
      </c>
      <c r="S532" s="4" t="s">
        <v>71</v>
      </c>
      <c r="T532" s="4" t="s">
        <v>71</v>
      </c>
      <c r="U532" s="4" t="str">
        <f t="shared" si="8"/>
        <v>NO</v>
      </c>
    </row>
    <row r="533" spans="1:21" ht="42" customHeight="1">
      <c r="A533" s="4" t="s">
        <v>1940</v>
      </c>
      <c r="B533" s="4" t="s">
        <v>926</v>
      </c>
      <c r="C533" s="4" t="s">
        <v>469</v>
      </c>
      <c r="D533" s="4" t="s">
        <v>926</v>
      </c>
      <c r="E533" s="4" t="s">
        <v>469</v>
      </c>
      <c r="F533" s="4" t="s">
        <v>1009</v>
      </c>
      <c r="G533" s="4" t="s">
        <v>1941</v>
      </c>
      <c r="H533" s="4" t="s">
        <v>1018</v>
      </c>
      <c r="I533" s="4"/>
      <c r="J533" s="4" t="s">
        <v>1018</v>
      </c>
      <c r="K533" s="4" t="s">
        <v>77</v>
      </c>
      <c r="L533" s="4" t="s">
        <v>83</v>
      </c>
      <c r="M533" s="4" t="s">
        <v>1012</v>
      </c>
      <c r="N533" s="4" t="s">
        <v>83</v>
      </c>
      <c r="O533" s="4" t="s">
        <v>71</v>
      </c>
      <c r="P533" s="4" t="s">
        <v>71</v>
      </c>
      <c r="Q533" s="4"/>
      <c r="R533" s="4" t="s">
        <v>143</v>
      </c>
      <c r="S533" s="4" t="s">
        <v>71</v>
      </c>
      <c r="T533" s="4" t="s">
        <v>71</v>
      </c>
      <c r="U533" s="4" t="str">
        <f t="shared" si="8"/>
        <v>NO</v>
      </c>
    </row>
    <row r="534" spans="1:21" ht="42" customHeight="1">
      <c r="A534" s="4" t="s">
        <v>1942</v>
      </c>
      <c r="B534" s="4" t="s">
        <v>926</v>
      </c>
      <c r="C534" s="4" t="s">
        <v>120</v>
      </c>
      <c r="D534" s="4" t="s">
        <v>926</v>
      </c>
      <c r="E534" s="4" t="s">
        <v>120</v>
      </c>
      <c r="F534" s="4" t="s">
        <v>1009</v>
      </c>
      <c r="G534" s="4" t="s">
        <v>1943</v>
      </c>
      <c r="H534" s="4" t="s">
        <v>1018</v>
      </c>
      <c r="I534" s="4"/>
      <c r="J534" s="4" t="s">
        <v>1018</v>
      </c>
      <c r="K534" s="4" t="s">
        <v>77</v>
      </c>
      <c r="L534" s="4" t="s">
        <v>48</v>
      </c>
      <c r="M534" s="4" t="s">
        <v>1012</v>
      </c>
      <c r="N534" s="4" t="s">
        <v>77</v>
      </c>
      <c r="O534" s="4" t="s">
        <v>71</v>
      </c>
      <c r="P534" s="4" t="s">
        <v>71</v>
      </c>
      <c r="Q534" s="4"/>
      <c r="R534" s="4" t="s">
        <v>143</v>
      </c>
      <c r="S534" s="4" t="s">
        <v>71</v>
      </c>
      <c r="T534" s="4" t="s">
        <v>71</v>
      </c>
      <c r="U534" s="4" t="str">
        <f t="shared" si="8"/>
        <v>NO</v>
      </c>
    </row>
    <row r="535" spans="1:21" ht="42" customHeight="1">
      <c r="A535" s="4" t="s">
        <v>1944</v>
      </c>
      <c r="B535" s="4" t="s">
        <v>926</v>
      </c>
      <c r="C535" s="4" t="s">
        <v>645</v>
      </c>
      <c r="D535" s="4" t="s">
        <v>926</v>
      </c>
      <c r="E535" s="4" t="s">
        <v>645</v>
      </c>
      <c r="F535" s="4" t="s">
        <v>1009</v>
      </c>
      <c r="G535" s="4" t="s">
        <v>1945</v>
      </c>
      <c r="H535" s="4" t="s">
        <v>1018</v>
      </c>
      <c r="I535" s="4"/>
      <c r="J535" s="4" t="s">
        <v>1018</v>
      </c>
      <c r="K535" s="4" t="s">
        <v>77</v>
      </c>
      <c r="L535" s="4" t="s">
        <v>69</v>
      </c>
      <c r="M535" s="4" t="s">
        <v>1012</v>
      </c>
      <c r="N535" s="4" t="s">
        <v>77</v>
      </c>
      <c r="O535" s="4" t="s">
        <v>71</v>
      </c>
      <c r="P535" s="4" t="s">
        <v>71</v>
      </c>
      <c r="Q535" s="4"/>
      <c r="R535" s="4" t="s">
        <v>143</v>
      </c>
      <c r="S535" s="4" t="s">
        <v>71</v>
      </c>
      <c r="T535" s="4" t="s">
        <v>71</v>
      </c>
      <c r="U535" s="4" t="str">
        <f t="shared" si="8"/>
        <v>NO</v>
      </c>
    </row>
    <row r="536" spans="1:21" ht="42" customHeight="1">
      <c r="A536" s="4" t="s">
        <v>1946</v>
      </c>
      <c r="B536" s="4" t="s">
        <v>926</v>
      </c>
      <c r="C536" s="4" t="s">
        <v>636</v>
      </c>
      <c r="D536" s="4" t="s">
        <v>926</v>
      </c>
      <c r="E536" s="4" t="s">
        <v>636</v>
      </c>
      <c r="F536" s="4" t="s">
        <v>1009</v>
      </c>
      <c r="G536" s="4" t="s">
        <v>1947</v>
      </c>
      <c r="H536" s="4" t="s">
        <v>1018</v>
      </c>
      <c r="I536" s="4"/>
      <c r="J536" s="4" t="s">
        <v>1018</v>
      </c>
      <c r="K536" s="4" t="s">
        <v>77</v>
      </c>
      <c r="L536" s="4" t="s">
        <v>86</v>
      </c>
      <c r="M536" s="4" t="s">
        <v>1012</v>
      </c>
      <c r="N536" s="4" t="s">
        <v>86</v>
      </c>
      <c r="O536" s="4" t="s">
        <v>71</v>
      </c>
      <c r="P536" s="4" t="s">
        <v>71</v>
      </c>
      <c r="Q536" s="4"/>
      <c r="R536" s="4" t="s">
        <v>143</v>
      </c>
      <c r="S536" s="4" t="s">
        <v>71</v>
      </c>
      <c r="T536" s="4" t="s">
        <v>71</v>
      </c>
      <c r="U536" s="4" t="str">
        <f t="shared" si="8"/>
        <v>NO</v>
      </c>
    </row>
    <row r="537" spans="1:21" ht="42" customHeight="1">
      <c r="A537" s="4" t="s">
        <v>1948</v>
      </c>
      <c r="B537" s="4" t="s">
        <v>926</v>
      </c>
      <c r="C537" s="4" t="s">
        <v>774</v>
      </c>
      <c r="D537" s="4" t="s">
        <v>926</v>
      </c>
      <c r="E537" s="4" t="s">
        <v>774</v>
      </c>
      <c r="F537" s="4" t="s">
        <v>1009</v>
      </c>
      <c r="G537" s="4" t="s">
        <v>1949</v>
      </c>
      <c r="H537" s="4" t="s">
        <v>1018</v>
      </c>
      <c r="I537" s="4"/>
      <c r="J537" s="4" t="s">
        <v>1018</v>
      </c>
      <c r="K537" s="4" t="s">
        <v>77</v>
      </c>
      <c r="L537" s="4" t="s">
        <v>75</v>
      </c>
      <c r="M537" s="4" t="s">
        <v>1012</v>
      </c>
      <c r="N537" s="4" t="s">
        <v>77</v>
      </c>
      <c r="O537" s="4" t="s">
        <v>71</v>
      </c>
      <c r="P537" s="4" t="s">
        <v>71</v>
      </c>
      <c r="Q537" s="4"/>
      <c r="R537" s="4" t="s">
        <v>143</v>
      </c>
      <c r="S537" s="4" t="s">
        <v>71</v>
      </c>
      <c r="T537" s="4" t="s">
        <v>71</v>
      </c>
      <c r="U537" s="4" t="str">
        <f t="shared" si="8"/>
        <v>NO</v>
      </c>
    </row>
    <row r="538" spans="1:21" ht="42" customHeight="1">
      <c r="A538" s="4" t="s">
        <v>1950</v>
      </c>
      <c r="B538" s="4" t="s">
        <v>926</v>
      </c>
      <c r="C538" s="4" t="s">
        <v>889</v>
      </c>
      <c r="D538" s="4" t="s">
        <v>926</v>
      </c>
      <c r="E538" s="4" t="s">
        <v>889</v>
      </c>
      <c r="F538" s="4" t="s">
        <v>1009</v>
      </c>
      <c r="G538" s="4" t="s">
        <v>1951</v>
      </c>
      <c r="H538" s="4" t="s">
        <v>1018</v>
      </c>
      <c r="I538" s="4"/>
      <c r="J538" s="4" t="s">
        <v>1018</v>
      </c>
      <c r="K538" s="4" t="s">
        <v>77</v>
      </c>
      <c r="L538" s="4" t="s">
        <v>72</v>
      </c>
      <c r="M538" s="4" t="s">
        <v>1012</v>
      </c>
      <c r="N538" s="4" t="s">
        <v>77</v>
      </c>
      <c r="O538" s="4" t="s">
        <v>71</v>
      </c>
      <c r="P538" s="4" t="s">
        <v>71</v>
      </c>
      <c r="Q538" s="4"/>
      <c r="R538" s="4" t="s">
        <v>143</v>
      </c>
      <c r="S538" s="4" t="s">
        <v>71</v>
      </c>
      <c r="T538" s="4" t="s">
        <v>71</v>
      </c>
      <c r="U538" s="4" t="str">
        <f t="shared" si="8"/>
        <v>NO</v>
      </c>
    </row>
    <row r="539" spans="1:21" ht="42" customHeight="1">
      <c r="A539" s="4" t="s">
        <v>1952</v>
      </c>
      <c r="B539" s="4" t="s">
        <v>926</v>
      </c>
      <c r="C539" s="4" t="s">
        <v>867</v>
      </c>
      <c r="D539" s="4" t="s">
        <v>926</v>
      </c>
      <c r="E539" s="4" t="s">
        <v>867</v>
      </c>
      <c r="F539" s="4" t="s">
        <v>1009</v>
      </c>
      <c r="G539" s="4" t="s">
        <v>1953</v>
      </c>
      <c r="H539" s="4" t="s">
        <v>1018</v>
      </c>
      <c r="I539" s="4"/>
      <c r="J539" s="4" t="s">
        <v>1018</v>
      </c>
      <c r="K539" s="4" t="s">
        <v>77</v>
      </c>
      <c r="L539" s="4" t="s">
        <v>48</v>
      </c>
      <c r="M539" s="4" t="s">
        <v>1012</v>
      </c>
      <c r="N539" s="4" t="s">
        <v>77</v>
      </c>
      <c r="O539" s="4" t="s">
        <v>71</v>
      </c>
      <c r="P539" s="4" t="s">
        <v>71</v>
      </c>
      <c r="Q539" s="4"/>
      <c r="R539" s="4" t="s">
        <v>143</v>
      </c>
      <c r="S539" s="4" t="s">
        <v>71</v>
      </c>
      <c r="T539" s="4" t="s">
        <v>71</v>
      </c>
      <c r="U539" s="4" t="str">
        <f t="shared" si="8"/>
        <v>NO</v>
      </c>
    </row>
    <row r="540" spans="1:21" ht="42" customHeight="1">
      <c r="A540" s="4" t="s">
        <v>1954</v>
      </c>
      <c r="B540" s="4" t="s">
        <v>926</v>
      </c>
      <c r="C540" s="4" t="s">
        <v>939</v>
      </c>
      <c r="D540" s="4" t="s">
        <v>926</v>
      </c>
      <c r="E540" s="4" t="s">
        <v>939</v>
      </c>
      <c r="F540" s="4" t="s">
        <v>1009</v>
      </c>
      <c r="G540" s="4" t="s">
        <v>1955</v>
      </c>
      <c r="H540" s="4" t="s">
        <v>1018</v>
      </c>
      <c r="I540" s="4"/>
      <c r="J540" s="4" t="s">
        <v>1018</v>
      </c>
      <c r="K540" s="4" t="s">
        <v>77</v>
      </c>
      <c r="L540" s="4" t="s">
        <v>69</v>
      </c>
      <c r="M540" s="4" t="s">
        <v>1012</v>
      </c>
      <c r="N540" s="4" t="s">
        <v>77</v>
      </c>
      <c r="O540" s="4" t="s">
        <v>71</v>
      </c>
      <c r="P540" s="4" t="s">
        <v>71</v>
      </c>
      <c r="Q540" s="4"/>
      <c r="R540" s="4" t="s">
        <v>143</v>
      </c>
      <c r="S540" s="4" t="s">
        <v>71</v>
      </c>
      <c r="T540" s="4" t="s">
        <v>71</v>
      </c>
      <c r="U540" s="4" t="str">
        <f t="shared" si="8"/>
        <v>NO</v>
      </c>
    </row>
    <row r="541" spans="1:21" ht="42" customHeight="1">
      <c r="A541" s="4" t="s">
        <v>1956</v>
      </c>
      <c r="B541" s="4" t="s">
        <v>930</v>
      </c>
      <c r="C541" s="4" t="s">
        <v>469</v>
      </c>
      <c r="D541" s="4" t="s">
        <v>930</v>
      </c>
      <c r="E541" s="4" t="s">
        <v>469</v>
      </c>
      <c r="F541" s="4" t="s">
        <v>1009</v>
      </c>
      <c r="G541" s="4" t="s">
        <v>1957</v>
      </c>
      <c r="H541" s="4" t="s">
        <v>1018</v>
      </c>
      <c r="I541" s="4"/>
      <c r="J541" s="4" t="s">
        <v>1018</v>
      </c>
      <c r="K541" s="4" t="s">
        <v>77</v>
      </c>
      <c r="L541" s="4" t="s">
        <v>83</v>
      </c>
      <c r="M541" s="4" t="s">
        <v>1012</v>
      </c>
      <c r="N541" s="4" t="s">
        <v>83</v>
      </c>
      <c r="O541" s="4" t="s">
        <v>71</v>
      </c>
      <c r="P541" s="4" t="s">
        <v>71</v>
      </c>
      <c r="Q541" s="4"/>
      <c r="R541" s="4" t="s">
        <v>143</v>
      </c>
      <c r="S541" s="4" t="s">
        <v>71</v>
      </c>
      <c r="T541" s="4" t="s">
        <v>71</v>
      </c>
      <c r="U541" s="4" t="str">
        <f t="shared" si="8"/>
        <v>NO</v>
      </c>
    </row>
    <row r="542" spans="1:21" ht="42" customHeight="1">
      <c r="A542" s="4" t="s">
        <v>1958</v>
      </c>
      <c r="B542" s="4" t="s">
        <v>930</v>
      </c>
      <c r="C542" s="4" t="s">
        <v>265</v>
      </c>
      <c r="D542" s="4" t="s">
        <v>930</v>
      </c>
      <c r="E542" s="4" t="s">
        <v>265</v>
      </c>
      <c r="F542" s="4" t="s">
        <v>1009</v>
      </c>
      <c r="G542" s="4" t="s">
        <v>1959</v>
      </c>
      <c r="H542" s="4" t="s">
        <v>1018</v>
      </c>
      <c r="I542" s="4"/>
      <c r="J542" s="4" t="s">
        <v>1018</v>
      </c>
      <c r="K542" s="4" t="s">
        <v>77</v>
      </c>
      <c r="L542" s="4" t="s">
        <v>92</v>
      </c>
      <c r="M542" s="4" t="s">
        <v>1012</v>
      </c>
      <c r="N542" s="4" t="s">
        <v>92</v>
      </c>
      <c r="O542" s="4" t="s">
        <v>71</v>
      </c>
      <c r="P542" s="4" t="s">
        <v>71</v>
      </c>
      <c r="Q542" s="4"/>
      <c r="R542" s="4" t="s">
        <v>143</v>
      </c>
      <c r="S542" s="4" t="s">
        <v>71</v>
      </c>
      <c r="T542" s="4" t="s">
        <v>71</v>
      </c>
      <c r="U542" s="4" t="str">
        <f t="shared" si="8"/>
        <v>NO</v>
      </c>
    </row>
    <row r="543" spans="1:21" ht="42" customHeight="1">
      <c r="A543" s="4" t="s">
        <v>1960</v>
      </c>
      <c r="B543" s="4" t="s">
        <v>930</v>
      </c>
      <c r="C543" s="4" t="s">
        <v>802</v>
      </c>
      <c r="D543" s="4" t="s">
        <v>930</v>
      </c>
      <c r="E543" s="4" t="s">
        <v>802</v>
      </c>
      <c r="F543" s="4" t="s">
        <v>1009</v>
      </c>
      <c r="G543" s="4" t="s">
        <v>1961</v>
      </c>
      <c r="H543" s="4" t="s">
        <v>1018</v>
      </c>
      <c r="I543" s="4"/>
      <c r="J543" s="4" t="s">
        <v>1018</v>
      </c>
      <c r="K543" s="4" t="s">
        <v>77</v>
      </c>
      <c r="L543" s="4" t="s">
        <v>88</v>
      </c>
      <c r="M543" s="4" t="s">
        <v>1012</v>
      </c>
      <c r="N543" s="4" t="s">
        <v>88</v>
      </c>
      <c r="O543" s="4" t="s">
        <v>71</v>
      </c>
      <c r="P543" s="4" t="s">
        <v>71</v>
      </c>
      <c r="Q543" s="4"/>
      <c r="R543" s="4" t="s">
        <v>143</v>
      </c>
      <c r="S543" s="4" t="s">
        <v>71</v>
      </c>
      <c r="T543" s="4" t="s">
        <v>71</v>
      </c>
      <c r="U543" s="4" t="str">
        <f t="shared" si="8"/>
        <v>NO</v>
      </c>
    </row>
    <row r="544" spans="1:21" ht="42" customHeight="1">
      <c r="A544" s="4" t="s">
        <v>1962</v>
      </c>
      <c r="B544" s="4" t="s">
        <v>930</v>
      </c>
      <c r="C544" s="4" t="s">
        <v>186</v>
      </c>
      <c r="D544" s="4" t="s">
        <v>930</v>
      </c>
      <c r="E544" s="4" t="s">
        <v>186</v>
      </c>
      <c r="F544" s="4" t="s">
        <v>1009</v>
      </c>
      <c r="G544" s="4" t="s">
        <v>1963</v>
      </c>
      <c r="H544" s="4" t="s">
        <v>1018</v>
      </c>
      <c r="I544" s="4"/>
      <c r="J544" s="4" t="s">
        <v>1018</v>
      </c>
      <c r="K544" s="4" t="s">
        <v>77</v>
      </c>
      <c r="L544" s="4" t="s">
        <v>55</v>
      </c>
      <c r="M544" s="4" t="s">
        <v>1012</v>
      </c>
      <c r="N544" s="4" t="s">
        <v>77</v>
      </c>
      <c r="O544" s="4" t="s">
        <v>71</v>
      </c>
      <c r="P544" s="4" t="s">
        <v>71</v>
      </c>
      <c r="Q544" s="4"/>
      <c r="R544" s="4" t="s">
        <v>143</v>
      </c>
      <c r="S544" s="4" t="s">
        <v>71</v>
      </c>
      <c r="T544" s="4" t="s">
        <v>71</v>
      </c>
      <c r="U544" s="4" t="str">
        <f t="shared" si="8"/>
        <v>NO</v>
      </c>
    </row>
    <row r="545" spans="1:21" ht="42" customHeight="1">
      <c r="A545" s="4" t="s">
        <v>1964</v>
      </c>
      <c r="B545" s="4" t="s">
        <v>930</v>
      </c>
      <c r="C545" s="4" t="s">
        <v>611</v>
      </c>
      <c r="D545" s="4" t="s">
        <v>930</v>
      </c>
      <c r="E545" s="4" t="s">
        <v>611</v>
      </c>
      <c r="F545" s="4" t="s">
        <v>1009</v>
      </c>
      <c r="G545" s="4" t="s">
        <v>1965</v>
      </c>
      <c r="H545" s="4" t="s">
        <v>1018</v>
      </c>
      <c r="I545" s="4"/>
      <c r="J545" s="4" t="s">
        <v>1018</v>
      </c>
      <c r="K545" s="4" t="s">
        <v>77</v>
      </c>
      <c r="L545" s="4" t="s">
        <v>77</v>
      </c>
      <c r="M545" s="4" t="s">
        <v>1021</v>
      </c>
      <c r="N545" s="4" t="s">
        <v>77</v>
      </c>
      <c r="O545" s="4" t="s">
        <v>71</v>
      </c>
      <c r="P545" s="4" t="s">
        <v>71</v>
      </c>
      <c r="Q545" s="4"/>
      <c r="R545" s="4" t="s">
        <v>143</v>
      </c>
      <c r="S545" s="4" t="s">
        <v>71</v>
      </c>
      <c r="T545" s="4" t="s">
        <v>71</v>
      </c>
      <c r="U545" s="4" t="str">
        <f t="shared" si="8"/>
        <v>NO</v>
      </c>
    </row>
    <row r="546" spans="1:21" ht="42" customHeight="1">
      <c r="A546" s="4" t="s">
        <v>1966</v>
      </c>
      <c r="B546" s="4" t="s">
        <v>939</v>
      </c>
      <c r="C546" s="4" t="s">
        <v>469</v>
      </c>
      <c r="D546" s="4" t="s">
        <v>939</v>
      </c>
      <c r="E546" s="4" t="s">
        <v>469</v>
      </c>
      <c r="F546" s="4" t="s">
        <v>1009</v>
      </c>
      <c r="G546" s="4" t="s">
        <v>1967</v>
      </c>
      <c r="H546" s="4" t="s">
        <v>1018</v>
      </c>
      <c r="I546" s="4"/>
      <c r="J546" s="4" t="s">
        <v>1018</v>
      </c>
      <c r="K546" s="4" t="s">
        <v>69</v>
      </c>
      <c r="L546" s="4" t="s">
        <v>83</v>
      </c>
      <c r="M546" s="4" t="s">
        <v>1012</v>
      </c>
      <c r="N546" s="4" t="s">
        <v>83</v>
      </c>
      <c r="O546" s="4" t="s">
        <v>71</v>
      </c>
      <c r="P546" s="4" t="s">
        <v>71</v>
      </c>
      <c r="Q546" s="4"/>
      <c r="R546" s="4" t="s">
        <v>143</v>
      </c>
      <c r="S546" s="4" t="s">
        <v>71</v>
      </c>
      <c r="T546" s="4" t="s">
        <v>71</v>
      </c>
      <c r="U546" s="4" t="str">
        <f t="shared" si="8"/>
        <v>NO</v>
      </c>
    </row>
    <row r="547" spans="1:21" ht="42" customHeight="1">
      <c r="A547" s="4" t="s">
        <v>1968</v>
      </c>
      <c r="B547" s="4" t="s">
        <v>939</v>
      </c>
      <c r="C547" s="4" t="s">
        <v>611</v>
      </c>
      <c r="D547" s="4" t="s">
        <v>939</v>
      </c>
      <c r="E547" s="4" t="s">
        <v>611</v>
      </c>
      <c r="F547" s="4" t="s">
        <v>1009</v>
      </c>
      <c r="G547" s="4" t="s">
        <v>1969</v>
      </c>
      <c r="H547" s="4" t="s">
        <v>1018</v>
      </c>
      <c r="I547" s="4"/>
      <c r="J547" s="4" t="s">
        <v>1018</v>
      </c>
      <c r="K547" s="4" t="s">
        <v>69</v>
      </c>
      <c r="L547" s="4" t="s">
        <v>77</v>
      </c>
      <c r="M547" s="4" t="s">
        <v>1012</v>
      </c>
      <c r="N547" s="4" t="s">
        <v>77</v>
      </c>
      <c r="O547" s="4" t="s">
        <v>71</v>
      </c>
      <c r="P547" s="4" t="s">
        <v>71</v>
      </c>
      <c r="Q547" s="4"/>
      <c r="R547" s="4" t="s">
        <v>143</v>
      </c>
      <c r="S547" s="4" t="s">
        <v>71</v>
      </c>
      <c r="T547" s="4" t="s">
        <v>71</v>
      </c>
      <c r="U547" s="4" t="str">
        <f t="shared" si="8"/>
        <v>NO</v>
      </c>
    </row>
    <row r="548" spans="1:21" ht="42" customHeight="1">
      <c r="A548" s="4" t="s">
        <v>1970</v>
      </c>
      <c r="B548" s="4" t="s">
        <v>939</v>
      </c>
      <c r="C548" s="4" t="s">
        <v>636</v>
      </c>
      <c r="D548" s="4" t="s">
        <v>939</v>
      </c>
      <c r="E548" s="4" t="s">
        <v>636</v>
      </c>
      <c r="F548" s="4" t="s">
        <v>1009</v>
      </c>
      <c r="G548" s="4" t="s">
        <v>1971</v>
      </c>
      <c r="H548" s="4" t="s">
        <v>1018</v>
      </c>
      <c r="I548" s="4"/>
      <c r="J548" s="4" t="s">
        <v>1018</v>
      </c>
      <c r="K548" s="4" t="s">
        <v>69</v>
      </c>
      <c r="L548" s="4" t="s">
        <v>86</v>
      </c>
      <c r="M548" s="4" t="s">
        <v>1012</v>
      </c>
      <c r="N548" s="4" t="s">
        <v>86</v>
      </c>
      <c r="O548" s="4" t="s">
        <v>71</v>
      </c>
      <c r="P548" s="4" t="s">
        <v>71</v>
      </c>
      <c r="Q548" s="4"/>
      <c r="R548" s="4" t="s">
        <v>143</v>
      </c>
      <c r="S548" s="4" t="s">
        <v>71</v>
      </c>
      <c r="T548" s="4" t="s">
        <v>71</v>
      </c>
      <c r="U548" s="4" t="str">
        <f t="shared" si="8"/>
        <v>NO</v>
      </c>
    </row>
    <row r="549" spans="1:21" ht="42" customHeight="1">
      <c r="A549" s="4" t="s">
        <v>1972</v>
      </c>
      <c r="B549" s="4" t="s">
        <v>820</v>
      </c>
      <c r="C549" s="4" t="s">
        <v>939</v>
      </c>
      <c r="D549" s="4" t="s">
        <v>820</v>
      </c>
      <c r="E549" s="4" t="s">
        <v>939</v>
      </c>
      <c r="F549" s="4" t="s">
        <v>1009</v>
      </c>
      <c r="G549" s="4" t="s">
        <v>1973</v>
      </c>
      <c r="H549" s="4" t="s">
        <v>1018</v>
      </c>
      <c r="I549" s="4"/>
      <c r="J549" s="4" t="s">
        <v>1018</v>
      </c>
      <c r="K549" s="4" t="s">
        <v>88</v>
      </c>
      <c r="L549" s="4" t="s">
        <v>69</v>
      </c>
      <c r="M549" s="4" t="s">
        <v>1012</v>
      </c>
      <c r="N549" s="4" t="s">
        <v>88</v>
      </c>
      <c r="O549" s="4" t="s">
        <v>71</v>
      </c>
      <c r="P549" s="4" t="s">
        <v>71</v>
      </c>
      <c r="Q549" s="4"/>
      <c r="R549" s="4" t="s">
        <v>143</v>
      </c>
      <c r="S549" s="4" t="s">
        <v>71</v>
      </c>
      <c r="T549" s="4" t="s">
        <v>71</v>
      </c>
      <c r="U549" s="4" t="str">
        <f t="shared" si="8"/>
        <v>NO</v>
      </c>
    </row>
    <row r="550" spans="1:21" ht="42" customHeight="1">
      <c r="A550" s="4" t="s">
        <v>1974</v>
      </c>
      <c r="B550" s="4" t="s">
        <v>561</v>
      </c>
      <c r="C550" s="4" t="s">
        <v>939</v>
      </c>
      <c r="D550" s="4" t="s">
        <v>561</v>
      </c>
      <c r="E550" s="4" t="s">
        <v>939</v>
      </c>
      <c r="F550" s="4" t="s">
        <v>1009</v>
      </c>
      <c r="G550" s="4" t="s">
        <v>1975</v>
      </c>
      <c r="H550" s="4" t="s">
        <v>1018</v>
      </c>
      <c r="I550" s="4"/>
      <c r="J550" s="4" t="s">
        <v>1018</v>
      </c>
      <c r="K550" s="4" t="s">
        <v>77</v>
      </c>
      <c r="L550" s="4" t="s">
        <v>69</v>
      </c>
      <c r="M550" s="4" t="s">
        <v>1012</v>
      </c>
      <c r="N550" s="4" t="s">
        <v>77</v>
      </c>
      <c r="O550" s="4" t="s">
        <v>71</v>
      </c>
      <c r="P550" s="4" t="s">
        <v>71</v>
      </c>
      <c r="Q550" s="4"/>
      <c r="R550" s="4" t="s">
        <v>143</v>
      </c>
      <c r="S550" s="4" t="s">
        <v>71</v>
      </c>
      <c r="T550" s="4" t="s">
        <v>71</v>
      </c>
      <c r="U550" s="4" t="str">
        <f t="shared" si="8"/>
        <v>NO</v>
      </c>
    </row>
    <row r="551" spans="1:21" ht="42" customHeight="1">
      <c r="A551" s="4" t="s">
        <v>1976</v>
      </c>
      <c r="B551" s="4" t="s">
        <v>614</v>
      </c>
      <c r="C551" s="4" t="s">
        <v>939</v>
      </c>
      <c r="D551" s="4" t="s">
        <v>614</v>
      </c>
      <c r="E551" s="4" t="s">
        <v>939</v>
      </c>
      <c r="F551" s="4" t="s">
        <v>1009</v>
      </c>
      <c r="G551" s="4" t="s">
        <v>1977</v>
      </c>
      <c r="H551" s="4" t="s">
        <v>1018</v>
      </c>
      <c r="I551" s="4"/>
      <c r="J551" s="4" t="s">
        <v>1018</v>
      </c>
      <c r="K551" s="4" t="s">
        <v>61</v>
      </c>
      <c r="L551" s="4" t="s">
        <v>69</v>
      </c>
      <c r="M551" s="4" t="s">
        <v>1012</v>
      </c>
      <c r="N551" s="4" t="s">
        <v>69</v>
      </c>
      <c r="O551" s="4" t="s">
        <v>71</v>
      </c>
      <c r="P551" s="4" t="s">
        <v>71</v>
      </c>
      <c r="Q551" s="4"/>
      <c r="R551" s="4" t="s">
        <v>143</v>
      </c>
      <c r="S551" s="4" t="s">
        <v>71</v>
      </c>
      <c r="T551" s="4" t="s">
        <v>71</v>
      </c>
      <c r="U551" s="4" t="str">
        <f t="shared" si="8"/>
        <v>NO</v>
      </c>
    </row>
    <row r="552" spans="1:21" ht="42" customHeight="1">
      <c r="A552" s="4" t="s">
        <v>1978</v>
      </c>
      <c r="B552" s="4" t="s">
        <v>942</v>
      </c>
      <c r="C552" s="4" t="s">
        <v>469</v>
      </c>
      <c r="D552" s="4" t="s">
        <v>942</v>
      </c>
      <c r="E552" s="4" t="s">
        <v>469</v>
      </c>
      <c r="F552" s="4" t="s">
        <v>1009</v>
      </c>
      <c r="G552" s="4" t="s">
        <v>1979</v>
      </c>
      <c r="H552" s="4" t="s">
        <v>1018</v>
      </c>
      <c r="I552" s="4"/>
      <c r="J552" s="4" t="s">
        <v>1018</v>
      </c>
      <c r="K552" s="4" t="s">
        <v>69</v>
      </c>
      <c r="L552" s="4" t="s">
        <v>83</v>
      </c>
      <c r="M552" s="4" t="s">
        <v>1012</v>
      </c>
      <c r="N552" s="4" t="s">
        <v>83</v>
      </c>
      <c r="O552" s="4" t="s">
        <v>71</v>
      </c>
      <c r="P552" s="4" t="s">
        <v>71</v>
      </c>
      <c r="Q552" s="4"/>
      <c r="R552" s="4" t="s">
        <v>143</v>
      </c>
      <c r="S552" s="4" t="s">
        <v>71</v>
      </c>
      <c r="T552" s="4" t="s">
        <v>71</v>
      </c>
      <c r="U552" s="4" t="str">
        <f t="shared" si="8"/>
        <v>NO</v>
      </c>
    </row>
    <row r="553" spans="1:21" ht="42" customHeight="1">
      <c r="A553" s="4" t="s">
        <v>1980</v>
      </c>
      <c r="B553" s="4" t="s">
        <v>942</v>
      </c>
      <c r="C553" s="4" t="s">
        <v>265</v>
      </c>
      <c r="D553" s="4" t="s">
        <v>942</v>
      </c>
      <c r="E553" s="4" t="s">
        <v>265</v>
      </c>
      <c r="F553" s="4" t="s">
        <v>1009</v>
      </c>
      <c r="G553" s="4" t="s">
        <v>1981</v>
      </c>
      <c r="H553" s="4" t="s">
        <v>1018</v>
      </c>
      <c r="I553" s="4"/>
      <c r="J553" s="4" t="s">
        <v>1018</v>
      </c>
      <c r="K553" s="4" t="s">
        <v>69</v>
      </c>
      <c r="L553" s="4" t="s">
        <v>92</v>
      </c>
      <c r="M553" s="4" t="s">
        <v>1012</v>
      </c>
      <c r="N553" s="4" t="s">
        <v>92</v>
      </c>
      <c r="O553" s="4" t="s">
        <v>71</v>
      </c>
      <c r="P553" s="4" t="s">
        <v>71</v>
      </c>
      <c r="Q553" s="4"/>
      <c r="R553" s="4" t="s">
        <v>143</v>
      </c>
      <c r="S553" s="4" t="s">
        <v>71</v>
      </c>
      <c r="T553" s="4" t="s">
        <v>71</v>
      </c>
      <c r="U553" s="4" t="str">
        <f t="shared" si="8"/>
        <v>NO</v>
      </c>
    </row>
    <row r="554" spans="1:21" ht="42" customHeight="1">
      <c r="A554" s="4" t="s">
        <v>1982</v>
      </c>
      <c r="B554" s="4" t="s">
        <v>942</v>
      </c>
      <c r="C554" s="4" t="s">
        <v>867</v>
      </c>
      <c r="D554" s="4" t="s">
        <v>942</v>
      </c>
      <c r="E554" s="4" t="s">
        <v>867</v>
      </c>
      <c r="F554" s="4" t="s">
        <v>1009</v>
      </c>
      <c r="G554" s="4" t="s">
        <v>1983</v>
      </c>
      <c r="H554" s="4" t="s">
        <v>1018</v>
      </c>
      <c r="I554" s="4"/>
      <c r="J554" s="4" t="s">
        <v>1018</v>
      </c>
      <c r="K554" s="4" t="s">
        <v>69</v>
      </c>
      <c r="L554" s="4" t="s">
        <v>48</v>
      </c>
      <c r="M554" s="4" t="s">
        <v>1012</v>
      </c>
      <c r="N554" s="4" t="s">
        <v>69</v>
      </c>
      <c r="O554" s="4" t="s">
        <v>71</v>
      </c>
      <c r="P554" s="4" t="s">
        <v>71</v>
      </c>
      <c r="Q554" s="4"/>
      <c r="R554" s="4" t="s">
        <v>143</v>
      </c>
      <c r="S554" s="4" t="s">
        <v>71</v>
      </c>
      <c r="T554" s="4" t="s">
        <v>71</v>
      </c>
      <c r="U554" s="4" t="str">
        <f t="shared" si="8"/>
        <v>NO</v>
      </c>
    </row>
    <row r="555" spans="1:21" ht="42" customHeight="1">
      <c r="A555" s="4" t="s">
        <v>1984</v>
      </c>
      <c r="B555" s="4" t="s">
        <v>617</v>
      </c>
      <c r="C555" s="4" t="s">
        <v>942</v>
      </c>
      <c r="D555" s="4" t="s">
        <v>617</v>
      </c>
      <c r="E555" s="4" t="s">
        <v>942</v>
      </c>
      <c r="F555" s="4" t="s">
        <v>1009</v>
      </c>
      <c r="G555" s="4" t="s">
        <v>1985</v>
      </c>
      <c r="H555" s="4" t="s">
        <v>1018</v>
      </c>
      <c r="I555" s="4"/>
      <c r="J555" s="4" t="s">
        <v>1018</v>
      </c>
      <c r="K555" s="4" t="s">
        <v>75</v>
      </c>
      <c r="L555" s="4" t="s">
        <v>69</v>
      </c>
      <c r="M555" s="4" t="s">
        <v>1012</v>
      </c>
      <c r="N555" s="4" t="s">
        <v>75</v>
      </c>
      <c r="O555" s="4" t="s">
        <v>71</v>
      </c>
      <c r="P555" s="4" t="s">
        <v>71</v>
      </c>
      <c r="Q555" s="4"/>
      <c r="R555" s="4" t="s">
        <v>143</v>
      </c>
      <c r="S555" s="4" t="s">
        <v>71</v>
      </c>
      <c r="T555" s="4" t="s">
        <v>71</v>
      </c>
      <c r="U555" s="4" t="str">
        <f t="shared" si="8"/>
        <v>NO</v>
      </c>
    </row>
    <row r="556" spans="1:21" ht="42" customHeight="1">
      <c r="A556" s="4" t="s">
        <v>1986</v>
      </c>
      <c r="B556" s="4" t="s">
        <v>270</v>
      </c>
      <c r="C556" s="4" t="s">
        <v>942</v>
      </c>
      <c r="D556" s="4" t="s">
        <v>270</v>
      </c>
      <c r="E556" s="4" t="s">
        <v>942</v>
      </c>
      <c r="F556" s="4" t="s">
        <v>1009</v>
      </c>
      <c r="G556" s="4" t="s">
        <v>1044</v>
      </c>
      <c r="H556" s="4" t="s">
        <v>1011</v>
      </c>
      <c r="I556" s="4"/>
      <c r="J556" s="4" t="s">
        <v>1011</v>
      </c>
      <c r="K556" s="4" t="s">
        <v>69</v>
      </c>
      <c r="L556" s="4" t="s">
        <v>69</v>
      </c>
      <c r="M556" s="4" t="s">
        <v>1021</v>
      </c>
      <c r="N556" s="4" t="s">
        <v>69</v>
      </c>
      <c r="O556" s="4" t="s">
        <v>71</v>
      </c>
      <c r="P556" s="4" t="s">
        <v>71</v>
      </c>
      <c r="Q556" s="4"/>
      <c r="R556" s="4" t="s">
        <v>143</v>
      </c>
      <c r="S556" s="4" t="s">
        <v>71</v>
      </c>
      <c r="T556" s="4" t="s">
        <v>71</v>
      </c>
      <c r="U556" s="4" t="str">
        <f t="shared" si="8"/>
        <v>NO</v>
      </c>
    </row>
    <row r="557" spans="1:21" ht="42" customHeight="1">
      <c r="A557" s="4" t="s">
        <v>1987</v>
      </c>
      <c r="B557" s="4" t="s">
        <v>533</v>
      </c>
      <c r="C557" s="4" t="s">
        <v>942</v>
      </c>
      <c r="D557" s="4" t="s">
        <v>533</v>
      </c>
      <c r="E557" s="4" t="s">
        <v>942</v>
      </c>
      <c r="F557" s="4" t="s">
        <v>1009</v>
      </c>
      <c r="G557" s="4" t="s">
        <v>1044</v>
      </c>
      <c r="H557" s="4" t="s">
        <v>1011</v>
      </c>
      <c r="I557" s="4"/>
      <c r="J557" s="4" t="s">
        <v>1011</v>
      </c>
      <c r="K557" s="4" t="s">
        <v>69</v>
      </c>
      <c r="L557" s="4" t="s">
        <v>69</v>
      </c>
      <c r="M557" s="4" t="s">
        <v>1021</v>
      </c>
      <c r="N557" s="4" t="s">
        <v>69</v>
      </c>
      <c r="O557" s="4" t="s">
        <v>71</v>
      </c>
      <c r="P557" s="4" t="s">
        <v>71</v>
      </c>
      <c r="Q557" s="4"/>
      <c r="R557" s="4" t="s">
        <v>143</v>
      </c>
      <c r="S557" s="4" t="s">
        <v>71</v>
      </c>
      <c r="T557" s="4" t="s">
        <v>71</v>
      </c>
      <c r="U557" s="4" t="str">
        <f t="shared" si="8"/>
        <v>NO</v>
      </c>
    </row>
    <row r="558" spans="1:21" ht="42" customHeight="1">
      <c r="A558" s="4" t="s">
        <v>1988</v>
      </c>
      <c r="B558" s="4" t="s">
        <v>945</v>
      </c>
      <c r="C558" s="4" t="s">
        <v>867</v>
      </c>
      <c r="D558" s="4" t="s">
        <v>945</v>
      </c>
      <c r="E558" s="4" t="s">
        <v>867</v>
      </c>
      <c r="F558" s="4" t="s">
        <v>1009</v>
      </c>
      <c r="G558" s="4" t="s">
        <v>1989</v>
      </c>
      <c r="H558" s="4" t="s">
        <v>1018</v>
      </c>
      <c r="I558" s="4"/>
      <c r="J558" s="4" t="s">
        <v>1018</v>
      </c>
      <c r="K558" s="4" t="s">
        <v>92</v>
      </c>
      <c r="L558" s="4" t="s">
        <v>48</v>
      </c>
      <c r="M558" s="4" t="s">
        <v>1012</v>
      </c>
      <c r="N558" s="4" t="s">
        <v>92</v>
      </c>
      <c r="O558" s="4" t="s">
        <v>71</v>
      </c>
      <c r="P558" s="4" t="s">
        <v>71</v>
      </c>
      <c r="Q558" s="4"/>
      <c r="R558" s="4" t="s">
        <v>143</v>
      </c>
      <c r="S558" s="4" t="s">
        <v>71</v>
      </c>
      <c r="T558" s="4" t="s">
        <v>71</v>
      </c>
      <c r="U558" s="4" t="str">
        <f t="shared" si="8"/>
        <v>NO</v>
      </c>
    </row>
    <row r="559" spans="1:21" ht="42" customHeight="1">
      <c r="A559" s="4" t="s">
        <v>1990</v>
      </c>
      <c r="B559" s="4" t="s">
        <v>945</v>
      </c>
      <c r="C559" s="4" t="s">
        <v>120</v>
      </c>
      <c r="D559" s="4" t="s">
        <v>945</v>
      </c>
      <c r="E559" s="4" t="s">
        <v>120</v>
      </c>
      <c r="F559" s="4" t="s">
        <v>1009</v>
      </c>
      <c r="G559" s="4" t="s">
        <v>1991</v>
      </c>
      <c r="H559" s="4" t="s">
        <v>1018</v>
      </c>
      <c r="I559" s="4"/>
      <c r="J559" s="4" t="s">
        <v>1018</v>
      </c>
      <c r="K559" s="4" t="s">
        <v>92</v>
      </c>
      <c r="L559" s="4" t="s">
        <v>48</v>
      </c>
      <c r="M559" s="4" t="s">
        <v>1012</v>
      </c>
      <c r="N559" s="4" t="s">
        <v>92</v>
      </c>
      <c r="O559" s="4" t="s">
        <v>71</v>
      </c>
      <c r="P559" s="4" t="s">
        <v>71</v>
      </c>
      <c r="Q559" s="4"/>
      <c r="R559" s="4" t="s">
        <v>143</v>
      </c>
      <c r="S559" s="4" t="s">
        <v>71</v>
      </c>
      <c r="T559" s="4" t="s">
        <v>71</v>
      </c>
      <c r="U559" s="4" t="str">
        <f t="shared" si="8"/>
        <v>NO</v>
      </c>
    </row>
    <row r="560" spans="1:21" ht="42" customHeight="1">
      <c r="A560" s="4" t="s">
        <v>1992</v>
      </c>
      <c r="B560" s="4" t="s">
        <v>945</v>
      </c>
      <c r="C560" s="4" t="s">
        <v>620</v>
      </c>
      <c r="D560" s="4" t="s">
        <v>945</v>
      </c>
      <c r="E560" s="4" t="s">
        <v>620</v>
      </c>
      <c r="F560" s="4" t="s">
        <v>1009</v>
      </c>
      <c r="G560" s="4" t="s">
        <v>1993</v>
      </c>
      <c r="H560" s="4" t="s">
        <v>1018</v>
      </c>
      <c r="I560" s="4"/>
      <c r="J560" s="4" t="s">
        <v>1018</v>
      </c>
      <c r="K560" s="4" t="s">
        <v>92</v>
      </c>
      <c r="L560" s="4" t="s">
        <v>83</v>
      </c>
      <c r="M560" s="4" t="s">
        <v>1012</v>
      </c>
      <c r="N560" s="4" t="s">
        <v>92</v>
      </c>
      <c r="O560" s="4" t="s">
        <v>71</v>
      </c>
      <c r="P560" s="4" t="s">
        <v>71</v>
      </c>
      <c r="Q560" s="4"/>
      <c r="R560" s="4" t="s">
        <v>143</v>
      </c>
      <c r="S560" s="4" t="s">
        <v>71</v>
      </c>
      <c r="T560" s="4" t="s">
        <v>71</v>
      </c>
      <c r="U560" s="4" t="str">
        <f t="shared" si="8"/>
        <v>NO</v>
      </c>
    </row>
    <row r="561" spans="1:21" ht="42" customHeight="1">
      <c r="A561" s="4" t="s">
        <v>1994</v>
      </c>
      <c r="B561" s="4" t="s">
        <v>481</v>
      </c>
      <c r="C561" s="4" t="s">
        <v>945</v>
      </c>
      <c r="D561" s="4" t="s">
        <v>481</v>
      </c>
      <c r="E561" s="4" t="s">
        <v>945</v>
      </c>
      <c r="F561" s="4" t="s">
        <v>1009</v>
      </c>
      <c r="G561" s="4" t="s">
        <v>1995</v>
      </c>
      <c r="H561" s="4" t="s">
        <v>1018</v>
      </c>
      <c r="I561" s="4"/>
      <c r="J561" s="4" t="s">
        <v>1018</v>
      </c>
      <c r="K561" s="4" t="s">
        <v>72</v>
      </c>
      <c r="L561" s="4" t="s">
        <v>92</v>
      </c>
      <c r="M561" s="4" t="s">
        <v>1012</v>
      </c>
      <c r="N561" s="4" t="s">
        <v>92</v>
      </c>
      <c r="O561" s="4" t="s">
        <v>71</v>
      </c>
      <c r="P561" s="4" t="s">
        <v>71</v>
      </c>
      <c r="Q561" s="4"/>
      <c r="R561" s="4" t="s">
        <v>143</v>
      </c>
      <c r="S561" s="4" t="s">
        <v>71</v>
      </c>
      <c r="T561" s="4" t="s">
        <v>71</v>
      </c>
      <c r="U561" s="4" t="str">
        <f t="shared" si="8"/>
        <v>NO</v>
      </c>
    </row>
    <row r="562" spans="1:21" ht="42" customHeight="1">
      <c r="A562" s="4" t="s">
        <v>1996</v>
      </c>
      <c r="B562" s="4" t="s">
        <v>948</v>
      </c>
      <c r="C562" s="4" t="s">
        <v>384</v>
      </c>
      <c r="D562" s="4" t="s">
        <v>948</v>
      </c>
      <c r="E562" s="4" t="s">
        <v>384</v>
      </c>
      <c r="F562" s="4" t="s">
        <v>1009</v>
      </c>
      <c r="G562" s="4" t="s">
        <v>1997</v>
      </c>
      <c r="H562" s="4" t="s">
        <v>1018</v>
      </c>
      <c r="I562" s="4"/>
      <c r="J562" s="4" t="s">
        <v>1018</v>
      </c>
      <c r="K562" s="4" t="s">
        <v>58</v>
      </c>
      <c r="L562" s="4" t="s">
        <v>58</v>
      </c>
      <c r="M562" s="4" t="s">
        <v>1021</v>
      </c>
      <c r="N562" s="4" t="s">
        <v>58</v>
      </c>
      <c r="O562" s="4" t="s">
        <v>71</v>
      </c>
      <c r="P562" s="4" t="s">
        <v>71</v>
      </c>
      <c r="Q562" s="4"/>
      <c r="R562" s="4" t="s">
        <v>143</v>
      </c>
      <c r="S562" s="4" t="s">
        <v>71</v>
      </c>
      <c r="T562" s="4" t="s">
        <v>71</v>
      </c>
      <c r="U562" s="4" t="str">
        <f t="shared" si="8"/>
        <v>NO</v>
      </c>
    </row>
    <row r="563" spans="1:21" ht="42" customHeight="1">
      <c r="A563" s="4" t="s">
        <v>1998</v>
      </c>
      <c r="B563" s="4" t="s">
        <v>948</v>
      </c>
      <c r="C563" s="4" t="s">
        <v>329</v>
      </c>
      <c r="D563" s="4" t="s">
        <v>948</v>
      </c>
      <c r="E563" s="4" t="s">
        <v>329</v>
      </c>
      <c r="F563" s="4" t="s">
        <v>1009</v>
      </c>
      <c r="G563" s="4" t="s">
        <v>1999</v>
      </c>
      <c r="H563" s="4" t="s">
        <v>1018</v>
      </c>
      <c r="I563" s="4"/>
      <c r="J563" s="4" t="s">
        <v>1018</v>
      </c>
      <c r="K563" s="4" t="s">
        <v>58</v>
      </c>
      <c r="L563" s="4" t="s">
        <v>61</v>
      </c>
      <c r="M563" s="4" t="s">
        <v>1012</v>
      </c>
      <c r="N563" s="4" t="s">
        <v>61</v>
      </c>
      <c r="O563" s="4" t="s">
        <v>71</v>
      </c>
      <c r="P563" s="4" t="s">
        <v>71</v>
      </c>
      <c r="Q563" s="4"/>
      <c r="R563" s="4" t="s">
        <v>143</v>
      </c>
      <c r="S563" s="4" t="s">
        <v>71</v>
      </c>
      <c r="T563" s="4" t="s">
        <v>71</v>
      </c>
      <c r="U563" s="4" t="str">
        <f t="shared" si="8"/>
        <v>NO</v>
      </c>
    </row>
    <row r="564" spans="1:21" ht="42" customHeight="1">
      <c r="A564" s="4" t="s">
        <v>2000</v>
      </c>
      <c r="B564" s="4" t="s">
        <v>948</v>
      </c>
      <c r="C564" s="4" t="s">
        <v>699</v>
      </c>
      <c r="D564" s="4" t="s">
        <v>948</v>
      </c>
      <c r="E564" s="4" t="s">
        <v>699</v>
      </c>
      <c r="F564" s="4" t="s">
        <v>1009</v>
      </c>
      <c r="G564" s="4" t="s">
        <v>2001</v>
      </c>
      <c r="H564" s="4" t="s">
        <v>1011</v>
      </c>
      <c r="I564" s="4"/>
      <c r="J564" s="4" t="s">
        <v>1011</v>
      </c>
      <c r="K564" s="4" t="s">
        <v>58</v>
      </c>
      <c r="L564" s="4" t="s">
        <v>75</v>
      </c>
      <c r="M564" s="4" t="s">
        <v>1012</v>
      </c>
      <c r="N564" s="4" t="s">
        <v>75</v>
      </c>
      <c r="O564" s="4" t="s">
        <v>71</v>
      </c>
      <c r="P564" s="4" t="s">
        <v>71</v>
      </c>
      <c r="Q564" s="4"/>
      <c r="R564" s="4" t="s">
        <v>143</v>
      </c>
      <c r="S564" s="4" t="s">
        <v>71</v>
      </c>
      <c r="T564" s="4" t="s">
        <v>71</v>
      </c>
      <c r="U564" s="4" t="str">
        <f t="shared" si="8"/>
        <v>NO</v>
      </c>
    </row>
    <row r="565" spans="1:21" ht="42" customHeight="1">
      <c r="A565" s="4" t="s">
        <v>2002</v>
      </c>
      <c r="B565" s="4" t="s">
        <v>954</v>
      </c>
      <c r="C565" s="4" t="s">
        <v>951</v>
      </c>
      <c r="D565" s="4" t="s">
        <v>954</v>
      </c>
      <c r="E565" s="4" t="s">
        <v>951</v>
      </c>
      <c r="F565" s="4" t="s">
        <v>1009</v>
      </c>
      <c r="G565" s="4" t="s">
        <v>2003</v>
      </c>
      <c r="H565" s="4" t="s">
        <v>1018</v>
      </c>
      <c r="I565" s="4"/>
      <c r="J565" s="4" t="s">
        <v>1018</v>
      </c>
      <c r="K565" s="4" t="s">
        <v>61</v>
      </c>
      <c r="L565" s="4" t="s">
        <v>69</v>
      </c>
      <c r="M565" s="4" t="s">
        <v>1012</v>
      </c>
      <c r="N565" s="4" t="s">
        <v>69</v>
      </c>
      <c r="O565" s="4" t="s">
        <v>71</v>
      </c>
      <c r="P565" s="4" t="s">
        <v>71</v>
      </c>
      <c r="Q565" s="4"/>
      <c r="R565" s="4" t="s">
        <v>143</v>
      </c>
      <c r="S565" s="4" t="s">
        <v>71</v>
      </c>
      <c r="T565" s="4" t="s">
        <v>71</v>
      </c>
      <c r="U565" s="4" t="str">
        <f t="shared" si="8"/>
        <v>NO</v>
      </c>
    </row>
    <row r="566" spans="1:21" ht="42" customHeight="1">
      <c r="A566" s="4" t="s">
        <v>2004</v>
      </c>
      <c r="B566" s="4" t="s">
        <v>951</v>
      </c>
      <c r="C566" s="4" t="s">
        <v>396</v>
      </c>
      <c r="D566" s="4" t="s">
        <v>951</v>
      </c>
      <c r="E566" s="4" t="s">
        <v>396</v>
      </c>
      <c r="F566" s="4" t="s">
        <v>1009</v>
      </c>
      <c r="G566" s="4" t="s">
        <v>1020</v>
      </c>
      <c r="H566" s="4" t="s">
        <v>1011</v>
      </c>
      <c r="I566" s="4"/>
      <c r="J566" s="4" t="s">
        <v>1011</v>
      </c>
      <c r="K566" s="4" t="s">
        <v>69</v>
      </c>
      <c r="L566" s="4" t="s">
        <v>79</v>
      </c>
      <c r="M566" s="4" t="s">
        <v>1012</v>
      </c>
      <c r="N566" s="4" t="s">
        <v>79</v>
      </c>
      <c r="O566" s="4" t="s">
        <v>71</v>
      </c>
      <c r="P566" s="4" t="s">
        <v>71</v>
      </c>
      <c r="Q566" s="4"/>
      <c r="R566" s="4" t="s">
        <v>143</v>
      </c>
      <c r="S566" s="4" t="s">
        <v>71</v>
      </c>
      <c r="T566" s="4" t="s">
        <v>71</v>
      </c>
      <c r="U566" s="4" t="str">
        <f t="shared" si="8"/>
        <v>NO</v>
      </c>
    </row>
    <row r="567" spans="1:21" ht="42" customHeight="1">
      <c r="A567" s="4" t="s">
        <v>2005</v>
      </c>
      <c r="B567" s="4" t="s">
        <v>951</v>
      </c>
      <c r="C567" s="4" t="s">
        <v>552</v>
      </c>
      <c r="D567" s="4" t="s">
        <v>951</v>
      </c>
      <c r="E567" s="4" t="s">
        <v>552</v>
      </c>
      <c r="F567" s="4" t="s">
        <v>1009</v>
      </c>
      <c r="G567" s="4" t="s">
        <v>1020</v>
      </c>
      <c r="H567" s="4" t="s">
        <v>1011</v>
      </c>
      <c r="I567" s="4"/>
      <c r="J567" s="4" t="s">
        <v>1011</v>
      </c>
      <c r="K567" s="4" t="s">
        <v>69</v>
      </c>
      <c r="L567" s="4" t="s">
        <v>79</v>
      </c>
      <c r="M567" s="4" t="s">
        <v>1012</v>
      </c>
      <c r="N567" s="4" t="s">
        <v>79</v>
      </c>
      <c r="O567" s="4" t="s">
        <v>71</v>
      </c>
      <c r="P567" s="4" t="s">
        <v>71</v>
      </c>
      <c r="Q567" s="4"/>
      <c r="R567" s="4" t="s">
        <v>143</v>
      </c>
      <c r="S567" s="4" t="s">
        <v>71</v>
      </c>
      <c r="T567" s="4" t="s">
        <v>71</v>
      </c>
      <c r="U567" s="4" t="str">
        <f t="shared" si="8"/>
        <v>NO</v>
      </c>
    </row>
    <row r="568" spans="1:21" ht="42" customHeight="1">
      <c r="A568" s="4" t="s">
        <v>2006</v>
      </c>
      <c r="B568" s="4" t="s">
        <v>954</v>
      </c>
      <c r="C568" s="4" t="s">
        <v>957</v>
      </c>
      <c r="D568" s="4" t="s">
        <v>954</v>
      </c>
      <c r="E568" s="4" t="s">
        <v>957</v>
      </c>
      <c r="F568" s="4" t="s">
        <v>1009</v>
      </c>
      <c r="G568" s="4" t="s">
        <v>2007</v>
      </c>
      <c r="H568" s="4" t="s">
        <v>1018</v>
      </c>
      <c r="I568" s="4"/>
      <c r="J568" s="4" t="s">
        <v>1018</v>
      </c>
      <c r="K568" s="4" t="s">
        <v>61</v>
      </c>
      <c r="L568" s="4" t="s">
        <v>61</v>
      </c>
      <c r="M568" s="4" t="s">
        <v>1021</v>
      </c>
      <c r="N568" s="4" t="s">
        <v>61</v>
      </c>
      <c r="O568" s="4" t="s">
        <v>71</v>
      </c>
      <c r="P568" s="4" t="s">
        <v>71</v>
      </c>
      <c r="Q568" s="4"/>
      <c r="R568" s="4" t="s">
        <v>143</v>
      </c>
      <c r="S568" s="4" t="s">
        <v>71</v>
      </c>
      <c r="T568" s="4" t="s">
        <v>71</v>
      </c>
      <c r="U568" s="4" t="str">
        <f t="shared" si="8"/>
        <v>NO</v>
      </c>
    </row>
    <row r="569" spans="1:21" ht="42" customHeight="1">
      <c r="A569" s="4" t="s">
        <v>2008</v>
      </c>
      <c r="B569" s="4" t="s">
        <v>954</v>
      </c>
      <c r="C569" s="4" t="s">
        <v>960</v>
      </c>
      <c r="D569" s="4" t="s">
        <v>954</v>
      </c>
      <c r="E569" s="4" t="s">
        <v>960</v>
      </c>
      <c r="F569" s="4" t="s">
        <v>1009</v>
      </c>
      <c r="G569" s="4" t="s">
        <v>2009</v>
      </c>
      <c r="H569" s="4" t="s">
        <v>1018</v>
      </c>
      <c r="I569" s="4"/>
      <c r="J569" s="4" t="s">
        <v>1018</v>
      </c>
      <c r="K569" s="4" t="s">
        <v>61</v>
      </c>
      <c r="L569" s="4" t="s">
        <v>48</v>
      </c>
      <c r="M569" s="4" t="s">
        <v>1012</v>
      </c>
      <c r="N569" s="4" t="s">
        <v>61</v>
      </c>
      <c r="O569" s="4" t="s">
        <v>71</v>
      </c>
      <c r="P569" s="4" t="s">
        <v>71</v>
      </c>
      <c r="Q569" s="4"/>
      <c r="R569" s="4" t="s">
        <v>143</v>
      </c>
      <c r="S569" s="4" t="s">
        <v>71</v>
      </c>
      <c r="T569" s="4" t="s">
        <v>71</v>
      </c>
      <c r="U569" s="4" t="str">
        <f t="shared" si="8"/>
        <v>NO</v>
      </c>
    </row>
    <row r="570" spans="1:21" ht="42" customHeight="1">
      <c r="A570" s="4" t="s">
        <v>2010</v>
      </c>
      <c r="B570" s="4" t="s">
        <v>954</v>
      </c>
      <c r="C570" s="4" t="s">
        <v>332</v>
      </c>
      <c r="D570" s="4" t="s">
        <v>954</v>
      </c>
      <c r="E570" s="4" t="s">
        <v>332</v>
      </c>
      <c r="F570" s="4" t="s">
        <v>1009</v>
      </c>
      <c r="G570" s="4" t="s">
        <v>2011</v>
      </c>
      <c r="H570" s="4" t="s">
        <v>1018</v>
      </c>
      <c r="I570" s="4"/>
      <c r="J570" s="4" t="s">
        <v>1018</v>
      </c>
      <c r="K570" s="4" t="s">
        <v>61</v>
      </c>
      <c r="L570" s="4" t="s">
        <v>81</v>
      </c>
      <c r="M570" s="4" t="s">
        <v>1012</v>
      </c>
      <c r="N570" s="4" t="s">
        <v>81</v>
      </c>
      <c r="O570" s="4" t="s">
        <v>71</v>
      </c>
      <c r="P570" s="4" t="s">
        <v>71</v>
      </c>
      <c r="Q570" s="4"/>
      <c r="R570" s="4" t="s">
        <v>143</v>
      </c>
      <c r="S570" s="4" t="s">
        <v>71</v>
      </c>
      <c r="T570" s="4" t="s">
        <v>71</v>
      </c>
      <c r="U570" s="4" t="str">
        <f t="shared" si="8"/>
        <v>NO</v>
      </c>
    </row>
    <row r="571" spans="1:21" ht="42" customHeight="1">
      <c r="A571" s="4" t="s">
        <v>2012</v>
      </c>
      <c r="B571" s="4" t="s">
        <v>954</v>
      </c>
      <c r="C571" s="4" t="s">
        <v>611</v>
      </c>
      <c r="D571" s="4" t="s">
        <v>954</v>
      </c>
      <c r="E571" s="4" t="s">
        <v>611</v>
      </c>
      <c r="F571" s="4" t="s">
        <v>1009</v>
      </c>
      <c r="G571" s="4" t="s">
        <v>2013</v>
      </c>
      <c r="H571" s="4" t="s">
        <v>1018</v>
      </c>
      <c r="I571" s="4"/>
      <c r="J571" s="4" t="s">
        <v>1018</v>
      </c>
      <c r="K571" s="4" t="s">
        <v>61</v>
      </c>
      <c r="L571" s="4" t="s">
        <v>77</v>
      </c>
      <c r="M571" s="4" t="s">
        <v>1012</v>
      </c>
      <c r="N571" s="4" t="s">
        <v>77</v>
      </c>
      <c r="O571" s="4" t="s">
        <v>71</v>
      </c>
      <c r="P571" s="4" t="s">
        <v>71</v>
      </c>
      <c r="Q571" s="4"/>
      <c r="R571" s="4" t="s">
        <v>143</v>
      </c>
      <c r="S571" s="4" t="s">
        <v>71</v>
      </c>
      <c r="T571" s="4" t="s">
        <v>71</v>
      </c>
      <c r="U571" s="4" t="str">
        <f t="shared" si="8"/>
        <v>NO</v>
      </c>
    </row>
    <row r="572" spans="1:21" ht="42" customHeight="1">
      <c r="A572" s="4" t="s">
        <v>2014</v>
      </c>
      <c r="B572" s="4" t="s">
        <v>814</v>
      </c>
      <c r="C572" s="4" t="s">
        <v>954</v>
      </c>
      <c r="D572" s="4" t="s">
        <v>814</v>
      </c>
      <c r="E572" s="4" t="s">
        <v>954</v>
      </c>
      <c r="F572" s="4" t="s">
        <v>1009</v>
      </c>
      <c r="G572" s="4" t="s">
        <v>2015</v>
      </c>
      <c r="H572" s="4" t="s">
        <v>1018</v>
      </c>
      <c r="I572" s="4"/>
      <c r="J572" s="4" t="s">
        <v>1018</v>
      </c>
      <c r="K572" s="4" t="s">
        <v>86</v>
      </c>
      <c r="L572" s="4" t="s">
        <v>61</v>
      </c>
      <c r="M572" s="4" t="s">
        <v>1012</v>
      </c>
      <c r="N572" s="4" t="s">
        <v>86</v>
      </c>
      <c r="O572" s="4" t="s">
        <v>71</v>
      </c>
      <c r="P572" s="4" t="s">
        <v>71</v>
      </c>
      <c r="Q572" s="4"/>
      <c r="R572" s="4" t="s">
        <v>143</v>
      </c>
      <c r="S572" s="4" t="s">
        <v>71</v>
      </c>
      <c r="T572" s="4" t="s">
        <v>71</v>
      </c>
      <c r="U572" s="4" t="str">
        <f t="shared" si="8"/>
        <v>NO</v>
      </c>
    </row>
    <row r="573" spans="1:21" ht="42" customHeight="1">
      <c r="A573" s="4" t="s">
        <v>2016</v>
      </c>
      <c r="B573" s="4" t="s">
        <v>811</v>
      </c>
      <c r="C573" s="4" t="s">
        <v>954</v>
      </c>
      <c r="D573" s="4" t="s">
        <v>811</v>
      </c>
      <c r="E573" s="4" t="s">
        <v>954</v>
      </c>
      <c r="F573" s="4" t="s">
        <v>1009</v>
      </c>
      <c r="G573" s="4" t="s">
        <v>2017</v>
      </c>
      <c r="H573" s="4" t="s">
        <v>1018</v>
      </c>
      <c r="I573" s="4"/>
      <c r="J573" s="4" t="s">
        <v>1018</v>
      </c>
      <c r="K573" s="4" t="s">
        <v>58</v>
      </c>
      <c r="L573" s="4" t="s">
        <v>61</v>
      </c>
      <c r="M573" s="4" t="s">
        <v>1012</v>
      </c>
      <c r="N573" s="4" t="s">
        <v>61</v>
      </c>
      <c r="O573" s="4" t="s">
        <v>71</v>
      </c>
      <c r="P573" s="4" t="s">
        <v>71</v>
      </c>
      <c r="Q573" s="4"/>
      <c r="R573" s="4" t="s">
        <v>143</v>
      </c>
      <c r="S573" s="4" t="s">
        <v>71</v>
      </c>
      <c r="T573" s="4" t="s">
        <v>71</v>
      </c>
      <c r="U573" s="4" t="str">
        <f t="shared" si="8"/>
        <v>NO</v>
      </c>
    </row>
    <row r="574" spans="1:21" ht="42" customHeight="1">
      <c r="A574" s="4" t="s">
        <v>2018</v>
      </c>
      <c r="B574" s="4" t="s">
        <v>851</v>
      </c>
      <c r="C574" s="4" t="s">
        <v>954</v>
      </c>
      <c r="D574" s="4" t="s">
        <v>851</v>
      </c>
      <c r="E574" s="4" t="s">
        <v>954</v>
      </c>
      <c r="F574" s="4" t="s">
        <v>1009</v>
      </c>
      <c r="G574" s="4" t="s">
        <v>2019</v>
      </c>
      <c r="H574" s="4" t="s">
        <v>1018</v>
      </c>
      <c r="I574" s="4"/>
      <c r="J574" s="4" t="s">
        <v>1018</v>
      </c>
      <c r="K574" s="4" t="s">
        <v>77</v>
      </c>
      <c r="L574" s="4" t="s">
        <v>61</v>
      </c>
      <c r="M574" s="4" t="s">
        <v>1012</v>
      </c>
      <c r="N574" s="4" t="s">
        <v>77</v>
      </c>
      <c r="O574" s="4" t="s">
        <v>71</v>
      </c>
      <c r="P574" s="4" t="s">
        <v>71</v>
      </c>
      <c r="Q574" s="4"/>
      <c r="R574" s="4" t="s">
        <v>143</v>
      </c>
      <c r="S574" s="4" t="s">
        <v>71</v>
      </c>
      <c r="T574" s="4" t="s">
        <v>71</v>
      </c>
      <c r="U574" s="4" t="str">
        <f t="shared" si="8"/>
        <v>NO</v>
      </c>
    </row>
    <row r="575" spans="1:21" ht="42" customHeight="1">
      <c r="A575" s="4" t="s">
        <v>2020</v>
      </c>
      <c r="B575" s="4" t="s">
        <v>957</v>
      </c>
      <c r="C575" s="4" t="s">
        <v>960</v>
      </c>
      <c r="D575" s="4" t="s">
        <v>957</v>
      </c>
      <c r="E575" s="4" t="s">
        <v>960</v>
      </c>
      <c r="F575" s="4" t="s">
        <v>1009</v>
      </c>
      <c r="G575" s="4" t="s">
        <v>2021</v>
      </c>
      <c r="H575" s="4" t="s">
        <v>1018</v>
      </c>
      <c r="I575" s="4"/>
      <c r="J575" s="4" t="s">
        <v>1018</v>
      </c>
      <c r="K575" s="4" t="s">
        <v>61</v>
      </c>
      <c r="L575" s="4" t="s">
        <v>48</v>
      </c>
      <c r="M575" s="4" t="s">
        <v>1012</v>
      </c>
      <c r="N575" s="4" t="s">
        <v>61</v>
      </c>
      <c r="O575" s="4" t="s">
        <v>71</v>
      </c>
      <c r="P575" s="4" t="s">
        <v>71</v>
      </c>
      <c r="Q575" s="4"/>
      <c r="R575" s="4" t="s">
        <v>143</v>
      </c>
      <c r="S575" s="4" t="s">
        <v>71</v>
      </c>
      <c r="T575" s="4" t="s">
        <v>71</v>
      </c>
      <c r="U575" s="4" t="str">
        <f t="shared" si="8"/>
        <v>NO</v>
      </c>
    </row>
    <row r="576" spans="1:21" ht="42" customHeight="1">
      <c r="A576" s="4" t="s">
        <v>2022</v>
      </c>
      <c r="B576" s="4" t="s">
        <v>957</v>
      </c>
      <c r="C576" s="4" t="s">
        <v>636</v>
      </c>
      <c r="D576" s="4" t="s">
        <v>957</v>
      </c>
      <c r="E576" s="4" t="s">
        <v>636</v>
      </c>
      <c r="F576" s="4" t="s">
        <v>1009</v>
      </c>
      <c r="G576" s="4" t="s">
        <v>2023</v>
      </c>
      <c r="H576" s="4" t="s">
        <v>1018</v>
      </c>
      <c r="I576" s="4"/>
      <c r="J576" s="4" t="s">
        <v>1018</v>
      </c>
      <c r="K576" s="4" t="s">
        <v>61</v>
      </c>
      <c r="L576" s="4" t="s">
        <v>86</v>
      </c>
      <c r="M576" s="4" t="s">
        <v>1012</v>
      </c>
      <c r="N576" s="4" t="s">
        <v>86</v>
      </c>
      <c r="O576" s="4" t="s">
        <v>71</v>
      </c>
      <c r="P576" s="4" t="s">
        <v>71</v>
      </c>
      <c r="Q576" s="4"/>
      <c r="R576" s="4" t="s">
        <v>143</v>
      </c>
      <c r="S576" s="4" t="s">
        <v>71</v>
      </c>
      <c r="T576" s="4" t="s">
        <v>71</v>
      </c>
      <c r="U576" s="4" t="str">
        <f t="shared" si="8"/>
        <v>NO</v>
      </c>
    </row>
    <row r="577" spans="1:21" ht="42" customHeight="1">
      <c r="A577" s="4" t="s">
        <v>2024</v>
      </c>
      <c r="B577" s="4" t="s">
        <v>814</v>
      </c>
      <c r="C577" s="4" t="s">
        <v>957</v>
      </c>
      <c r="D577" s="4" t="s">
        <v>814</v>
      </c>
      <c r="E577" s="4" t="s">
        <v>957</v>
      </c>
      <c r="F577" s="4" t="s">
        <v>1009</v>
      </c>
      <c r="G577" s="4" t="s">
        <v>2025</v>
      </c>
      <c r="H577" s="4" t="s">
        <v>1018</v>
      </c>
      <c r="I577" s="4"/>
      <c r="J577" s="4" t="s">
        <v>1018</v>
      </c>
      <c r="K577" s="4" t="s">
        <v>86</v>
      </c>
      <c r="L577" s="4" t="s">
        <v>61</v>
      </c>
      <c r="M577" s="4" t="s">
        <v>1012</v>
      </c>
      <c r="N577" s="4" t="s">
        <v>86</v>
      </c>
      <c r="O577" s="4" t="s">
        <v>71</v>
      </c>
      <c r="P577" s="4" t="s">
        <v>71</v>
      </c>
      <c r="Q577" s="4"/>
      <c r="R577" s="4" t="s">
        <v>143</v>
      </c>
      <c r="S577" s="4" t="s">
        <v>71</v>
      </c>
      <c r="T577" s="4" t="s">
        <v>71</v>
      </c>
      <c r="U577" s="4" t="str">
        <f t="shared" si="8"/>
        <v>NO</v>
      </c>
    </row>
    <row r="578" spans="1:21" ht="42" customHeight="1">
      <c r="A578" s="4" t="s">
        <v>2026</v>
      </c>
      <c r="B578" s="4" t="s">
        <v>811</v>
      </c>
      <c r="C578" s="4" t="s">
        <v>957</v>
      </c>
      <c r="D578" s="4" t="s">
        <v>811</v>
      </c>
      <c r="E578" s="4" t="s">
        <v>957</v>
      </c>
      <c r="F578" s="4" t="s">
        <v>1009</v>
      </c>
      <c r="G578" s="4" t="s">
        <v>2027</v>
      </c>
      <c r="H578" s="4" t="s">
        <v>1018</v>
      </c>
      <c r="I578" s="4"/>
      <c r="J578" s="4" t="s">
        <v>1018</v>
      </c>
      <c r="K578" s="4" t="s">
        <v>58</v>
      </c>
      <c r="L578" s="4" t="s">
        <v>61</v>
      </c>
      <c r="M578" s="4" t="s">
        <v>1012</v>
      </c>
      <c r="N578" s="4" t="s">
        <v>61</v>
      </c>
      <c r="O578" s="4" t="s">
        <v>71</v>
      </c>
      <c r="P578" s="4" t="s">
        <v>71</v>
      </c>
      <c r="Q578" s="4"/>
      <c r="R578" s="4" t="s">
        <v>143</v>
      </c>
      <c r="S578" s="4" t="s">
        <v>71</v>
      </c>
      <c r="T578" s="4" t="s">
        <v>71</v>
      </c>
      <c r="U578" s="4" t="str">
        <f t="shared" si="8"/>
        <v>NO</v>
      </c>
    </row>
    <row r="579" spans="1:21" ht="42" customHeight="1">
      <c r="A579" s="4" t="s">
        <v>2028</v>
      </c>
      <c r="B579" s="4" t="s">
        <v>960</v>
      </c>
      <c r="C579" s="4" t="s">
        <v>306</v>
      </c>
      <c r="D579" s="4" t="s">
        <v>960</v>
      </c>
      <c r="E579" s="4" t="s">
        <v>306</v>
      </c>
      <c r="F579" s="4" t="s">
        <v>1009</v>
      </c>
      <c r="G579" s="4" t="s">
        <v>2029</v>
      </c>
      <c r="H579" s="4" t="s">
        <v>1018</v>
      </c>
      <c r="I579" s="4"/>
      <c r="J579" s="4" t="s">
        <v>1018</v>
      </c>
      <c r="K579" s="4" t="s">
        <v>48</v>
      </c>
      <c r="L579" s="4" t="s">
        <v>75</v>
      </c>
      <c r="M579" s="4" t="s">
        <v>1012</v>
      </c>
      <c r="N579" s="4" t="s">
        <v>75</v>
      </c>
      <c r="O579" s="4" t="s">
        <v>71</v>
      </c>
      <c r="P579" s="4" t="s">
        <v>71</v>
      </c>
      <c r="Q579" s="4"/>
      <c r="R579" s="4" t="s">
        <v>143</v>
      </c>
      <c r="S579" s="4" t="s">
        <v>71</v>
      </c>
      <c r="T579" s="4" t="s">
        <v>71</v>
      </c>
      <c r="U579" s="4" t="str">
        <f t="shared" si="8"/>
        <v>NO</v>
      </c>
    </row>
    <row r="580" spans="1:21" ht="42" customHeight="1">
      <c r="A580" s="4" t="s">
        <v>2030</v>
      </c>
      <c r="B580" s="4" t="s">
        <v>960</v>
      </c>
      <c r="C580" s="4" t="s">
        <v>329</v>
      </c>
      <c r="D580" s="4" t="s">
        <v>960</v>
      </c>
      <c r="E580" s="4" t="s">
        <v>329</v>
      </c>
      <c r="F580" s="4" t="s">
        <v>1009</v>
      </c>
      <c r="G580" s="4" t="s">
        <v>2031</v>
      </c>
      <c r="H580" s="4" t="s">
        <v>1018</v>
      </c>
      <c r="I580" s="4"/>
      <c r="J580" s="4" t="s">
        <v>1018</v>
      </c>
      <c r="K580" s="4" t="s">
        <v>48</v>
      </c>
      <c r="L580" s="4" t="s">
        <v>61</v>
      </c>
      <c r="M580" s="4" t="s">
        <v>1012</v>
      </c>
      <c r="N580" s="4" t="s">
        <v>61</v>
      </c>
      <c r="O580" s="4" t="s">
        <v>71</v>
      </c>
      <c r="P580" s="4" t="s">
        <v>71</v>
      </c>
      <c r="Q580" s="4"/>
      <c r="R580" s="4" t="s">
        <v>143</v>
      </c>
      <c r="S580" s="4" t="s">
        <v>71</v>
      </c>
      <c r="T580" s="4" t="s">
        <v>71</v>
      </c>
      <c r="U580" s="4" t="str">
        <f t="shared" si="8"/>
        <v>NO</v>
      </c>
    </row>
    <row r="581" spans="1:21" ht="42" customHeight="1">
      <c r="A581" s="4" t="s">
        <v>2032</v>
      </c>
      <c r="B581" s="4" t="s">
        <v>413</v>
      </c>
      <c r="C581" s="4" t="s">
        <v>960</v>
      </c>
      <c r="D581" s="4" t="s">
        <v>413</v>
      </c>
      <c r="E581" s="4" t="s">
        <v>960</v>
      </c>
      <c r="F581" s="4" t="s">
        <v>1009</v>
      </c>
      <c r="G581" s="4" t="s">
        <v>2033</v>
      </c>
      <c r="H581" s="4" t="s">
        <v>1018</v>
      </c>
      <c r="I581" s="4"/>
      <c r="J581" s="4" t="s">
        <v>1018</v>
      </c>
      <c r="K581" s="4" t="s">
        <v>61</v>
      </c>
      <c r="L581" s="4" t="s">
        <v>48</v>
      </c>
      <c r="M581" s="4" t="s">
        <v>1012</v>
      </c>
      <c r="N581" s="4" t="s">
        <v>61</v>
      </c>
      <c r="O581" s="4" t="s">
        <v>71</v>
      </c>
      <c r="P581" s="4" t="s">
        <v>71</v>
      </c>
      <c r="Q581" s="4"/>
      <c r="R581" s="4" t="s">
        <v>143</v>
      </c>
      <c r="S581" s="4" t="s">
        <v>71</v>
      </c>
      <c r="T581" s="4" t="s">
        <v>71</v>
      </c>
      <c r="U581" s="4" t="str">
        <f t="shared" ref="U581:U644" si="9">IF(AND(R581="revisada",S581="pasa",T581="aprobada",O581&lt;&gt;"pendiente",P581&lt;&gt;"pendiente",OR(J581="por_corroborar",AND(J581="corroborada",Q581&lt;&gt;""))),"SÍ","NO")</f>
        <v>NO</v>
      </c>
    </row>
    <row r="582" spans="1:21" ht="42" customHeight="1">
      <c r="A582" s="4" t="s">
        <v>2034</v>
      </c>
      <c r="B582" s="4" t="s">
        <v>558</v>
      </c>
      <c r="C582" s="4" t="s">
        <v>960</v>
      </c>
      <c r="D582" s="4" t="s">
        <v>558</v>
      </c>
      <c r="E582" s="4" t="s">
        <v>960</v>
      </c>
      <c r="F582" s="4" t="s">
        <v>1009</v>
      </c>
      <c r="G582" s="4" t="s">
        <v>2035</v>
      </c>
      <c r="H582" s="4" t="s">
        <v>1018</v>
      </c>
      <c r="I582" s="4"/>
      <c r="J582" s="4" t="s">
        <v>1018</v>
      </c>
      <c r="K582" s="4" t="s">
        <v>81</v>
      </c>
      <c r="L582" s="4" t="s">
        <v>48</v>
      </c>
      <c r="M582" s="4" t="s">
        <v>1012</v>
      </c>
      <c r="N582" s="4" t="s">
        <v>81</v>
      </c>
      <c r="O582" s="4" t="s">
        <v>71</v>
      </c>
      <c r="P582" s="4" t="s">
        <v>71</v>
      </c>
      <c r="Q582" s="4"/>
      <c r="R582" s="4" t="s">
        <v>143</v>
      </c>
      <c r="S582" s="4" t="s">
        <v>71</v>
      </c>
      <c r="T582" s="4" t="s">
        <v>71</v>
      </c>
      <c r="U582" s="4" t="str">
        <f t="shared" si="9"/>
        <v>NO</v>
      </c>
    </row>
    <row r="583" spans="1:21" ht="42" customHeight="1">
      <c r="A583" s="4" t="s">
        <v>2036</v>
      </c>
      <c r="B583" s="4" t="s">
        <v>729</v>
      </c>
      <c r="C583" s="4" t="s">
        <v>969</v>
      </c>
      <c r="D583" s="4" t="s">
        <v>729</v>
      </c>
      <c r="E583" s="4" t="s">
        <v>969</v>
      </c>
      <c r="F583" s="4" t="s">
        <v>1009</v>
      </c>
      <c r="G583" s="4" t="s">
        <v>2037</v>
      </c>
      <c r="H583" s="4" t="s">
        <v>1018</v>
      </c>
      <c r="I583" s="4"/>
      <c r="J583" s="4" t="s">
        <v>1018</v>
      </c>
      <c r="K583" s="4" t="s">
        <v>86</v>
      </c>
      <c r="L583" s="4" t="s">
        <v>92</v>
      </c>
      <c r="M583" s="4" t="s">
        <v>1012</v>
      </c>
      <c r="N583" s="4" t="s">
        <v>92</v>
      </c>
      <c r="O583" s="4" t="s">
        <v>71</v>
      </c>
      <c r="P583" s="4" t="s">
        <v>71</v>
      </c>
      <c r="Q583" s="4"/>
      <c r="R583" s="4" t="s">
        <v>143</v>
      </c>
      <c r="S583" s="4" t="s">
        <v>71</v>
      </c>
      <c r="T583" s="4" t="s">
        <v>71</v>
      </c>
      <c r="U583" s="4" t="str">
        <f t="shared" si="9"/>
        <v>NO</v>
      </c>
    </row>
    <row r="584" spans="1:21" ht="42" customHeight="1">
      <c r="A584" s="4" t="s">
        <v>2038</v>
      </c>
      <c r="B584" s="4" t="s">
        <v>744</v>
      </c>
      <c r="C584" s="4" t="s">
        <v>969</v>
      </c>
      <c r="D584" s="4" t="s">
        <v>744</v>
      </c>
      <c r="E584" s="4" t="s">
        <v>969</v>
      </c>
      <c r="F584" s="4" t="s">
        <v>1009</v>
      </c>
      <c r="G584" s="4" t="s">
        <v>2039</v>
      </c>
      <c r="H584" s="4" t="s">
        <v>1018</v>
      </c>
      <c r="I584" s="4"/>
      <c r="J584" s="4" t="s">
        <v>1018</v>
      </c>
      <c r="K584" s="4" t="s">
        <v>77</v>
      </c>
      <c r="L584" s="4" t="s">
        <v>92</v>
      </c>
      <c r="M584" s="4" t="s">
        <v>1012</v>
      </c>
      <c r="N584" s="4" t="s">
        <v>92</v>
      </c>
      <c r="O584" s="4" t="s">
        <v>71</v>
      </c>
      <c r="P584" s="4" t="s">
        <v>71</v>
      </c>
      <c r="Q584" s="4"/>
      <c r="R584" s="4" t="s">
        <v>143</v>
      </c>
      <c r="S584" s="4" t="s">
        <v>71</v>
      </c>
      <c r="T584" s="4" t="s">
        <v>71</v>
      </c>
      <c r="U584" s="4" t="str">
        <f t="shared" si="9"/>
        <v>NO</v>
      </c>
    </row>
    <row r="585" spans="1:21" ht="42" customHeight="1">
      <c r="A585" s="4" t="s">
        <v>2040</v>
      </c>
      <c r="B585" s="4" t="s">
        <v>969</v>
      </c>
      <c r="C585" s="4" t="s">
        <v>741</v>
      </c>
      <c r="D585" s="4" t="s">
        <v>969</v>
      </c>
      <c r="E585" s="4" t="s">
        <v>741</v>
      </c>
      <c r="F585" s="4" t="s">
        <v>1009</v>
      </c>
      <c r="G585" s="4" t="s">
        <v>1044</v>
      </c>
      <c r="H585" s="4" t="s">
        <v>1011</v>
      </c>
      <c r="I585" s="4"/>
      <c r="J585" s="4" t="s">
        <v>1011</v>
      </c>
      <c r="K585" s="4" t="s">
        <v>92</v>
      </c>
      <c r="L585" s="4" t="s">
        <v>69</v>
      </c>
      <c r="M585" s="4" t="s">
        <v>1012</v>
      </c>
      <c r="N585" s="4" t="s">
        <v>92</v>
      </c>
      <c r="O585" s="4" t="s">
        <v>71</v>
      </c>
      <c r="P585" s="4" t="s">
        <v>71</v>
      </c>
      <c r="Q585" s="4"/>
      <c r="R585" s="4" t="s">
        <v>143</v>
      </c>
      <c r="S585" s="4" t="s">
        <v>71</v>
      </c>
      <c r="T585" s="4" t="s">
        <v>71</v>
      </c>
      <c r="U585" s="4" t="str">
        <f t="shared" si="9"/>
        <v>NO</v>
      </c>
    </row>
    <row r="586" spans="1:21" ht="42" customHeight="1">
      <c r="A586" s="4" t="s">
        <v>2041</v>
      </c>
      <c r="B586" s="4" t="s">
        <v>973</v>
      </c>
      <c r="C586" s="4" t="s">
        <v>720</v>
      </c>
      <c r="D586" s="4" t="s">
        <v>973</v>
      </c>
      <c r="E586" s="4" t="s">
        <v>720</v>
      </c>
      <c r="F586" s="4" t="s">
        <v>1009</v>
      </c>
      <c r="G586" s="4" t="s">
        <v>2042</v>
      </c>
      <c r="H586" s="4" t="s">
        <v>1018</v>
      </c>
      <c r="I586" s="4"/>
      <c r="J586" s="4" t="s">
        <v>1018</v>
      </c>
      <c r="K586" s="4" t="s">
        <v>48</v>
      </c>
      <c r="L586" s="4" t="s">
        <v>90</v>
      </c>
      <c r="M586" s="4" t="s">
        <v>1012</v>
      </c>
      <c r="N586" s="4" t="s">
        <v>90</v>
      </c>
      <c r="O586" s="4" t="s">
        <v>71</v>
      </c>
      <c r="P586" s="4" t="s">
        <v>71</v>
      </c>
      <c r="Q586" s="4"/>
      <c r="R586" s="4" t="s">
        <v>143</v>
      </c>
      <c r="S586" s="4" t="s">
        <v>71</v>
      </c>
      <c r="T586" s="4" t="s">
        <v>71</v>
      </c>
      <c r="U586" s="4" t="str">
        <f t="shared" si="9"/>
        <v>NO</v>
      </c>
    </row>
    <row r="587" spans="1:21" ht="42" customHeight="1">
      <c r="A587" s="4" t="s">
        <v>2043</v>
      </c>
      <c r="B587" s="4" t="s">
        <v>973</v>
      </c>
      <c r="C587" s="4" t="s">
        <v>555</v>
      </c>
      <c r="D587" s="4" t="s">
        <v>973</v>
      </c>
      <c r="E587" s="4" t="s">
        <v>555</v>
      </c>
      <c r="F587" s="4" t="s">
        <v>1009</v>
      </c>
      <c r="G587" s="4" t="s">
        <v>2044</v>
      </c>
      <c r="H587" s="4" t="s">
        <v>1018</v>
      </c>
      <c r="I587" s="4"/>
      <c r="J587" s="4" t="s">
        <v>1018</v>
      </c>
      <c r="K587" s="4" t="s">
        <v>48</v>
      </c>
      <c r="L587" s="4" t="s">
        <v>75</v>
      </c>
      <c r="M587" s="4" t="s">
        <v>1012</v>
      </c>
      <c r="N587" s="4" t="s">
        <v>75</v>
      </c>
      <c r="O587" s="4" t="s">
        <v>71</v>
      </c>
      <c r="P587" s="4" t="s">
        <v>71</v>
      </c>
      <c r="Q587" s="4"/>
      <c r="R587" s="4" t="s">
        <v>143</v>
      </c>
      <c r="S587" s="4" t="s">
        <v>71</v>
      </c>
      <c r="T587" s="4" t="s">
        <v>71</v>
      </c>
      <c r="U587" s="4" t="str">
        <f t="shared" si="9"/>
        <v>NO</v>
      </c>
    </row>
    <row r="588" spans="1:21" ht="42" customHeight="1">
      <c r="A588" s="4" t="s">
        <v>2045</v>
      </c>
      <c r="B588" s="4" t="s">
        <v>973</v>
      </c>
      <c r="C588" s="4" t="s">
        <v>120</v>
      </c>
      <c r="D588" s="4" t="s">
        <v>973</v>
      </c>
      <c r="E588" s="4" t="s">
        <v>120</v>
      </c>
      <c r="F588" s="4" t="s">
        <v>1009</v>
      </c>
      <c r="G588" s="4" t="s">
        <v>2046</v>
      </c>
      <c r="H588" s="4" t="s">
        <v>1018</v>
      </c>
      <c r="I588" s="4" t="s">
        <v>2047</v>
      </c>
      <c r="J588" s="4" t="s">
        <v>1018</v>
      </c>
      <c r="K588" s="4" t="s">
        <v>48</v>
      </c>
      <c r="L588" s="4" t="s">
        <v>48</v>
      </c>
      <c r="M588" s="4" t="s">
        <v>1021</v>
      </c>
      <c r="N588" s="4" t="s">
        <v>48</v>
      </c>
      <c r="O588" s="4" t="s">
        <v>1030</v>
      </c>
      <c r="P588" s="4" t="s">
        <v>1030</v>
      </c>
      <c r="Q588" s="4" t="s">
        <v>2048</v>
      </c>
      <c r="R588" s="4" t="s">
        <v>1032</v>
      </c>
      <c r="S588" s="4" t="s">
        <v>132</v>
      </c>
      <c r="T588" s="4" t="s">
        <v>133</v>
      </c>
      <c r="U588" s="4" t="str">
        <f t="shared" si="9"/>
        <v>SÍ</v>
      </c>
    </row>
    <row r="589" spans="1:21" ht="42" customHeight="1">
      <c r="A589" s="4" t="s">
        <v>2049</v>
      </c>
      <c r="B589" s="4" t="s">
        <v>973</v>
      </c>
      <c r="C589" s="4" t="s">
        <v>983</v>
      </c>
      <c r="D589" s="4" t="s">
        <v>973</v>
      </c>
      <c r="E589" s="4" t="s">
        <v>983</v>
      </c>
      <c r="F589" s="4" t="s">
        <v>1009</v>
      </c>
      <c r="G589" s="4" t="s">
        <v>2050</v>
      </c>
      <c r="H589" s="4" t="s">
        <v>1018</v>
      </c>
      <c r="I589" s="4"/>
      <c r="J589" s="4" t="s">
        <v>1018</v>
      </c>
      <c r="K589" s="4" t="s">
        <v>48</v>
      </c>
      <c r="L589" s="4" t="s">
        <v>90</v>
      </c>
      <c r="M589" s="4" t="s">
        <v>1012</v>
      </c>
      <c r="N589" s="4" t="s">
        <v>90</v>
      </c>
      <c r="O589" s="4" t="s">
        <v>71</v>
      </c>
      <c r="P589" s="4" t="s">
        <v>71</v>
      </c>
      <c r="Q589" s="4"/>
      <c r="R589" s="4" t="s">
        <v>143</v>
      </c>
      <c r="S589" s="4" t="s">
        <v>71</v>
      </c>
      <c r="T589" s="4" t="s">
        <v>71</v>
      </c>
      <c r="U589" s="4" t="str">
        <f t="shared" si="9"/>
        <v>NO</v>
      </c>
    </row>
    <row r="590" spans="1:21" ht="42" customHeight="1">
      <c r="A590" s="4" t="s">
        <v>2051</v>
      </c>
      <c r="B590" s="4" t="s">
        <v>851</v>
      </c>
      <c r="C590" s="4" t="s">
        <v>973</v>
      </c>
      <c r="D590" s="4" t="s">
        <v>851</v>
      </c>
      <c r="E590" s="4" t="s">
        <v>973</v>
      </c>
      <c r="F590" s="4" t="s">
        <v>1009</v>
      </c>
      <c r="G590" s="4" t="s">
        <v>2052</v>
      </c>
      <c r="H590" s="4" t="s">
        <v>1018</v>
      </c>
      <c r="I590" s="4"/>
      <c r="J590" s="4" t="s">
        <v>1018</v>
      </c>
      <c r="K590" s="4" t="s">
        <v>77</v>
      </c>
      <c r="L590" s="4" t="s">
        <v>48</v>
      </c>
      <c r="M590" s="4" t="s">
        <v>1012</v>
      </c>
      <c r="N590" s="4" t="s">
        <v>77</v>
      </c>
      <c r="O590" s="4" t="s">
        <v>71</v>
      </c>
      <c r="P590" s="4" t="s">
        <v>71</v>
      </c>
      <c r="Q590" s="4"/>
      <c r="R590" s="4" t="s">
        <v>143</v>
      </c>
      <c r="S590" s="4" t="s">
        <v>71</v>
      </c>
      <c r="T590" s="4" t="s">
        <v>71</v>
      </c>
      <c r="U590" s="4" t="str">
        <f t="shared" si="9"/>
        <v>NO</v>
      </c>
    </row>
    <row r="591" spans="1:21" ht="42" customHeight="1">
      <c r="A591" s="4" t="s">
        <v>2053</v>
      </c>
      <c r="B591" s="4" t="s">
        <v>489</v>
      </c>
      <c r="C591" s="4" t="s">
        <v>983</v>
      </c>
      <c r="D591" s="4" t="s">
        <v>489</v>
      </c>
      <c r="E591" s="4" t="s">
        <v>983</v>
      </c>
      <c r="F591" s="4" t="s">
        <v>1009</v>
      </c>
      <c r="G591" s="4" t="s">
        <v>1014</v>
      </c>
      <c r="H591" s="4" t="s">
        <v>1011</v>
      </c>
      <c r="I591" s="4"/>
      <c r="J591" s="4" t="s">
        <v>1011</v>
      </c>
      <c r="K591" s="4" t="s">
        <v>83</v>
      </c>
      <c r="L591" s="4" t="s">
        <v>90</v>
      </c>
      <c r="M591" s="4" t="s">
        <v>1012</v>
      </c>
      <c r="N591" s="4" t="s">
        <v>90</v>
      </c>
      <c r="O591" s="4" t="s">
        <v>71</v>
      </c>
      <c r="P591" s="4" t="s">
        <v>71</v>
      </c>
      <c r="Q591" s="4"/>
      <c r="R591" s="4" t="s">
        <v>143</v>
      </c>
      <c r="S591" s="4" t="s">
        <v>71</v>
      </c>
      <c r="T591" s="4" t="s">
        <v>71</v>
      </c>
      <c r="U591" s="4" t="str">
        <f t="shared" si="9"/>
        <v>NO</v>
      </c>
    </row>
    <row r="592" spans="1:21" ht="42" customHeight="1">
      <c r="A592" s="5" t="s">
        <v>2054</v>
      </c>
      <c r="B592" s="5" t="s">
        <v>983</v>
      </c>
      <c r="C592" s="5" t="s">
        <v>720</v>
      </c>
      <c r="D592" s="5" t="s">
        <v>983</v>
      </c>
      <c r="E592" s="5" t="s">
        <v>720</v>
      </c>
      <c r="F592" s="5" t="s">
        <v>1009</v>
      </c>
      <c r="G592" s="5" t="s">
        <v>1037</v>
      </c>
      <c r="H592" s="5" t="s">
        <v>1011</v>
      </c>
      <c r="I592" s="5"/>
      <c r="J592" s="5" t="s">
        <v>1011</v>
      </c>
      <c r="K592" s="5" t="s">
        <v>90</v>
      </c>
      <c r="L592" s="5" t="s">
        <v>90</v>
      </c>
      <c r="M592" s="5" t="s">
        <v>1021</v>
      </c>
      <c r="N592" s="5" t="s">
        <v>90</v>
      </c>
      <c r="O592" s="5" t="s">
        <v>71</v>
      </c>
      <c r="P592" s="5" t="s">
        <v>71</v>
      </c>
      <c r="Q592" s="5"/>
      <c r="R592" s="5" t="s">
        <v>143</v>
      </c>
      <c r="S592" s="5" t="s">
        <v>71</v>
      </c>
      <c r="T592" s="5" t="s">
        <v>71</v>
      </c>
      <c r="U592" s="5" t="str">
        <f t="shared" si="9"/>
        <v>NO</v>
      </c>
    </row>
  </sheetData>
  <mergeCells count="2">
    <mergeCell ref="A1:U1"/>
    <mergeCell ref="A2:U2"/>
  </mergeCells>
  <conditionalFormatting sqref="U5:U592">
    <cfRule type="containsText" dxfId="16" priority="1" operator="containsText" text="SÍ"/>
    <cfRule type="containsText" dxfId="15" priority="2" operator="containsText" text="NO"/>
  </conditionalFormatting>
  <dataValidations count="5">
    <dataValidation type="list" sqref="J5:J592" xr:uid="{00000000-0002-0000-0300-000000000000}">
      <formula1>"corroborada,por_corroborar"</formula1>
    </dataValidation>
    <dataValidation type="list" sqref="O5:P592" xr:uid="{00000000-0002-0000-0300-000001000000}">
      <formula1>"pendiente,no,sí"</formula1>
    </dataValidation>
    <dataValidation type="list" sqref="R5:R592" xr:uid="{00000000-0002-0000-0300-000002000000}">
      <formula1>"sin_iniciar,en_revision,revisada"</formula1>
    </dataValidation>
    <dataValidation type="list" sqref="S5:S592" xr:uid="{00000000-0002-0000-0300-000003000000}">
      <formula1>"pendiente,pasa,falla"</formula1>
    </dataValidation>
    <dataValidation type="list" sqref="T5:T592" xr:uid="{00000000-0002-0000-0300-000004000000}">
      <formula1>"pendiente,aprobada,devuelta"</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showGridLines="0" workbookViewId="0"/>
  </sheetViews>
  <sheetFormatPr baseColWidth="10" defaultColWidth="8.83203125" defaultRowHeight="14"/>
  <cols>
    <col min="1" max="1" width="9" customWidth="1"/>
    <col min="2" max="2" width="25" customWidth="1"/>
    <col min="3" max="3" width="22" customWidth="1"/>
    <col min="4" max="4" width="34" customWidth="1"/>
    <col min="5" max="5" width="47" customWidth="1"/>
    <col min="6" max="6" width="48" customWidth="1"/>
  </cols>
  <sheetData>
    <row r="1" spans="1:6" ht="30" customHeight="1">
      <c r="A1" s="72" t="s">
        <v>2055</v>
      </c>
      <c r="B1" s="72" t="s">
        <v>2055</v>
      </c>
      <c r="C1" s="72" t="s">
        <v>2055</v>
      </c>
      <c r="D1" s="72" t="s">
        <v>2055</v>
      </c>
      <c r="E1" s="72" t="s">
        <v>2055</v>
      </c>
      <c r="F1" s="72" t="s">
        <v>2055</v>
      </c>
    </row>
    <row r="2" spans="1:6" ht="30" customHeight="1">
      <c r="A2" s="73" t="s">
        <v>2056</v>
      </c>
      <c r="B2" s="73" t="s">
        <v>2056</v>
      </c>
      <c r="C2" s="73" t="s">
        <v>2056</v>
      </c>
      <c r="D2" s="73" t="s">
        <v>2056</v>
      </c>
      <c r="E2" s="73" t="s">
        <v>2056</v>
      </c>
      <c r="F2" s="73" t="s">
        <v>2056</v>
      </c>
    </row>
    <row r="4" spans="1:6">
      <c r="A4" s="1" t="s">
        <v>2057</v>
      </c>
      <c r="B4" s="12" t="s">
        <v>2058</v>
      </c>
      <c r="C4" s="12" t="s">
        <v>114</v>
      </c>
      <c r="D4" s="12" t="s">
        <v>2059</v>
      </c>
      <c r="E4" s="12" t="s">
        <v>2060</v>
      </c>
      <c r="F4" s="2" t="s">
        <v>46</v>
      </c>
    </row>
    <row r="5" spans="1:6" ht="62" customHeight="1">
      <c r="A5" s="3">
        <v>1</v>
      </c>
      <c r="B5" s="3" t="s">
        <v>2061</v>
      </c>
      <c r="C5" s="3" t="s">
        <v>2062</v>
      </c>
      <c r="D5" s="3" t="s">
        <v>2063</v>
      </c>
      <c r="E5" s="3" t="s">
        <v>2064</v>
      </c>
      <c r="F5" s="3" t="s">
        <v>2065</v>
      </c>
    </row>
    <row r="6" spans="1:6" ht="62" customHeight="1">
      <c r="A6" s="4">
        <v>2</v>
      </c>
      <c r="B6" s="4" t="s">
        <v>2066</v>
      </c>
      <c r="C6" s="4" t="s">
        <v>2062</v>
      </c>
      <c r="D6" s="4" t="s">
        <v>2067</v>
      </c>
      <c r="E6" s="4" t="s">
        <v>2068</v>
      </c>
      <c r="F6" s="4" t="s">
        <v>2069</v>
      </c>
    </row>
    <row r="7" spans="1:6" ht="62" customHeight="1">
      <c r="A7" s="4">
        <v>3</v>
      </c>
      <c r="B7" s="4" t="s">
        <v>2070</v>
      </c>
      <c r="C7" s="4" t="s">
        <v>2071</v>
      </c>
      <c r="D7" s="4" t="s">
        <v>2072</v>
      </c>
      <c r="E7" s="4" t="s">
        <v>2073</v>
      </c>
      <c r="F7" s="4" t="s">
        <v>2074</v>
      </c>
    </row>
    <row r="8" spans="1:6" ht="62" customHeight="1">
      <c r="A8" s="4">
        <v>4</v>
      </c>
      <c r="B8" s="4" t="s">
        <v>2075</v>
      </c>
      <c r="C8" s="4" t="s">
        <v>2076</v>
      </c>
      <c r="D8" s="4" t="s">
        <v>2077</v>
      </c>
      <c r="E8" s="4" t="s">
        <v>2078</v>
      </c>
      <c r="F8" s="4" t="s">
        <v>2079</v>
      </c>
    </row>
    <row r="9" spans="1:6" ht="62" customHeight="1">
      <c r="A9" s="4">
        <v>5</v>
      </c>
      <c r="B9" s="4" t="s">
        <v>2080</v>
      </c>
      <c r="C9" s="4" t="s">
        <v>2076</v>
      </c>
      <c r="D9" s="4" t="s">
        <v>2081</v>
      </c>
      <c r="E9" s="4" t="s">
        <v>2082</v>
      </c>
      <c r="F9" s="4" t="s">
        <v>2083</v>
      </c>
    </row>
    <row r="10" spans="1:6" ht="62" customHeight="1">
      <c r="A10" s="4">
        <v>6</v>
      </c>
      <c r="B10" s="4" t="s">
        <v>2084</v>
      </c>
      <c r="C10" s="4" t="s">
        <v>2085</v>
      </c>
      <c r="D10" s="4" t="s">
        <v>2086</v>
      </c>
      <c r="E10" s="4" t="s">
        <v>2087</v>
      </c>
      <c r="F10" s="4" t="s">
        <v>2088</v>
      </c>
    </row>
    <row r="11" spans="1:6" ht="62" customHeight="1">
      <c r="A11" s="4">
        <v>7</v>
      </c>
      <c r="B11" s="4" t="s">
        <v>2089</v>
      </c>
      <c r="C11" s="4" t="s">
        <v>2062</v>
      </c>
      <c r="D11" s="4" t="s">
        <v>2090</v>
      </c>
      <c r="E11" s="4" t="s">
        <v>2091</v>
      </c>
      <c r="F11" s="4" t="s">
        <v>2092</v>
      </c>
    </row>
    <row r="12" spans="1:6" ht="62" customHeight="1">
      <c r="A12" s="4">
        <v>8</v>
      </c>
      <c r="B12" s="4" t="s">
        <v>2093</v>
      </c>
      <c r="C12" s="4" t="s">
        <v>2062</v>
      </c>
      <c r="D12" s="4" t="s">
        <v>2094</v>
      </c>
      <c r="E12" s="4" t="s">
        <v>2095</v>
      </c>
      <c r="F12" s="4" t="s">
        <v>2096</v>
      </c>
    </row>
    <row r="13" spans="1:6" ht="62" customHeight="1">
      <c r="A13" s="4">
        <v>9</v>
      </c>
      <c r="B13" s="4" t="s">
        <v>2097</v>
      </c>
      <c r="C13" s="4" t="s">
        <v>2098</v>
      </c>
      <c r="D13" s="4" t="s">
        <v>2099</v>
      </c>
      <c r="E13" s="4" t="s">
        <v>2100</v>
      </c>
      <c r="F13" s="4" t="s">
        <v>2101</v>
      </c>
    </row>
    <row r="14" spans="1:6" ht="62" customHeight="1">
      <c r="A14" s="4">
        <v>10</v>
      </c>
      <c r="B14" s="4" t="s">
        <v>2102</v>
      </c>
      <c r="C14" s="4" t="s">
        <v>2098</v>
      </c>
      <c r="D14" s="4" t="s">
        <v>2103</v>
      </c>
      <c r="E14" s="4" t="s">
        <v>2104</v>
      </c>
      <c r="F14" s="4" t="s">
        <v>2105</v>
      </c>
    </row>
    <row r="15" spans="1:6" ht="62" customHeight="1">
      <c r="A15" s="4">
        <v>11</v>
      </c>
      <c r="B15" s="4" t="s">
        <v>2106</v>
      </c>
      <c r="C15" s="4" t="s">
        <v>2062</v>
      </c>
      <c r="D15" s="4" t="s">
        <v>2107</v>
      </c>
      <c r="E15" s="4" t="s">
        <v>2108</v>
      </c>
      <c r="F15" s="4" t="s">
        <v>2109</v>
      </c>
    </row>
    <row r="16" spans="1:6" ht="62" customHeight="1">
      <c r="A16" s="5">
        <v>12</v>
      </c>
      <c r="B16" s="5" t="s">
        <v>2110</v>
      </c>
      <c r="C16" s="5" t="s">
        <v>2111</v>
      </c>
      <c r="D16" s="5" t="s">
        <v>2112</v>
      </c>
      <c r="E16" s="5" t="s">
        <v>2113</v>
      </c>
      <c r="F16" s="5" t="s">
        <v>2114</v>
      </c>
    </row>
  </sheetData>
  <mergeCells count="2">
    <mergeCell ref="A1:F1"/>
    <mergeCell ref="A2:F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5"/>
  <sheetViews>
    <sheetView showGridLines="0" workbookViewId="0"/>
  </sheetViews>
  <sheetFormatPr baseColWidth="10" defaultColWidth="8.83203125" defaultRowHeight="14"/>
  <cols>
    <col min="1" max="1" width="8" customWidth="1"/>
    <col min="2" max="2" width="22" customWidth="1"/>
    <col min="3" max="3" width="95" customWidth="1"/>
    <col min="4" max="4" width="14" customWidth="1"/>
  </cols>
  <sheetData>
    <row r="1" spans="1:4" ht="30" customHeight="1">
      <c r="A1" s="72" t="s">
        <v>2115</v>
      </c>
      <c r="B1" s="72" t="s">
        <v>2115</v>
      </c>
      <c r="C1" s="72" t="s">
        <v>2115</v>
      </c>
      <c r="D1" s="72" t="s">
        <v>2115</v>
      </c>
    </row>
    <row r="2" spans="1:4" ht="30" customHeight="1">
      <c r="A2" s="73" t="s">
        <v>2116</v>
      </c>
      <c r="B2" s="73" t="s">
        <v>2116</v>
      </c>
      <c r="C2" s="73" t="s">
        <v>2116</v>
      </c>
      <c r="D2" s="73" t="s">
        <v>2116</v>
      </c>
    </row>
    <row r="4" spans="1:4">
      <c r="A4" s="1" t="s">
        <v>2117</v>
      </c>
      <c r="B4" s="12" t="s">
        <v>2118</v>
      </c>
      <c r="C4" s="12" t="s">
        <v>2119</v>
      </c>
      <c r="D4" s="2" t="s">
        <v>2120</v>
      </c>
    </row>
    <row r="5" spans="1:4" ht="45" customHeight="1">
      <c r="A5" s="3">
        <v>1</v>
      </c>
      <c r="B5" s="3" t="s">
        <v>2121</v>
      </c>
      <c r="C5" s="3" t="s">
        <v>2122</v>
      </c>
      <c r="D5" s="3" t="s">
        <v>1031</v>
      </c>
    </row>
    <row r="6" spans="1:4" ht="45" customHeight="1">
      <c r="A6" s="4">
        <v>2</v>
      </c>
      <c r="B6" s="4" t="s">
        <v>2121</v>
      </c>
      <c r="C6" s="4" t="s">
        <v>2123</v>
      </c>
      <c r="D6" s="4" t="s">
        <v>1031</v>
      </c>
    </row>
    <row r="7" spans="1:4" ht="45" customHeight="1">
      <c r="A7" s="4">
        <v>3</v>
      </c>
      <c r="B7" s="4" t="s">
        <v>2121</v>
      </c>
      <c r="C7" s="4" t="s">
        <v>2124</v>
      </c>
      <c r="D7" s="4" t="s">
        <v>1031</v>
      </c>
    </row>
    <row r="8" spans="1:4" ht="45" customHeight="1">
      <c r="A8" s="4">
        <v>4</v>
      </c>
      <c r="B8" s="4" t="s">
        <v>2121</v>
      </c>
      <c r="C8" s="4" t="s">
        <v>2125</v>
      </c>
      <c r="D8" s="4" t="s">
        <v>1031</v>
      </c>
    </row>
    <row r="9" spans="1:4" ht="45" customHeight="1">
      <c r="A9" s="4">
        <v>5</v>
      </c>
      <c r="B9" s="4" t="s">
        <v>2121</v>
      </c>
      <c r="C9" s="4" t="s">
        <v>2126</v>
      </c>
      <c r="D9" s="4" t="s">
        <v>1031</v>
      </c>
    </row>
    <row r="10" spans="1:4" ht="45" customHeight="1">
      <c r="A10" s="4">
        <v>6</v>
      </c>
      <c r="B10" s="4" t="s">
        <v>2121</v>
      </c>
      <c r="C10" s="4" t="s">
        <v>2127</v>
      </c>
      <c r="D10" s="4" t="s">
        <v>1031</v>
      </c>
    </row>
    <row r="11" spans="1:4" ht="45" customHeight="1">
      <c r="A11" s="4">
        <v>7</v>
      </c>
      <c r="B11" s="4" t="s">
        <v>2121</v>
      </c>
      <c r="C11" s="4" t="s">
        <v>2128</v>
      </c>
      <c r="D11" s="4" t="s">
        <v>1031</v>
      </c>
    </row>
    <row r="12" spans="1:4" ht="45" customHeight="1">
      <c r="A12" s="4">
        <v>8</v>
      </c>
      <c r="B12" s="4" t="s">
        <v>2121</v>
      </c>
      <c r="C12" s="4" t="s">
        <v>2129</v>
      </c>
      <c r="D12" s="4" t="s">
        <v>1031</v>
      </c>
    </row>
    <row r="13" spans="1:4" ht="45" customHeight="1">
      <c r="A13" s="4">
        <v>9</v>
      </c>
      <c r="B13" s="4" t="s">
        <v>2121</v>
      </c>
      <c r="C13" s="4" t="s">
        <v>2130</v>
      </c>
      <c r="D13" s="4" t="s">
        <v>1031</v>
      </c>
    </row>
    <row r="14" spans="1:4" ht="45" customHeight="1">
      <c r="A14" s="4">
        <v>10</v>
      </c>
      <c r="B14" s="4" t="s">
        <v>2121</v>
      </c>
      <c r="C14" s="4" t="s">
        <v>2131</v>
      </c>
      <c r="D14" s="4" t="s">
        <v>1031</v>
      </c>
    </row>
    <row r="15" spans="1:4" ht="45" customHeight="1">
      <c r="A15" s="4">
        <v>11</v>
      </c>
      <c r="B15" s="4" t="s">
        <v>2121</v>
      </c>
      <c r="C15" s="4" t="s">
        <v>2132</v>
      </c>
      <c r="D15" s="4" t="s">
        <v>1031</v>
      </c>
    </row>
    <row r="16" spans="1:4" ht="45" customHeight="1">
      <c r="A16" s="4">
        <v>12</v>
      </c>
      <c r="B16" s="4" t="s">
        <v>2121</v>
      </c>
      <c r="C16" s="4" t="s">
        <v>2133</v>
      </c>
      <c r="D16" s="4" t="s">
        <v>1031</v>
      </c>
    </row>
    <row r="17" spans="1:4" ht="45" customHeight="1">
      <c r="A17" s="4">
        <v>13</v>
      </c>
      <c r="B17" s="4" t="s">
        <v>2121</v>
      </c>
      <c r="C17" s="4" t="s">
        <v>2134</v>
      </c>
      <c r="D17" s="4" t="s">
        <v>1031</v>
      </c>
    </row>
    <row r="18" spans="1:4" ht="45" customHeight="1">
      <c r="A18" s="4">
        <v>14</v>
      </c>
      <c r="B18" s="4" t="s">
        <v>2121</v>
      </c>
      <c r="C18" s="4" t="s">
        <v>2135</v>
      </c>
      <c r="D18" s="4" t="s">
        <v>1031</v>
      </c>
    </row>
    <row r="19" spans="1:4" ht="45" customHeight="1">
      <c r="A19" s="4">
        <v>15</v>
      </c>
      <c r="B19" s="4" t="s">
        <v>2121</v>
      </c>
      <c r="C19" s="4" t="s">
        <v>2136</v>
      </c>
      <c r="D19" s="4" t="s">
        <v>1031</v>
      </c>
    </row>
    <row r="20" spans="1:4" ht="45" customHeight="1">
      <c r="A20" s="4">
        <v>16</v>
      </c>
      <c r="B20" s="4" t="s">
        <v>2121</v>
      </c>
      <c r="C20" s="4" t="s">
        <v>2137</v>
      </c>
      <c r="D20" s="4" t="s">
        <v>1031</v>
      </c>
    </row>
    <row r="21" spans="1:4" ht="45" customHeight="1">
      <c r="A21" s="4">
        <v>17</v>
      </c>
      <c r="B21" s="4" t="s">
        <v>2121</v>
      </c>
      <c r="C21" s="4" t="s">
        <v>2138</v>
      </c>
      <c r="D21" s="4" t="s">
        <v>1031</v>
      </c>
    </row>
    <row r="22" spans="1:4" ht="45" customHeight="1">
      <c r="A22" s="4">
        <v>18</v>
      </c>
      <c r="B22" s="4" t="s">
        <v>2121</v>
      </c>
      <c r="C22" s="4" t="s">
        <v>2139</v>
      </c>
      <c r="D22" s="4" t="s">
        <v>1031</v>
      </c>
    </row>
    <row r="23" spans="1:4" ht="45" customHeight="1">
      <c r="A23" s="4">
        <v>19</v>
      </c>
      <c r="B23" s="4" t="s">
        <v>2121</v>
      </c>
      <c r="C23" s="4" t="s">
        <v>2140</v>
      </c>
      <c r="D23" s="4" t="s">
        <v>1031</v>
      </c>
    </row>
    <row r="24" spans="1:4" ht="45" customHeight="1">
      <c r="A24" s="4">
        <v>20</v>
      </c>
      <c r="B24" s="4" t="s">
        <v>2121</v>
      </c>
      <c r="C24" s="4" t="s">
        <v>2141</v>
      </c>
      <c r="D24" s="4" t="s">
        <v>1031</v>
      </c>
    </row>
    <row r="25" spans="1:4" ht="45" customHeight="1">
      <c r="A25" s="4">
        <v>21</v>
      </c>
      <c r="B25" s="4" t="s">
        <v>2121</v>
      </c>
      <c r="C25" s="4" t="s">
        <v>2142</v>
      </c>
      <c r="D25" s="4" t="s">
        <v>1031</v>
      </c>
    </row>
    <row r="26" spans="1:4" ht="45" customHeight="1">
      <c r="A26" s="4">
        <v>22</v>
      </c>
      <c r="B26" s="4" t="s">
        <v>2121</v>
      </c>
      <c r="C26" s="4" t="s">
        <v>2143</v>
      </c>
      <c r="D26" s="4" t="s">
        <v>1031</v>
      </c>
    </row>
    <row r="27" spans="1:4" ht="45" customHeight="1">
      <c r="A27" s="4">
        <v>23</v>
      </c>
      <c r="B27" s="4" t="s">
        <v>2121</v>
      </c>
      <c r="C27" s="4" t="s">
        <v>2144</v>
      </c>
      <c r="D27" s="4" t="s">
        <v>1031</v>
      </c>
    </row>
    <row r="28" spans="1:4" ht="45" customHeight="1">
      <c r="A28" s="4">
        <v>24</v>
      </c>
      <c r="B28" s="4" t="s">
        <v>2121</v>
      </c>
      <c r="C28" s="4" t="s">
        <v>2145</v>
      </c>
      <c r="D28" s="4" t="s">
        <v>1031</v>
      </c>
    </row>
    <row r="29" spans="1:4" ht="45" customHeight="1">
      <c r="A29" s="4">
        <v>25</v>
      </c>
      <c r="B29" s="4" t="s">
        <v>2121</v>
      </c>
      <c r="C29" s="4" t="s">
        <v>2146</v>
      </c>
      <c r="D29" s="4" t="s">
        <v>1031</v>
      </c>
    </row>
    <row r="30" spans="1:4" ht="45" customHeight="1">
      <c r="A30" s="4">
        <v>26</v>
      </c>
      <c r="B30" s="4" t="s">
        <v>2147</v>
      </c>
      <c r="C30" s="4" t="s">
        <v>2148</v>
      </c>
      <c r="D30" s="4" t="s">
        <v>1031</v>
      </c>
    </row>
    <row r="31" spans="1:4" ht="45" customHeight="1">
      <c r="A31" s="4">
        <v>27</v>
      </c>
      <c r="B31" s="4" t="s">
        <v>2149</v>
      </c>
      <c r="C31" s="4" t="s">
        <v>2150</v>
      </c>
      <c r="D31" s="4" t="s">
        <v>1031</v>
      </c>
    </row>
    <row r="32" spans="1:4" ht="45" customHeight="1">
      <c r="A32" s="4">
        <v>28</v>
      </c>
      <c r="B32" s="4" t="s">
        <v>2151</v>
      </c>
      <c r="C32" s="4" t="s">
        <v>2152</v>
      </c>
      <c r="D32" s="4" t="s">
        <v>1031</v>
      </c>
    </row>
    <row r="33" spans="1:4" ht="45" customHeight="1">
      <c r="A33" s="4">
        <v>29</v>
      </c>
      <c r="B33" s="4" t="s">
        <v>2153</v>
      </c>
      <c r="C33" s="4" t="s">
        <v>2154</v>
      </c>
      <c r="D33" s="4" t="s">
        <v>1031</v>
      </c>
    </row>
    <row r="34" spans="1:4" ht="45" customHeight="1">
      <c r="A34" s="4">
        <v>30</v>
      </c>
      <c r="B34" s="4" t="s">
        <v>2155</v>
      </c>
      <c r="C34" s="4" t="s">
        <v>2156</v>
      </c>
      <c r="D34" s="4" t="s">
        <v>1031</v>
      </c>
    </row>
    <row r="35" spans="1:4" ht="45" customHeight="1">
      <c r="A35" s="5">
        <v>31</v>
      </c>
      <c r="B35" s="5" t="s">
        <v>2157</v>
      </c>
      <c r="C35" s="5" t="s">
        <v>2158</v>
      </c>
      <c r="D35" s="5" t="s">
        <v>1031</v>
      </c>
    </row>
  </sheetData>
  <mergeCells count="2">
    <mergeCell ref="A1:D1"/>
    <mergeCell ref="A2:D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4"/>
  <sheetViews>
    <sheetView showGridLines="0" workbookViewId="0"/>
  </sheetViews>
  <sheetFormatPr baseColWidth="10" defaultColWidth="8.83203125" defaultRowHeight="14"/>
  <cols>
    <col min="1" max="1" width="24" customWidth="1"/>
    <col min="2" max="3" width="26" customWidth="1"/>
    <col min="4" max="5" width="35" customWidth="1"/>
    <col min="6" max="8" width="45" customWidth="1"/>
    <col min="9" max="9" width="52" customWidth="1"/>
    <col min="10" max="10" width="58" customWidth="1"/>
    <col min="11" max="11" width="45" customWidth="1"/>
    <col min="12" max="12" width="16" customWidth="1"/>
  </cols>
  <sheetData>
    <row r="1" spans="1:12" ht="30" customHeight="1">
      <c r="A1" s="72" t="s">
        <v>2159</v>
      </c>
      <c r="B1" s="72" t="s">
        <v>2159</v>
      </c>
      <c r="C1" s="72" t="s">
        <v>2159</v>
      </c>
      <c r="D1" s="72" t="s">
        <v>2159</v>
      </c>
      <c r="E1" s="72" t="s">
        <v>2159</v>
      </c>
      <c r="F1" s="72" t="s">
        <v>2159</v>
      </c>
      <c r="G1" s="72" t="s">
        <v>2159</v>
      </c>
      <c r="H1" s="72" t="s">
        <v>2159</v>
      </c>
      <c r="I1" s="72" t="s">
        <v>2159</v>
      </c>
      <c r="J1" s="72" t="s">
        <v>2159</v>
      </c>
      <c r="K1" s="72" t="s">
        <v>2159</v>
      </c>
      <c r="L1" s="72" t="s">
        <v>2159</v>
      </c>
    </row>
    <row r="2" spans="1:12" ht="30" customHeight="1">
      <c r="A2" s="73" t="s">
        <v>2160</v>
      </c>
      <c r="B2" s="73" t="s">
        <v>2160</v>
      </c>
      <c r="C2" s="73" t="s">
        <v>2160</v>
      </c>
      <c r="D2" s="73" t="s">
        <v>2160</v>
      </c>
      <c r="E2" s="73" t="s">
        <v>2160</v>
      </c>
      <c r="F2" s="73" t="s">
        <v>2160</v>
      </c>
      <c r="G2" s="73" t="s">
        <v>2160</v>
      </c>
      <c r="H2" s="73" t="s">
        <v>2160</v>
      </c>
      <c r="I2" s="73" t="s">
        <v>2160</v>
      </c>
      <c r="J2" s="73" t="s">
        <v>2160</v>
      </c>
      <c r="K2" s="73" t="s">
        <v>2160</v>
      </c>
      <c r="L2" s="73" t="s">
        <v>2160</v>
      </c>
    </row>
    <row r="4" spans="1:12">
      <c r="A4" s="1" t="s">
        <v>97</v>
      </c>
      <c r="B4" s="12" t="s">
        <v>2161</v>
      </c>
      <c r="C4" s="12" t="s">
        <v>44</v>
      </c>
      <c r="D4" s="12" t="s">
        <v>2162</v>
      </c>
      <c r="E4" s="12" t="s">
        <v>2163</v>
      </c>
      <c r="F4" s="12" t="s">
        <v>2164</v>
      </c>
      <c r="G4" s="12" t="s">
        <v>110</v>
      </c>
      <c r="H4" s="12" t="s">
        <v>2165</v>
      </c>
      <c r="I4" s="12" t="s">
        <v>2166</v>
      </c>
      <c r="J4" s="12" t="s">
        <v>113</v>
      </c>
      <c r="K4" s="12" t="s">
        <v>2167</v>
      </c>
      <c r="L4" s="2" t="s">
        <v>2168</v>
      </c>
    </row>
    <row r="5" spans="1:12" ht="72" customHeight="1">
      <c r="A5" s="3" t="s">
        <v>120</v>
      </c>
      <c r="B5" s="3" t="s">
        <v>2169</v>
      </c>
      <c r="C5" s="3" t="s">
        <v>128</v>
      </c>
      <c r="D5" s="3"/>
      <c r="E5" s="3"/>
      <c r="F5" s="3"/>
      <c r="G5" s="3" t="s">
        <v>129</v>
      </c>
      <c r="H5" s="3"/>
      <c r="I5" s="3"/>
      <c r="J5" s="3" t="s">
        <v>130</v>
      </c>
      <c r="K5" s="3" t="s">
        <v>134</v>
      </c>
      <c r="L5" s="3" t="str">
        <f>INDEX('Plan 233'!$W$5:$W$237,MATCH(A5,'Plan 233'!$A$5:$A$237,0))</f>
        <v>NO</v>
      </c>
    </row>
    <row r="6" spans="1:12" ht="72" customHeight="1">
      <c r="A6" s="4" t="s">
        <v>148</v>
      </c>
      <c r="B6" s="4" t="s">
        <v>2170</v>
      </c>
      <c r="C6" s="4" t="s">
        <v>154</v>
      </c>
      <c r="D6" s="4" t="s">
        <v>155</v>
      </c>
      <c r="E6" s="4"/>
      <c r="F6" s="4" t="s">
        <v>156</v>
      </c>
      <c r="G6" s="4" t="s">
        <v>157</v>
      </c>
      <c r="H6" s="4"/>
      <c r="I6" s="4" t="s">
        <v>158</v>
      </c>
      <c r="J6" s="4" t="s">
        <v>159</v>
      </c>
      <c r="K6" s="4" t="s">
        <v>160</v>
      </c>
      <c r="L6" s="4" t="str">
        <f>INDEX('Plan 233'!$W$5:$W$237,MATCH(A6,'Plan 233'!$A$5:$A$237,0))</f>
        <v>NO</v>
      </c>
    </row>
    <row r="7" spans="1:12" ht="72" customHeight="1">
      <c r="A7" s="4" t="s">
        <v>171</v>
      </c>
      <c r="B7" s="4" t="s">
        <v>2171</v>
      </c>
      <c r="C7" s="4" t="s">
        <v>154</v>
      </c>
      <c r="D7" s="4" t="s">
        <v>155</v>
      </c>
      <c r="E7" s="4"/>
      <c r="F7" s="4" t="s">
        <v>175</v>
      </c>
      <c r="G7" s="4" t="s">
        <v>176</v>
      </c>
      <c r="H7" s="4"/>
      <c r="I7" s="4" t="s">
        <v>177</v>
      </c>
      <c r="J7" s="4" t="s">
        <v>178</v>
      </c>
      <c r="K7" s="4" t="s">
        <v>160</v>
      </c>
      <c r="L7" s="4" t="str">
        <f>INDEX('Plan 233'!$W$5:$W$237,MATCH(A7,'Plan 233'!$A$5:$A$237,0))</f>
        <v>NO</v>
      </c>
    </row>
    <row r="8" spans="1:12" ht="72" customHeight="1">
      <c r="A8" s="4" t="s">
        <v>210</v>
      </c>
      <c r="B8" s="4" t="s">
        <v>2171</v>
      </c>
      <c r="C8" s="4" t="s">
        <v>154</v>
      </c>
      <c r="D8" s="4" t="s">
        <v>213</v>
      </c>
      <c r="E8" s="4" t="s">
        <v>214</v>
      </c>
      <c r="F8" s="4" t="s">
        <v>215</v>
      </c>
      <c r="G8" s="4" t="s">
        <v>216</v>
      </c>
      <c r="H8" s="4" t="s">
        <v>217</v>
      </c>
      <c r="I8" s="4" t="s">
        <v>218</v>
      </c>
      <c r="J8" s="4" t="s">
        <v>219</v>
      </c>
      <c r="K8" s="4" t="s">
        <v>220</v>
      </c>
      <c r="L8" s="4" t="str">
        <f>INDEX('Plan 233'!$W$5:$W$237,MATCH(A8,'Plan 233'!$A$5:$A$237,0))</f>
        <v>NO</v>
      </c>
    </row>
    <row r="9" spans="1:12" ht="72" customHeight="1">
      <c r="A9" s="4" t="s">
        <v>287</v>
      </c>
      <c r="B9" s="4" t="s">
        <v>2172</v>
      </c>
      <c r="C9" s="4" t="s">
        <v>154</v>
      </c>
      <c r="D9" s="4" t="s">
        <v>292</v>
      </c>
      <c r="E9" s="4"/>
      <c r="F9" s="4" t="s">
        <v>293</v>
      </c>
      <c r="G9" s="4" t="s">
        <v>294</v>
      </c>
      <c r="H9" s="4"/>
      <c r="I9" s="4" t="s">
        <v>295</v>
      </c>
      <c r="J9" s="4" t="s">
        <v>296</v>
      </c>
      <c r="K9" s="4" t="s">
        <v>160</v>
      </c>
      <c r="L9" s="4" t="str">
        <f>INDEX('Plan 233'!$W$5:$W$237,MATCH(A9,'Plan 233'!$A$5:$A$237,0))</f>
        <v>NO</v>
      </c>
    </row>
    <row r="10" spans="1:12" ht="72" customHeight="1">
      <c r="A10" s="4" t="s">
        <v>855</v>
      </c>
      <c r="B10" s="4" t="s">
        <v>2173</v>
      </c>
      <c r="C10" s="4" t="s">
        <v>857</v>
      </c>
      <c r="D10" s="4"/>
      <c r="E10" s="4"/>
      <c r="F10" s="4"/>
      <c r="G10" s="4" t="s">
        <v>858</v>
      </c>
      <c r="H10" s="4"/>
      <c r="I10" s="4" t="s">
        <v>859</v>
      </c>
      <c r="J10" s="4" t="s">
        <v>860</v>
      </c>
      <c r="K10" s="4" t="s">
        <v>52</v>
      </c>
      <c r="L10" s="4" t="str">
        <f>INDEX('Plan 233'!$W$5:$W$237,MATCH(A10,'Plan 233'!$A$5:$A$237,0))</f>
        <v>SÍ</v>
      </c>
    </row>
    <row r="11" spans="1:12" ht="72" customHeight="1">
      <c r="A11" s="4" t="s">
        <v>515</v>
      </c>
      <c r="B11" s="4" t="s">
        <v>2170</v>
      </c>
      <c r="C11" s="4" t="s">
        <v>154</v>
      </c>
      <c r="D11" s="4" t="s">
        <v>519</v>
      </c>
      <c r="E11" s="4" t="s">
        <v>520</v>
      </c>
      <c r="F11" s="4" t="s">
        <v>521</v>
      </c>
      <c r="G11" s="4" t="s">
        <v>522</v>
      </c>
      <c r="H11" s="4" t="s">
        <v>523</v>
      </c>
      <c r="I11" s="4" t="s">
        <v>524</v>
      </c>
      <c r="J11" s="4" t="s">
        <v>525</v>
      </c>
      <c r="K11" s="4" t="s">
        <v>526</v>
      </c>
      <c r="L11" s="4" t="str">
        <f>INDEX('Plan 233'!$W$5:$W$237,MATCH(A11,'Plan 233'!$A$5:$A$237,0))</f>
        <v>NO</v>
      </c>
    </row>
    <row r="12" spans="1:12" ht="72" customHeight="1">
      <c r="A12" s="4" t="s">
        <v>867</v>
      </c>
      <c r="B12" s="4" t="s">
        <v>2170</v>
      </c>
      <c r="C12" s="4" t="s">
        <v>154</v>
      </c>
      <c r="D12" s="4" t="s">
        <v>871</v>
      </c>
      <c r="E12" s="4" t="s">
        <v>292</v>
      </c>
      <c r="F12" s="4" t="s">
        <v>872</v>
      </c>
      <c r="G12" s="4" t="s">
        <v>873</v>
      </c>
      <c r="H12" s="4"/>
      <c r="I12" s="4" t="s">
        <v>874</v>
      </c>
      <c r="J12" s="4" t="s">
        <v>875</v>
      </c>
      <c r="K12" s="4" t="s">
        <v>876</v>
      </c>
      <c r="L12" s="4" t="str">
        <f>INDEX('Plan 233'!$W$5:$W$237,MATCH(A12,'Plan 233'!$A$5:$A$237,0))</f>
        <v>NO</v>
      </c>
    </row>
    <row r="13" spans="1:12" ht="72" customHeight="1">
      <c r="A13" s="4" t="s">
        <v>973</v>
      </c>
      <c r="B13" s="4" t="s">
        <v>2174</v>
      </c>
      <c r="C13" s="4" t="s">
        <v>154</v>
      </c>
      <c r="D13" s="4" t="s">
        <v>976</v>
      </c>
      <c r="E13" s="4" t="s">
        <v>519</v>
      </c>
      <c r="F13" s="4" t="s">
        <v>977</v>
      </c>
      <c r="G13" s="4" t="s">
        <v>978</v>
      </c>
      <c r="H13" s="4" t="s">
        <v>979</v>
      </c>
      <c r="I13" s="4" t="s">
        <v>980</v>
      </c>
      <c r="J13" s="4" t="s">
        <v>981</v>
      </c>
      <c r="K13" s="4" t="s">
        <v>982</v>
      </c>
      <c r="L13" s="4" t="str">
        <f>INDEX('Plan 233'!$W$5:$W$237,MATCH(A13,'Plan 233'!$A$5:$A$237,0))</f>
        <v>NO</v>
      </c>
    </row>
    <row r="14" spans="1:12" ht="72" customHeight="1">
      <c r="A14" s="5" t="s">
        <v>960</v>
      </c>
      <c r="B14" s="5" t="s">
        <v>2175</v>
      </c>
      <c r="C14" s="5" t="s">
        <v>154</v>
      </c>
      <c r="D14" s="5" t="s">
        <v>292</v>
      </c>
      <c r="E14" s="5"/>
      <c r="F14" s="5" t="s">
        <v>963</v>
      </c>
      <c r="G14" s="5" t="s">
        <v>964</v>
      </c>
      <c r="H14" s="5" t="s">
        <v>965</v>
      </c>
      <c r="I14" s="5" t="s">
        <v>966</v>
      </c>
      <c r="J14" s="5" t="s">
        <v>967</v>
      </c>
      <c r="K14" s="5" t="s">
        <v>968</v>
      </c>
      <c r="L14" s="5" t="str">
        <f>INDEX('Plan 233'!$W$5:$W$237,MATCH(A14,'Plan 233'!$A$5:$A$237,0))</f>
        <v>NO</v>
      </c>
    </row>
  </sheetData>
  <mergeCells count="2">
    <mergeCell ref="A1:L1"/>
    <mergeCell ref="A2:L2"/>
  </mergeCells>
  <conditionalFormatting sqref="L5:L14">
    <cfRule type="containsText" dxfId="14" priority="1" operator="containsText" text="SÍ"/>
    <cfRule type="containsText" dxfId="13" priority="2" operator="containsText" text="NO"/>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showGridLines="0" workbookViewId="0"/>
  </sheetViews>
  <sheetFormatPr baseColWidth="10" defaultColWidth="8.83203125" defaultRowHeight="14"/>
  <cols>
    <col min="1" max="1" width="44" customWidth="1"/>
    <col min="2" max="2" width="8" customWidth="1"/>
    <col min="3" max="4" width="45" customWidth="1"/>
    <col min="5" max="5" width="14" customWidth="1"/>
    <col min="6" max="7" width="48" customWidth="1"/>
  </cols>
  <sheetData>
    <row r="1" spans="1:7" ht="30" customHeight="1">
      <c r="A1" s="72" t="s">
        <v>2176</v>
      </c>
      <c r="B1" s="72" t="s">
        <v>2176</v>
      </c>
      <c r="C1" s="72" t="s">
        <v>2176</v>
      </c>
      <c r="D1" s="72" t="s">
        <v>2176</v>
      </c>
      <c r="E1" s="72" t="s">
        <v>2176</v>
      </c>
      <c r="F1" s="72" t="s">
        <v>2176</v>
      </c>
      <c r="G1" s="72" t="s">
        <v>2176</v>
      </c>
    </row>
    <row r="2" spans="1:7" ht="30" customHeight="1">
      <c r="A2" s="73" t="s">
        <v>2177</v>
      </c>
      <c r="B2" s="73" t="s">
        <v>2177</v>
      </c>
      <c r="C2" s="73" t="s">
        <v>2177</v>
      </c>
      <c r="D2" s="73" t="s">
        <v>2177</v>
      </c>
      <c r="E2" s="73" t="s">
        <v>2177</v>
      </c>
      <c r="F2" s="73" t="s">
        <v>2177</v>
      </c>
      <c r="G2" s="73" t="s">
        <v>2177</v>
      </c>
    </row>
    <row r="4" spans="1:7">
      <c r="A4" s="1" t="s">
        <v>2178</v>
      </c>
      <c r="B4" s="12" t="s">
        <v>2117</v>
      </c>
      <c r="C4" s="12" t="s">
        <v>2179</v>
      </c>
      <c r="D4" s="12" t="s">
        <v>2180</v>
      </c>
      <c r="E4" s="12" t="s">
        <v>2181</v>
      </c>
      <c r="F4" s="12" t="s">
        <v>2182</v>
      </c>
      <c r="G4" s="2" t="s">
        <v>2183</v>
      </c>
    </row>
    <row r="5" spans="1:7" ht="56" customHeight="1">
      <c r="A5" s="3" t="s">
        <v>976</v>
      </c>
      <c r="B5" s="3">
        <v>1</v>
      </c>
      <c r="C5" s="3" t="s">
        <v>2184</v>
      </c>
      <c r="D5" s="3" t="s">
        <v>2185</v>
      </c>
      <c r="E5" s="3" t="s">
        <v>1031</v>
      </c>
      <c r="F5" s="3" t="s">
        <v>2186</v>
      </c>
      <c r="G5" s="3" t="s">
        <v>2187</v>
      </c>
    </row>
    <row r="6" spans="1:7" ht="56" customHeight="1">
      <c r="A6" s="4" t="s">
        <v>871</v>
      </c>
      <c r="B6" s="4">
        <v>2</v>
      </c>
      <c r="C6" s="4" t="s">
        <v>2188</v>
      </c>
      <c r="D6" s="4" t="s">
        <v>2189</v>
      </c>
      <c r="E6" s="4" t="s">
        <v>1031</v>
      </c>
      <c r="F6" s="4" t="s">
        <v>2186</v>
      </c>
      <c r="G6" s="4" t="s">
        <v>2190</v>
      </c>
    </row>
    <row r="7" spans="1:7" ht="56" customHeight="1">
      <c r="A7" s="4" t="s">
        <v>155</v>
      </c>
      <c r="B7" s="4">
        <v>3</v>
      </c>
      <c r="C7" s="4" t="s">
        <v>2191</v>
      </c>
      <c r="D7" s="4" t="s">
        <v>2192</v>
      </c>
      <c r="E7" s="4" t="s">
        <v>1031</v>
      </c>
      <c r="F7" s="4" t="s">
        <v>2193</v>
      </c>
      <c r="G7" s="4" t="s">
        <v>2194</v>
      </c>
    </row>
    <row r="8" spans="1:7" ht="56" customHeight="1">
      <c r="A8" s="4" t="s">
        <v>292</v>
      </c>
      <c r="B8" s="4">
        <v>4</v>
      </c>
      <c r="C8" s="4" t="s">
        <v>2195</v>
      </c>
      <c r="D8" s="4" t="s">
        <v>2196</v>
      </c>
      <c r="E8" s="4" t="s">
        <v>1031</v>
      </c>
      <c r="F8" s="4" t="s">
        <v>2193</v>
      </c>
      <c r="G8" s="4" t="s">
        <v>2194</v>
      </c>
    </row>
    <row r="9" spans="1:7" ht="56" customHeight="1">
      <c r="A9" s="4" t="s">
        <v>519</v>
      </c>
      <c r="B9" s="4">
        <v>5</v>
      </c>
      <c r="C9" s="4" t="s">
        <v>2197</v>
      </c>
      <c r="D9" s="4" t="s">
        <v>2198</v>
      </c>
      <c r="E9" s="4" t="s">
        <v>1031</v>
      </c>
      <c r="F9" s="4" t="s">
        <v>2186</v>
      </c>
      <c r="G9" s="4" t="s">
        <v>2187</v>
      </c>
    </row>
    <row r="10" spans="1:7" ht="56" customHeight="1">
      <c r="A10" s="4" t="s">
        <v>2199</v>
      </c>
      <c r="B10" s="4">
        <v>6</v>
      </c>
      <c r="C10" s="4" t="s">
        <v>2200</v>
      </c>
      <c r="D10" s="4" t="s">
        <v>2201</v>
      </c>
      <c r="E10" s="4" t="s">
        <v>1031</v>
      </c>
      <c r="F10" s="4" t="s">
        <v>2193</v>
      </c>
      <c r="G10" s="4" t="s">
        <v>2194</v>
      </c>
    </row>
    <row r="11" spans="1:7" ht="56" customHeight="1">
      <c r="A11" s="4" t="s">
        <v>520</v>
      </c>
      <c r="B11" s="4">
        <v>7</v>
      </c>
      <c r="C11" s="4" t="s">
        <v>2202</v>
      </c>
      <c r="D11" s="4" t="s">
        <v>2203</v>
      </c>
      <c r="E11" s="4" t="s">
        <v>1031</v>
      </c>
      <c r="F11" s="4" t="s">
        <v>2193</v>
      </c>
      <c r="G11" s="4" t="s">
        <v>2194</v>
      </c>
    </row>
    <row r="12" spans="1:7" ht="56" customHeight="1">
      <c r="A12" s="4" t="s">
        <v>214</v>
      </c>
      <c r="B12" s="4">
        <v>8</v>
      </c>
      <c r="C12" s="4" t="s">
        <v>2204</v>
      </c>
      <c r="D12" s="4" t="s">
        <v>2205</v>
      </c>
      <c r="E12" s="4" t="s">
        <v>1031</v>
      </c>
      <c r="F12" s="4" t="s">
        <v>2193</v>
      </c>
      <c r="G12" s="4" t="s">
        <v>2194</v>
      </c>
    </row>
    <row r="13" spans="1:7" ht="56" customHeight="1">
      <c r="A13" s="4" t="s">
        <v>213</v>
      </c>
      <c r="B13" s="4">
        <v>9</v>
      </c>
      <c r="C13" s="4" t="s">
        <v>2206</v>
      </c>
      <c r="D13" s="4" t="s">
        <v>2207</v>
      </c>
      <c r="E13" s="4" t="s">
        <v>1031</v>
      </c>
      <c r="F13" s="4" t="s">
        <v>2193</v>
      </c>
      <c r="G13" s="4" t="s">
        <v>2194</v>
      </c>
    </row>
    <row r="14" spans="1:7" ht="56" customHeight="1">
      <c r="A14" s="5" t="s">
        <v>2208</v>
      </c>
      <c r="B14" s="5">
        <v>10</v>
      </c>
      <c r="C14" s="5" t="s">
        <v>2209</v>
      </c>
      <c r="D14" s="5" t="s">
        <v>2210</v>
      </c>
      <c r="E14" s="5" t="s">
        <v>1031</v>
      </c>
      <c r="F14" s="5" t="s">
        <v>2193</v>
      </c>
      <c r="G14" s="5" t="s">
        <v>2194</v>
      </c>
    </row>
  </sheetData>
  <mergeCells count="2">
    <mergeCell ref="A1:G1"/>
    <mergeCell ref="A2:G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1"/>
  <sheetViews>
    <sheetView showGridLines="0" workbookViewId="0"/>
  </sheetViews>
  <sheetFormatPr baseColWidth="10" defaultColWidth="8.83203125" defaultRowHeight="14"/>
  <cols>
    <col min="1" max="1" width="13" customWidth="1"/>
    <col min="2" max="2" width="31" customWidth="1"/>
    <col min="3" max="3" width="34" customWidth="1"/>
    <col min="4" max="5" width="62" customWidth="1"/>
    <col min="6" max="7" width="18" customWidth="1"/>
  </cols>
  <sheetData>
    <row r="1" spans="1:7" ht="30" customHeight="1">
      <c r="A1" s="72" t="s">
        <v>2211</v>
      </c>
      <c r="B1" s="72" t="s">
        <v>2211</v>
      </c>
      <c r="C1" s="72" t="s">
        <v>2211</v>
      </c>
      <c r="D1" s="72" t="s">
        <v>2211</v>
      </c>
      <c r="E1" s="72" t="s">
        <v>2211</v>
      </c>
      <c r="F1" s="72" t="s">
        <v>2211</v>
      </c>
      <c r="G1" s="72" t="s">
        <v>2211</v>
      </c>
    </row>
    <row r="2" spans="1:7" ht="30" customHeight="1">
      <c r="A2" s="73" t="s">
        <v>2212</v>
      </c>
      <c r="B2" s="73" t="s">
        <v>2212</v>
      </c>
      <c r="C2" s="73" t="s">
        <v>2212</v>
      </c>
      <c r="D2" s="73" t="s">
        <v>2212</v>
      </c>
      <c r="E2" s="73" t="s">
        <v>2212</v>
      </c>
      <c r="F2" s="73" t="s">
        <v>2212</v>
      </c>
      <c r="G2" s="73" t="s">
        <v>2212</v>
      </c>
    </row>
    <row r="4" spans="1:7">
      <c r="A4" s="1" t="s">
        <v>2213</v>
      </c>
      <c r="B4" s="12" t="s">
        <v>2214</v>
      </c>
      <c r="C4" s="12" t="s">
        <v>2215</v>
      </c>
      <c r="D4" s="12" t="s">
        <v>2216</v>
      </c>
      <c r="E4" s="12" t="s">
        <v>2217</v>
      </c>
      <c r="F4" s="12" t="s">
        <v>2218</v>
      </c>
      <c r="G4" s="2" t="s">
        <v>44</v>
      </c>
    </row>
    <row r="5" spans="1:7" ht="65" customHeight="1">
      <c r="A5" s="3" t="s">
        <v>2219</v>
      </c>
      <c r="B5" s="3" t="s">
        <v>2220</v>
      </c>
      <c r="C5" s="3" t="s">
        <v>2221</v>
      </c>
      <c r="D5" s="3" t="s">
        <v>2222</v>
      </c>
      <c r="E5" s="3" t="s">
        <v>2223</v>
      </c>
      <c r="F5" s="3" t="s">
        <v>2224</v>
      </c>
      <c r="G5" s="3" t="s">
        <v>71</v>
      </c>
    </row>
    <row r="6" spans="1:7" ht="65" customHeight="1">
      <c r="A6" s="4" t="s">
        <v>2219</v>
      </c>
      <c r="B6" s="4" t="s">
        <v>2225</v>
      </c>
      <c r="C6" s="4" t="s">
        <v>2226</v>
      </c>
      <c r="D6" s="4" t="s">
        <v>2227</v>
      </c>
      <c r="E6" s="4" t="s">
        <v>2228</v>
      </c>
      <c r="F6" s="4" t="s">
        <v>2224</v>
      </c>
      <c r="G6" s="4" t="s">
        <v>71</v>
      </c>
    </row>
    <row r="7" spans="1:7" ht="65" customHeight="1">
      <c r="A7" s="4" t="s">
        <v>2229</v>
      </c>
      <c r="B7" s="4" t="s">
        <v>2230</v>
      </c>
      <c r="C7" s="4" t="s">
        <v>2231</v>
      </c>
      <c r="D7" s="4" t="s">
        <v>2232</v>
      </c>
      <c r="E7" s="4" t="s">
        <v>2233</v>
      </c>
      <c r="F7" s="4" t="s">
        <v>63</v>
      </c>
      <c r="G7" s="4" t="s">
        <v>2234</v>
      </c>
    </row>
    <row r="8" spans="1:7" ht="65" customHeight="1">
      <c r="A8" s="4" t="s">
        <v>2229</v>
      </c>
      <c r="B8" s="4" t="s">
        <v>2235</v>
      </c>
      <c r="C8" s="4" t="s">
        <v>2236</v>
      </c>
      <c r="D8" s="4" t="s">
        <v>2237</v>
      </c>
      <c r="E8" s="4" t="s">
        <v>2238</v>
      </c>
      <c r="F8" s="4" t="s">
        <v>2224</v>
      </c>
      <c r="G8" s="4" t="s">
        <v>71</v>
      </c>
    </row>
    <row r="9" spans="1:7" ht="65" customHeight="1">
      <c r="A9" s="4" t="s">
        <v>2229</v>
      </c>
      <c r="B9" s="4" t="s">
        <v>2239</v>
      </c>
      <c r="C9" s="4" t="s">
        <v>2240</v>
      </c>
      <c r="D9" s="4" t="s">
        <v>2241</v>
      </c>
      <c r="E9" s="4" t="s">
        <v>2242</v>
      </c>
      <c r="F9" s="4" t="s">
        <v>48</v>
      </c>
      <c r="G9" s="4" t="s">
        <v>71</v>
      </c>
    </row>
    <row r="10" spans="1:7" ht="65" customHeight="1">
      <c r="A10" s="4" t="s">
        <v>2229</v>
      </c>
      <c r="B10" s="4" t="s">
        <v>2243</v>
      </c>
      <c r="C10" s="4" t="s">
        <v>120</v>
      </c>
      <c r="D10" s="4" t="s">
        <v>2244</v>
      </c>
      <c r="E10" s="4" t="s">
        <v>2245</v>
      </c>
      <c r="F10" s="4" t="s">
        <v>48</v>
      </c>
      <c r="G10" s="4" t="s">
        <v>71</v>
      </c>
    </row>
    <row r="11" spans="1:7" ht="65" customHeight="1">
      <c r="A11" s="4" t="s">
        <v>2229</v>
      </c>
      <c r="B11" s="4" t="s">
        <v>2243</v>
      </c>
      <c r="C11" s="4" t="s">
        <v>179</v>
      </c>
      <c r="D11" s="4" t="s">
        <v>2246</v>
      </c>
      <c r="E11" s="4" t="s">
        <v>2245</v>
      </c>
      <c r="F11" s="4" t="s">
        <v>55</v>
      </c>
      <c r="G11" s="4" t="s">
        <v>71</v>
      </c>
    </row>
    <row r="12" spans="1:7" ht="65" customHeight="1">
      <c r="A12" s="4" t="s">
        <v>2229</v>
      </c>
      <c r="B12" s="4" t="s">
        <v>2243</v>
      </c>
      <c r="C12" s="4" t="s">
        <v>186</v>
      </c>
      <c r="D12" s="4" t="s">
        <v>2247</v>
      </c>
      <c r="E12" s="4" t="s">
        <v>2245</v>
      </c>
      <c r="F12" s="4" t="s">
        <v>55</v>
      </c>
      <c r="G12" s="4" t="s">
        <v>71</v>
      </c>
    </row>
    <row r="13" spans="1:7" ht="65" customHeight="1">
      <c r="A13" s="4" t="s">
        <v>2229</v>
      </c>
      <c r="B13" s="4" t="s">
        <v>2243</v>
      </c>
      <c r="C13" s="4" t="s">
        <v>191</v>
      </c>
      <c r="D13" s="4" t="s">
        <v>2248</v>
      </c>
      <c r="E13" s="4" t="s">
        <v>2245</v>
      </c>
      <c r="F13" s="4" t="s">
        <v>55</v>
      </c>
      <c r="G13" s="4" t="s">
        <v>71</v>
      </c>
    </row>
    <row r="14" spans="1:7" ht="65" customHeight="1">
      <c r="A14" s="4" t="s">
        <v>2229</v>
      </c>
      <c r="B14" s="4" t="s">
        <v>2243</v>
      </c>
      <c r="C14" s="4" t="s">
        <v>202</v>
      </c>
      <c r="D14" s="4" t="s">
        <v>2249</v>
      </c>
      <c r="E14" s="4" t="s">
        <v>2245</v>
      </c>
      <c r="F14" s="4" t="s">
        <v>55</v>
      </c>
      <c r="G14" s="4" t="s">
        <v>71</v>
      </c>
    </row>
    <row r="15" spans="1:7" ht="65" customHeight="1">
      <c r="A15" s="4" t="s">
        <v>2229</v>
      </c>
      <c r="B15" s="4" t="s">
        <v>2243</v>
      </c>
      <c r="C15" s="4" t="s">
        <v>458</v>
      </c>
      <c r="D15" s="4" t="s">
        <v>2250</v>
      </c>
      <c r="E15" s="4" t="s">
        <v>2245</v>
      </c>
      <c r="F15" s="4" t="s">
        <v>55</v>
      </c>
      <c r="G15" s="4" t="s">
        <v>71</v>
      </c>
    </row>
    <row r="16" spans="1:7" ht="65" customHeight="1">
      <c r="A16" s="4" t="s">
        <v>2229</v>
      </c>
      <c r="B16" s="4" t="s">
        <v>2251</v>
      </c>
      <c r="C16" s="4" t="s">
        <v>171</v>
      </c>
      <c r="D16" s="4" t="s">
        <v>2252</v>
      </c>
      <c r="E16" s="4" t="s">
        <v>2253</v>
      </c>
      <c r="F16" s="4" t="s">
        <v>48</v>
      </c>
      <c r="G16" s="4" t="s">
        <v>71</v>
      </c>
    </row>
    <row r="17" spans="1:7" ht="65" customHeight="1">
      <c r="A17" s="4" t="s">
        <v>2229</v>
      </c>
      <c r="B17" s="4" t="s">
        <v>2251</v>
      </c>
      <c r="C17" s="4" t="s">
        <v>210</v>
      </c>
      <c r="D17" s="4" t="s">
        <v>2254</v>
      </c>
      <c r="E17" s="4" t="s">
        <v>2253</v>
      </c>
      <c r="F17" s="4" t="s">
        <v>48</v>
      </c>
      <c r="G17" s="4" t="s">
        <v>71</v>
      </c>
    </row>
    <row r="18" spans="1:7" ht="65" customHeight="1">
      <c r="A18" s="4" t="s">
        <v>2229</v>
      </c>
      <c r="B18" s="4" t="s">
        <v>2251</v>
      </c>
      <c r="C18" s="4" t="s">
        <v>282</v>
      </c>
      <c r="D18" s="4" t="s">
        <v>2255</v>
      </c>
      <c r="E18" s="4" t="s">
        <v>2253</v>
      </c>
      <c r="F18" s="4" t="s">
        <v>55</v>
      </c>
      <c r="G18" s="4" t="s">
        <v>71</v>
      </c>
    </row>
    <row r="19" spans="1:7" ht="65" customHeight="1">
      <c r="A19" s="4" t="s">
        <v>2229</v>
      </c>
      <c r="B19" s="4" t="s">
        <v>2251</v>
      </c>
      <c r="C19" s="4" t="s">
        <v>420</v>
      </c>
      <c r="D19" s="4" t="s">
        <v>2256</v>
      </c>
      <c r="E19" s="4" t="s">
        <v>2253</v>
      </c>
      <c r="F19" s="4" t="s">
        <v>55</v>
      </c>
      <c r="G19" s="4" t="s">
        <v>71</v>
      </c>
    </row>
    <row r="20" spans="1:7" ht="65" customHeight="1">
      <c r="A20" s="4" t="s">
        <v>2229</v>
      </c>
      <c r="B20" s="4" t="s">
        <v>2257</v>
      </c>
      <c r="C20" s="4" t="s">
        <v>2258</v>
      </c>
      <c r="D20" s="4" t="s">
        <v>2259</v>
      </c>
      <c r="E20" s="4" t="s">
        <v>2260</v>
      </c>
      <c r="F20" s="4" t="s">
        <v>2224</v>
      </c>
      <c r="G20" s="4" t="s">
        <v>71</v>
      </c>
    </row>
    <row r="21" spans="1:7" ht="65" customHeight="1">
      <c r="A21" s="4" t="s">
        <v>2229</v>
      </c>
      <c r="B21" s="4" t="s">
        <v>2261</v>
      </c>
      <c r="C21" s="4" t="s">
        <v>210</v>
      </c>
      <c r="D21" s="4" t="s">
        <v>2262</v>
      </c>
      <c r="E21" s="4" t="s">
        <v>2263</v>
      </c>
      <c r="F21" s="4" t="s">
        <v>48</v>
      </c>
      <c r="G21" s="4" t="s">
        <v>71</v>
      </c>
    </row>
    <row r="22" spans="1:7" ht="65" customHeight="1">
      <c r="A22" s="4" t="s">
        <v>2229</v>
      </c>
      <c r="B22" s="4" t="s">
        <v>2261</v>
      </c>
      <c r="C22" s="4" t="s">
        <v>274</v>
      </c>
      <c r="D22" s="4" t="s">
        <v>2264</v>
      </c>
      <c r="E22" s="4" t="s">
        <v>2263</v>
      </c>
      <c r="F22" s="4" t="s">
        <v>55</v>
      </c>
      <c r="G22" s="4" t="s">
        <v>71</v>
      </c>
    </row>
    <row r="23" spans="1:7" ht="65" customHeight="1">
      <c r="A23" s="4" t="s">
        <v>2229</v>
      </c>
      <c r="B23" s="4" t="s">
        <v>2261</v>
      </c>
      <c r="C23" s="4" t="s">
        <v>282</v>
      </c>
      <c r="D23" s="4" t="s">
        <v>2264</v>
      </c>
      <c r="E23" s="4" t="s">
        <v>2263</v>
      </c>
      <c r="F23" s="4" t="s">
        <v>55</v>
      </c>
      <c r="G23" s="4" t="s">
        <v>71</v>
      </c>
    </row>
    <row r="24" spans="1:7" ht="65" customHeight="1">
      <c r="A24" s="4" t="s">
        <v>2229</v>
      </c>
      <c r="B24" s="4" t="s">
        <v>2265</v>
      </c>
      <c r="C24" s="4" t="s">
        <v>171</v>
      </c>
      <c r="D24" s="4" t="s">
        <v>2266</v>
      </c>
      <c r="E24" s="4" t="s">
        <v>2267</v>
      </c>
      <c r="F24" s="4" t="s">
        <v>48</v>
      </c>
      <c r="G24" s="4" t="s">
        <v>71</v>
      </c>
    </row>
    <row r="25" spans="1:7" ht="65" customHeight="1">
      <c r="A25" s="4" t="s">
        <v>2229</v>
      </c>
      <c r="B25" s="4" t="s">
        <v>2265</v>
      </c>
      <c r="C25" s="4" t="s">
        <v>420</v>
      </c>
      <c r="D25" s="4" t="s">
        <v>2268</v>
      </c>
      <c r="E25" s="4" t="s">
        <v>2267</v>
      </c>
      <c r="F25" s="4" t="s">
        <v>55</v>
      </c>
      <c r="G25" s="4" t="s">
        <v>71</v>
      </c>
    </row>
    <row r="26" spans="1:7" ht="65" customHeight="1">
      <c r="A26" s="4" t="s">
        <v>2229</v>
      </c>
      <c r="B26" s="4" t="s">
        <v>2269</v>
      </c>
      <c r="C26" s="4" t="s">
        <v>2231</v>
      </c>
      <c r="D26" s="4" t="s">
        <v>2232</v>
      </c>
      <c r="E26" s="4" t="s">
        <v>2233</v>
      </c>
      <c r="F26" s="4" t="s">
        <v>63</v>
      </c>
      <c r="G26" s="4" t="s">
        <v>2234</v>
      </c>
    </row>
    <row r="27" spans="1:7" ht="65" customHeight="1">
      <c r="A27" s="4" t="s">
        <v>2270</v>
      </c>
      <c r="B27" s="4" t="s">
        <v>2271</v>
      </c>
      <c r="C27" s="4" t="s">
        <v>2272</v>
      </c>
      <c r="D27" s="4" t="s">
        <v>2273</v>
      </c>
      <c r="E27" s="4" t="s">
        <v>2274</v>
      </c>
      <c r="F27" s="4" t="s">
        <v>2224</v>
      </c>
      <c r="G27" s="4" t="s">
        <v>71</v>
      </c>
    </row>
    <row r="28" spans="1:7" ht="65" customHeight="1">
      <c r="A28" s="4" t="s">
        <v>2270</v>
      </c>
      <c r="B28" s="4" t="s">
        <v>2235</v>
      </c>
      <c r="C28" s="4" t="s">
        <v>2275</v>
      </c>
      <c r="D28" s="4" t="s">
        <v>2276</v>
      </c>
      <c r="E28" s="4" t="s">
        <v>2277</v>
      </c>
      <c r="F28" s="4" t="s">
        <v>2224</v>
      </c>
      <c r="G28" s="4" t="s">
        <v>71</v>
      </c>
    </row>
    <row r="29" spans="1:7" ht="65" customHeight="1">
      <c r="A29" s="4" t="s">
        <v>2270</v>
      </c>
      <c r="B29" s="4" t="s">
        <v>2278</v>
      </c>
      <c r="C29" s="4" t="s">
        <v>2279</v>
      </c>
      <c r="D29" s="4" t="s">
        <v>2280</v>
      </c>
      <c r="E29" s="4" t="s">
        <v>2281</v>
      </c>
      <c r="F29" s="4" t="s">
        <v>2224</v>
      </c>
      <c r="G29" s="4" t="s">
        <v>71</v>
      </c>
    </row>
    <row r="30" spans="1:7" ht="65" customHeight="1">
      <c r="A30" s="4" t="s">
        <v>2270</v>
      </c>
      <c r="B30" s="4" t="s">
        <v>2282</v>
      </c>
      <c r="C30" s="4" t="s">
        <v>120</v>
      </c>
      <c r="D30" s="4" t="s">
        <v>2283</v>
      </c>
      <c r="E30" s="4" t="s">
        <v>2284</v>
      </c>
      <c r="F30" s="4" t="s">
        <v>48</v>
      </c>
      <c r="G30" s="4" t="s">
        <v>71</v>
      </c>
    </row>
    <row r="31" spans="1:7" ht="65" customHeight="1">
      <c r="A31" s="4" t="s">
        <v>2270</v>
      </c>
      <c r="B31" s="4" t="s">
        <v>2282</v>
      </c>
      <c r="C31" s="4" t="s">
        <v>186</v>
      </c>
      <c r="D31" s="4" t="s">
        <v>2285</v>
      </c>
      <c r="E31" s="4" t="s">
        <v>2284</v>
      </c>
      <c r="F31" s="4" t="s">
        <v>55</v>
      </c>
      <c r="G31" s="4" t="s">
        <v>71</v>
      </c>
    </row>
    <row r="32" spans="1:7" ht="65" customHeight="1">
      <c r="A32" s="4" t="s">
        <v>2270</v>
      </c>
      <c r="B32" s="4" t="s">
        <v>2282</v>
      </c>
      <c r="C32" s="4" t="s">
        <v>202</v>
      </c>
      <c r="D32" s="4" t="s">
        <v>2286</v>
      </c>
      <c r="E32" s="4" t="s">
        <v>2284</v>
      </c>
      <c r="F32" s="4" t="s">
        <v>55</v>
      </c>
      <c r="G32" s="4" t="s">
        <v>71</v>
      </c>
    </row>
    <row r="33" spans="1:7" ht="65" customHeight="1">
      <c r="A33" s="4" t="s">
        <v>2270</v>
      </c>
      <c r="B33" s="4" t="s">
        <v>2282</v>
      </c>
      <c r="C33" s="4" t="s">
        <v>508</v>
      </c>
      <c r="D33" s="4" t="s">
        <v>2287</v>
      </c>
      <c r="E33" s="4" t="s">
        <v>2284</v>
      </c>
      <c r="F33" s="4" t="s">
        <v>58</v>
      </c>
      <c r="G33" s="4" t="s">
        <v>71</v>
      </c>
    </row>
    <row r="34" spans="1:7" ht="65" customHeight="1">
      <c r="A34" s="4" t="s">
        <v>2270</v>
      </c>
      <c r="B34" s="4" t="s">
        <v>2282</v>
      </c>
      <c r="C34" s="4" t="s">
        <v>515</v>
      </c>
      <c r="D34" s="4" t="s">
        <v>2288</v>
      </c>
      <c r="E34" s="4" t="s">
        <v>2284</v>
      </c>
      <c r="F34" s="4" t="s">
        <v>48</v>
      </c>
      <c r="G34" s="4" t="s">
        <v>71</v>
      </c>
    </row>
    <row r="35" spans="1:7" ht="65" customHeight="1">
      <c r="A35" s="4" t="s">
        <v>2270</v>
      </c>
      <c r="B35" s="4" t="s">
        <v>2282</v>
      </c>
      <c r="C35" s="4" t="s">
        <v>579</v>
      </c>
      <c r="D35" s="4" t="s">
        <v>2289</v>
      </c>
      <c r="E35" s="4" t="s">
        <v>2284</v>
      </c>
      <c r="F35" s="4" t="s">
        <v>81</v>
      </c>
      <c r="G35" s="4" t="s">
        <v>71</v>
      </c>
    </row>
    <row r="36" spans="1:7" ht="65" customHeight="1">
      <c r="A36" s="4" t="s">
        <v>2270</v>
      </c>
      <c r="B36" s="4" t="s">
        <v>2282</v>
      </c>
      <c r="C36" s="4" t="s">
        <v>731</v>
      </c>
      <c r="D36" s="4" t="s">
        <v>2290</v>
      </c>
      <c r="E36" s="4" t="s">
        <v>2284</v>
      </c>
      <c r="F36" s="4" t="s">
        <v>88</v>
      </c>
      <c r="G36" s="4" t="s">
        <v>71</v>
      </c>
    </row>
    <row r="37" spans="1:7" ht="65" customHeight="1">
      <c r="A37" s="4" t="s">
        <v>2270</v>
      </c>
      <c r="B37" s="4" t="s">
        <v>2282</v>
      </c>
      <c r="C37" s="4" t="s">
        <v>737</v>
      </c>
      <c r="D37" s="4" t="s">
        <v>2291</v>
      </c>
      <c r="E37" s="4" t="s">
        <v>2284</v>
      </c>
      <c r="F37" s="4" t="s">
        <v>86</v>
      </c>
      <c r="G37" s="4" t="s">
        <v>71</v>
      </c>
    </row>
    <row r="38" spans="1:7" ht="65" customHeight="1">
      <c r="A38" s="4" t="s">
        <v>2270</v>
      </c>
      <c r="B38" s="4" t="s">
        <v>2282</v>
      </c>
      <c r="C38" s="4" t="s">
        <v>747</v>
      </c>
      <c r="D38" s="4" t="s">
        <v>2292</v>
      </c>
      <c r="E38" s="4" t="s">
        <v>2284</v>
      </c>
      <c r="F38" s="4" t="s">
        <v>90</v>
      </c>
      <c r="G38" s="4" t="s">
        <v>71</v>
      </c>
    </row>
    <row r="39" spans="1:7" ht="65" customHeight="1">
      <c r="A39" s="4" t="s">
        <v>2270</v>
      </c>
      <c r="B39" s="4" t="s">
        <v>2282</v>
      </c>
      <c r="C39" s="4" t="s">
        <v>783</v>
      </c>
      <c r="D39" s="4" t="s">
        <v>2293</v>
      </c>
      <c r="E39" s="4" t="s">
        <v>2284</v>
      </c>
      <c r="F39" s="4" t="s">
        <v>69</v>
      </c>
      <c r="G39" s="4" t="s">
        <v>71</v>
      </c>
    </row>
    <row r="40" spans="1:7" ht="65" customHeight="1">
      <c r="A40" s="4" t="s">
        <v>2270</v>
      </c>
      <c r="B40" s="4" t="s">
        <v>2294</v>
      </c>
      <c r="C40" s="4" t="s">
        <v>2295</v>
      </c>
      <c r="D40" s="4" t="s">
        <v>2296</v>
      </c>
      <c r="E40" s="4" t="s">
        <v>2297</v>
      </c>
      <c r="F40" s="4" t="s">
        <v>2224</v>
      </c>
      <c r="G40" s="4" t="s">
        <v>71</v>
      </c>
    </row>
    <row r="41" spans="1:7" ht="65" customHeight="1">
      <c r="A41" s="5" t="s">
        <v>2298</v>
      </c>
      <c r="B41" s="5" t="s">
        <v>2299</v>
      </c>
      <c r="C41" s="5" t="s">
        <v>2300</v>
      </c>
      <c r="D41" s="5" t="s">
        <v>2301</v>
      </c>
      <c r="E41" s="5" t="s">
        <v>2302</v>
      </c>
      <c r="F41" s="5" t="s">
        <v>2224</v>
      </c>
      <c r="G41" s="5" t="s">
        <v>71</v>
      </c>
    </row>
  </sheetData>
  <mergeCells count="2">
    <mergeCell ref="A1:G1"/>
    <mergeCell ref="A2:G2"/>
  </mergeCells>
  <conditionalFormatting sqref="A5:A41">
    <cfRule type="containsText" dxfId="12" priority="1" operator="containsText" text="crítica"/>
    <cfRule type="containsText" dxfId="11" priority="2" operator="containsText" text="alta"/>
  </conditionalFormatting>
  <dataValidations count="1">
    <dataValidation type="list" sqref="G5:G41" xr:uid="{00000000-0002-0000-0800-000000000000}">
      <formula1>"pendiente,en_revision,resuelta,no_aplica"</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
  <sheetViews>
    <sheetView showGridLines="0" workbookViewId="0"/>
  </sheetViews>
  <sheetFormatPr baseColWidth="10" defaultColWidth="8.83203125" defaultRowHeight="14"/>
  <cols>
    <col min="1" max="1" width="31" customWidth="1"/>
    <col min="2" max="2" width="15" customWidth="1"/>
    <col min="3" max="7" width="18" customWidth="1"/>
    <col min="8" max="8" width="56" customWidth="1"/>
  </cols>
  <sheetData>
    <row r="1" spans="1:8" ht="30" customHeight="1">
      <c r="A1" s="72" t="s">
        <v>2303</v>
      </c>
      <c r="B1" s="72" t="s">
        <v>2303</v>
      </c>
      <c r="C1" s="72" t="s">
        <v>2303</v>
      </c>
      <c r="D1" s="72" t="s">
        <v>2303</v>
      </c>
      <c r="E1" s="72" t="s">
        <v>2303</v>
      </c>
      <c r="F1" s="72" t="s">
        <v>2303</v>
      </c>
      <c r="G1" s="72" t="s">
        <v>2303</v>
      </c>
      <c r="H1" s="72" t="s">
        <v>2303</v>
      </c>
    </row>
    <row r="2" spans="1:8" ht="30" customHeight="1">
      <c r="A2" s="73" t="s">
        <v>2304</v>
      </c>
      <c r="B2" s="73" t="s">
        <v>2304</v>
      </c>
      <c r="C2" s="73" t="s">
        <v>2304</v>
      </c>
      <c r="D2" s="73" t="s">
        <v>2304</v>
      </c>
      <c r="E2" s="73" t="s">
        <v>2304</v>
      </c>
      <c r="F2" s="73" t="s">
        <v>2304</v>
      </c>
      <c r="G2" s="73" t="s">
        <v>2304</v>
      </c>
      <c r="H2" s="73" t="s">
        <v>2304</v>
      </c>
    </row>
    <row r="4" spans="1:8">
      <c r="A4" s="1" t="s">
        <v>2305</v>
      </c>
      <c r="B4" s="12" t="s">
        <v>2306</v>
      </c>
      <c r="C4" s="12" t="s">
        <v>38</v>
      </c>
      <c r="D4" s="12" t="s">
        <v>2307</v>
      </c>
      <c r="E4" s="12" t="s">
        <v>2308</v>
      </c>
      <c r="F4" s="12" t="s">
        <v>2309</v>
      </c>
      <c r="G4" s="12" t="s">
        <v>2310</v>
      </c>
      <c r="H4" s="2" t="s">
        <v>2311</v>
      </c>
    </row>
    <row r="5" spans="1:8" ht="54" customHeight="1">
      <c r="A5" s="3" t="s">
        <v>2312</v>
      </c>
      <c r="B5" s="13">
        <v>46237</v>
      </c>
      <c r="C5" s="3">
        <v>203</v>
      </c>
      <c r="D5" s="3">
        <v>203</v>
      </c>
      <c r="E5" s="3">
        <v>429</v>
      </c>
      <c r="F5" s="3">
        <v>233</v>
      </c>
      <c r="G5" s="3">
        <v>196</v>
      </c>
      <c r="H5" s="3" t="s">
        <v>2313</v>
      </c>
    </row>
    <row r="6" spans="1:8" ht="54" customHeight="1">
      <c r="A6" s="4" t="s">
        <v>2314</v>
      </c>
      <c r="B6" s="14">
        <v>46241</v>
      </c>
      <c r="C6" s="4">
        <v>233</v>
      </c>
      <c r="D6" s="4">
        <v>233</v>
      </c>
      <c r="E6" s="4">
        <v>588</v>
      </c>
      <c r="F6" s="4">
        <v>382</v>
      </c>
      <c r="G6" s="4">
        <v>206</v>
      </c>
      <c r="H6" s="4" t="s">
        <v>2315</v>
      </c>
    </row>
    <row r="7" spans="1:8" ht="54" customHeight="1">
      <c r="A7" s="5" t="s">
        <v>2316</v>
      </c>
      <c r="B7" s="15">
        <v>46242</v>
      </c>
      <c r="C7" s="5">
        <v>233</v>
      </c>
      <c r="D7" s="5">
        <v>232</v>
      </c>
      <c r="E7" s="5">
        <v>588</v>
      </c>
      <c r="F7" s="5">
        <v>381</v>
      </c>
      <c r="G7" s="5">
        <v>207</v>
      </c>
      <c r="H7" s="5" t="s">
        <v>2317</v>
      </c>
    </row>
    <row r="8" spans="1:8" ht="42" customHeight="1">
      <c r="A8" s="25" t="s">
        <v>2318</v>
      </c>
      <c r="B8" s="25" t="s">
        <v>2319</v>
      </c>
      <c r="C8" s="25">
        <v>233</v>
      </c>
      <c r="D8" s="25">
        <v>232</v>
      </c>
      <c r="E8" s="25">
        <v>588</v>
      </c>
      <c r="F8" s="25">
        <v>362</v>
      </c>
      <c r="G8" s="25">
        <v>226</v>
      </c>
      <c r="H8" s="25" t="s">
        <v>2320</v>
      </c>
    </row>
  </sheetData>
  <mergeCells count="2">
    <mergeCell ref="A1:H1"/>
    <mergeCell ref="A2:H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37"/>
  <sheetViews>
    <sheetView showGridLines="0" workbookViewId="0"/>
  </sheetViews>
  <sheetFormatPr baseColWidth="10" defaultColWidth="8.83203125" defaultRowHeight="14"/>
  <cols>
    <col min="1" max="1" width="20" customWidth="1"/>
    <col min="2" max="2" width="34" customWidth="1"/>
    <col min="3" max="3" width="25" customWidth="1"/>
    <col min="4" max="4" width="14" customWidth="1"/>
    <col min="5" max="5" width="32" customWidth="1"/>
    <col min="6" max="6" width="20" customWidth="1"/>
    <col min="7" max="7" width="28" customWidth="1"/>
    <col min="8" max="8" width="35" customWidth="1"/>
    <col min="9" max="12" width="22" customWidth="1"/>
    <col min="13" max="13" width="38" customWidth="1"/>
    <col min="14" max="20" width="18" customWidth="1"/>
  </cols>
  <sheetData>
    <row r="1" spans="1:20" ht="28" customHeight="1">
      <c r="A1" s="84" t="s">
        <v>2321</v>
      </c>
      <c r="B1" s="84"/>
      <c r="C1" s="84"/>
      <c r="D1" s="84"/>
      <c r="E1" s="84"/>
      <c r="F1" s="84"/>
      <c r="G1" s="84"/>
      <c r="H1" s="84"/>
      <c r="I1" s="84"/>
      <c r="J1" s="84"/>
      <c r="K1" s="84"/>
      <c r="L1" s="84"/>
      <c r="M1" s="84"/>
      <c r="N1" s="84"/>
      <c r="O1" s="84"/>
      <c r="P1" s="84"/>
      <c r="Q1" s="84"/>
      <c r="R1" s="84"/>
      <c r="S1" s="84"/>
      <c r="T1" s="84"/>
    </row>
    <row r="2" spans="1:20" ht="30" customHeight="1">
      <c r="A2" s="85" t="s">
        <v>2322</v>
      </c>
      <c r="B2" s="85"/>
      <c r="C2" s="85"/>
      <c r="D2" s="85"/>
      <c r="E2" s="85"/>
      <c r="F2" s="85"/>
      <c r="G2" s="85"/>
      <c r="H2" s="85"/>
      <c r="I2" s="85"/>
      <c r="J2" s="85"/>
      <c r="K2" s="85"/>
      <c r="L2" s="85"/>
      <c r="M2" s="85"/>
      <c r="N2" s="85"/>
      <c r="O2" s="85"/>
      <c r="P2" s="85"/>
      <c r="Q2" s="85"/>
      <c r="R2" s="85"/>
      <c r="S2" s="85"/>
      <c r="T2" s="85"/>
    </row>
    <row r="4" spans="1:20" ht="34" customHeight="1">
      <c r="A4" s="26" t="s">
        <v>97</v>
      </c>
      <c r="B4" s="27" t="s">
        <v>98</v>
      </c>
      <c r="C4" s="27" t="s">
        <v>99</v>
      </c>
      <c r="D4" s="27" t="s">
        <v>2323</v>
      </c>
      <c r="E4" s="27" t="s">
        <v>2324</v>
      </c>
      <c r="F4" s="27" t="s">
        <v>2325</v>
      </c>
      <c r="G4" s="27" t="s">
        <v>2326</v>
      </c>
      <c r="H4" s="27" t="s">
        <v>2327</v>
      </c>
      <c r="I4" s="27" t="s">
        <v>2328</v>
      </c>
      <c r="J4" s="27" t="s">
        <v>2329</v>
      </c>
      <c r="K4" s="27" t="s">
        <v>2330</v>
      </c>
      <c r="L4" s="27" t="s">
        <v>2331</v>
      </c>
      <c r="M4" s="27" t="s">
        <v>2332</v>
      </c>
      <c r="N4" s="27" t="s">
        <v>2333</v>
      </c>
      <c r="O4" s="27" t="s">
        <v>2334</v>
      </c>
      <c r="P4" s="27" t="s">
        <v>2335</v>
      </c>
      <c r="Q4" s="27" t="s">
        <v>116</v>
      </c>
      <c r="R4" s="27" t="s">
        <v>2336</v>
      </c>
      <c r="S4" s="27" t="s">
        <v>2337</v>
      </c>
      <c r="T4" s="28" t="s">
        <v>2338</v>
      </c>
    </row>
    <row r="5" spans="1:20" ht="42" customHeight="1">
      <c r="A5" s="29" t="s">
        <v>120</v>
      </c>
      <c r="B5" s="29" t="s">
        <v>121</v>
      </c>
      <c r="C5" s="29" t="s">
        <v>122</v>
      </c>
      <c r="D5" s="29" t="s">
        <v>48</v>
      </c>
      <c r="E5" s="29" t="s">
        <v>2339</v>
      </c>
      <c r="F5" s="31" t="s">
        <v>2340</v>
      </c>
      <c r="G5" s="31" t="s">
        <v>2341</v>
      </c>
      <c r="H5" s="31" t="s">
        <v>2342</v>
      </c>
      <c r="I5" s="34"/>
      <c r="J5" s="34"/>
      <c r="K5" s="34"/>
      <c r="L5" s="34"/>
      <c r="M5" s="34"/>
      <c r="N5" s="36" t="s">
        <v>2343</v>
      </c>
      <c r="O5" s="36"/>
      <c r="P5" s="36"/>
      <c r="Q5" s="36" t="s">
        <v>71</v>
      </c>
      <c r="R5" s="36" t="s">
        <v>71</v>
      </c>
      <c r="S5" s="36" t="s">
        <v>2344</v>
      </c>
      <c r="T5" s="39" t="s">
        <v>2345</v>
      </c>
    </row>
    <row r="6" spans="1:20" ht="42" customHeight="1">
      <c r="A6" s="19" t="s">
        <v>135</v>
      </c>
      <c r="B6" s="19" t="s">
        <v>136</v>
      </c>
      <c r="C6" s="19" t="s">
        <v>137</v>
      </c>
      <c r="D6" s="19" t="s">
        <v>90</v>
      </c>
      <c r="E6" s="19" t="s">
        <v>2346</v>
      </c>
      <c r="F6" s="32" t="s">
        <v>2347</v>
      </c>
      <c r="G6" s="32" t="s">
        <v>2348</v>
      </c>
      <c r="H6" s="32" t="s">
        <v>2349</v>
      </c>
      <c r="I6" s="24"/>
      <c r="J6" s="24"/>
      <c r="K6" s="24"/>
      <c r="L6" s="24"/>
      <c r="M6" s="24"/>
      <c r="N6" s="37" t="s">
        <v>2343</v>
      </c>
      <c r="O6" s="37"/>
      <c r="P6" s="37"/>
      <c r="Q6" s="37" t="s">
        <v>71</v>
      </c>
      <c r="R6" s="37" t="s">
        <v>71</v>
      </c>
      <c r="S6" s="37" t="s">
        <v>2344</v>
      </c>
      <c r="T6" s="40" t="s">
        <v>2345</v>
      </c>
    </row>
    <row r="7" spans="1:20" ht="42" customHeight="1">
      <c r="A7" s="19" t="s">
        <v>144</v>
      </c>
      <c r="B7" s="19" t="s">
        <v>145</v>
      </c>
      <c r="C7" s="19" t="s">
        <v>146</v>
      </c>
      <c r="D7" s="19" t="s">
        <v>83</v>
      </c>
      <c r="E7" s="19" t="s">
        <v>2346</v>
      </c>
      <c r="F7" s="32" t="s">
        <v>2347</v>
      </c>
      <c r="G7" s="32" t="s">
        <v>2348</v>
      </c>
      <c r="H7" s="32" t="s">
        <v>2349</v>
      </c>
      <c r="I7" s="24"/>
      <c r="J7" s="24"/>
      <c r="K7" s="24"/>
      <c r="L7" s="24"/>
      <c r="M7" s="24"/>
      <c r="N7" s="37" t="s">
        <v>2343</v>
      </c>
      <c r="O7" s="37"/>
      <c r="P7" s="37"/>
      <c r="Q7" s="37" t="s">
        <v>71</v>
      </c>
      <c r="R7" s="37" t="s">
        <v>71</v>
      </c>
      <c r="S7" s="37" t="s">
        <v>2344</v>
      </c>
      <c r="T7" s="40" t="s">
        <v>2345</v>
      </c>
    </row>
    <row r="8" spans="1:20" ht="42" customHeight="1">
      <c r="A8" s="19" t="s">
        <v>148</v>
      </c>
      <c r="B8" s="19" t="s">
        <v>149</v>
      </c>
      <c r="C8" s="19" t="s">
        <v>150</v>
      </c>
      <c r="D8" s="19" t="s">
        <v>48</v>
      </c>
      <c r="E8" s="19" t="s">
        <v>2350</v>
      </c>
      <c r="F8" s="32" t="s">
        <v>2340</v>
      </c>
      <c r="G8" s="32" t="s">
        <v>2351</v>
      </c>
      <c r="H8" s="32" t="s">
        <v>2352</v>
      </c>
      <c r="I8" s="24"/>
      <c r="J8" s="24"/>
      <c r="K8" s="24"/>
      <c r="L8" s="24"/>
      <c r="M8" s="24"/>
      <c r="N8" s="37" t="s">
        <v>2343</v>
      </c>
      <c r="O8" s="37"/>
      <c r="P8" s="37"/>
      <c r="Q8" s="37" t="s">
        <v>71</v>
      </c>
      <c r="R8" s="37" t="s">
        <v>71</v>
      </c>
      <c r="S8" s="37" t="s">
        <v>2344</v>
      </c>
      <c r="T8" s="40" t="s">
        <v>2345</v>
      </c>
    </row>
    <row r="9" spans="1:20" ht="42" customHeight="1">
      <c r="A9" s="19" t="s">
        <v>161</v>
      </c>
      <c r="B9" s="19" t="s">
        <v>162</v>
      </c>
      <c r="C9" s="19" t="s">
        <v>163</v>
      </c>
      <c r="D9" s="19" t="s">
        <v>72</v>
      </c>
      <c r="E9" s="19" t="s">
        <v>2346</v>
      </c>
      <c r="F9" s="32" t="s">
        <v>2347</v>
      </c>
      <c r="G9" s="32" t="s">
        <v>2348</v>
      </c>
      <c r="H9" s="32" t="s">
        <v>2349</v>
      </c>
      <c r="I9" s="24"/>
      <c r="J9" s="24"/>
      <c r="K9" s="24"/>
      <c r="L9" s="24"/>
      <c r="M9" s="24"/>
      <c r="N9" s="37" t="s">
        <v>2343</v>
      </c>
      <c r="O9" s="37"/>
      <c r="P9" s="37"/>
      <c r="Q9" s="37" t="s">
        <v>71</v>
      </c>
      <c r="R9" s="37" t="s">
        <v>71</v>
      </c>
      <c r="S9" s="37" t="s">
        <v>2344</v>
      </c>
      <c r="T9" s="40" t="s">
        <v>2345</v>
      </c>
    </row>
    <row r="10" spans="1:20" ht="42" customHeight="1">
      <c r="A10" s="19" t="s">
        <v>167</v>
      </c>
      <c r="B10" s="19" t="s">
        <v>168</v>
      </c>
      <c r="C10" s="19" t="s">
        <v>169</v>
      </c>
      <c r="D10" s="19" t="s">
        <v>72</v>
      </c>
      <c r="E10" s="19" t="s">
        <v>2353</v>
      </c>
      <c r="F10" s="32" t="s">
        <v>2340</v>
      </c>
      <c r="G10" s="32" t="s">
        <v>2354</v>
      </c>
      <c r="H10" s="32" t="s">
        <v>2349</v>
      </c>
      <c r="I10" s="24"/>
      <c r="J10" s="24"/>
      <c r="K10" s="24"/>
      <c r="L10" s="24"/>
      <c r="M10" s="24"/>
      <c r="N10" s="37" t="s">
        <v>2343</v>
      </c>
      <c r="O10" s="37"/>
      <c r="P10" s="37"/>
      <c r="Q10" s="37" t="s">
        <v>71</v>
      </c>
      <c r="R10" s="37" t="s">
        <v>71</v>
      </c>
      <c r="S10" s="37" t="s">
        <v>2344</v>
      </c>
      <c r="T10" s="40" t="s">
        <v>2345</v>
      </c>
    </row>
    <row r="11" spans="1:20" ht="42" customHeight="1">
      <c r="A11" s="19" t="s">
        <v>171</v>
      </c>
      <c r="B11" s="19" t="s">
        <v>172</v>
      </c>
      <c r="C11" s="19" t="s">
        <v>173</v>
      </c>
      <c r="D11" s="19" t="s">
        <v>48</v>
      </c>
      <c r="E11" s="19" t="s">
        <v>2355</v>
      </c>
      <c r="F11" s="32" t="s">
        <v>2356</v>
      </c>
      <c r="G11" s="32" t="s">
        <v>2357</v>
      </c>
      <c r="H11" s="32" t="s">
        <v>2349</v>
      </c>
      <c r="I11" s="24"/>
      <c r="J11" s="24"/>
      <c r="K11" s="24"/>
      <c r="L11" s="24"/>
      <c r="M11" s="24"/>
      <c r="N11" s="37" t="s">
        <v>2343</v>
      </c>
      <c r="O11" s="37"/>
      <c r="P11" s="37"/>
      <c r="Q11" s="37" t="s">
        <v>71</v>
      </c>
      <c r="R11" s="37" t="s">
        <v>71</v>
      </c>
      <c r="S11" s="37" t="s">
        <v>2344</v>
      </c>
      <c r="T11" s="40" t="s">
        <v>2345</v>
      </c>
    </row>
    <row r="12" spans="1:20" ht="42" customHeight="1">
      <c r="A12" s="19" t="s">
        <v>179</v>
      </c>
      <c r="B12" s="19" t="s">
        <v>180</v>
      </c>
      <c r="C12" s="19" t="s">
        <v>181</v>
      </c>
      <c r="D12" s="19" t="s">
        <v>55</v>
      </c>
      <c r="E12" s="19" t="s">
        <v>2358</v>
      </c>
      <c r="F12" s="32" t="s">
        <v>2356</v>
      </c>
      <c r="G12" s="32" t="s">
        <v>2359</v>
      </c>
      <c r="H12" s="32" t="s">
        <v>2349</v>
      </c>
      <c r="I12" s="24"/>
      <c r="J12" s="24"/>
      <c r="K12" s="24"/>
      <c r="L12" s="24"/>
      <c r="M12" s="24"/>
      <c r="N12" s="37" t="s">
        <v>2343</v>
      </c>
      <c r="O12" s="37"/>
      <c r="P12" s="37"/>
      <c r="Q12" s="37" t="s">
        <v>71</v>
      </c>
      <c r="R12" s="37" t="s">
        <v>71</v>
      </c>
      <c r="S12" s="37" t="s">
        <v>2344</v>
      </c>
      <c r="T12" s="40" t="s">
        <v>2345</v>
      </c>
    </row>
    <row r="13" spans="1:20" ht="42" customHeight="1">
      <c r="A13" s="19" t="s">
        <v>186</v>
      </c>
      <c r="B13" s="19" t="s">
        <v>187</v>
      </c>
      <c r="C13" s="19" t="s">
        <v>188</v>
      </c>
      <c r="D13" s="19" t="s">
        <v>55</v>
      </c>
      <c r="E13" s="19" t="s">
        <v>2360</v>
      </c>
      <c r="F13" s="32" t="s">
        <v>2347</v>
      </c>
      <c r="G13" s="32" t="s">
        <v>2361</v>
      </c>
      <c r="H13" s="32" t="s">
        <v>2349</v>
      </c>
      <c r="I13" s="24"/>
      <c r="J13" s="24"/>
      <c r="K13" s="24"/>
      <c r="L13" s="24"/>
      <c r="M13" s="24"/>
      <c r="N13" s="37" t="s">
        <v>2343</v>
      </c>
      <c r="O13" s="37"/>
      <c r="P13" s="37"/>
      <c r="Q13" s="37" t="s">
        <v>71</v>
      </c>
      <c r="R13" s="37" t="s">
        <v>71</v>
      </c>
      <c r="S13" s="37" t="s">
        <v>2344</v>
      </c>
      <c r="T13" s="40" t="s">
        <v>2345</v>
      </c>
    </row>
    <row r="14" spans="1:20" ht="42" customHeight="1">
      <c r="A14" s="19" t="s">
        <v>191</v>
      </c>
      <c r="B14" s="19" t="s">
        <v>192</v>
      </c>
      <c r="C14" s="19" t="s">
        <v>193</v>
      </c>
      <c r="D14" s="19" t="s">
        <v>55</v>
      </c>
      <c r="E14" s="19" t="s">
        <v>2362</v>
      </c>
      <c r="F14" s="32" t="s">
        <v>2340</v>
      </c>
      <c r="G14" s="32" t="s">
        <v>2363</v>
      </c>
      <c r="H14" s="32" t="s">
        <v>2349</v>
      </c>
      <c r="I14" s="24"/>
      <c r="J14" s="24"/>
      <c r="K14" s="24"/>
      <c r="L14" s="24"/>
      <c r="M14" s="24"/>
      <c r="N14" s="37" t="s">
        <v>2343</v>
      </c>
      <c r="O14" s="37"/>
      <c r="P14" s="37"/>
      <c r="Q14" s="37" t="s">
        <v>71</v>
      </c>
      <c r="R14" s="37" t="s">
        <v>71</v>
      </c>
      <c r="S14" s="37" t="s">
        <v>2344</v>
      </c>
      <c r="T14" s="40" t="s">
        <v>2345</v>
      </c>
    </row>
    <row r="15" spans="1:20" ht="42" customHeight="1">
      <c r="A15" s="19" t="s">
        <v>196</v>
      </c>
      <c r="B15" s="19" t="s">
        <v>197</v>
      </c>
      <c r="C15" s="19" t="s">
        <v>198</v>
      </c>
      <c r="D15" s="19" t="s">
        <v>69</v>
      </c>
      <c r="E15" s="19" t="s">
        <v>2360</v>
      </c>
      <c r="F15" s="32" t="s">
        <v>2347</v>
      </c>
      <c r="G15" s="32" t="s">
        <v>2361</v>
      </c>
      <c r="H15" s="32" t="s">
        <v>2349</v>
      </c>
      <c r="I15" s="24"/>
      <c r="J15" s="24"/>
      <c r="K15" s="24"/>
      <c r="L15" s="24"/>
      <c r="M15" s="24"/>
      <c r="N15" s="37" t="s">
        <v>2343</v>
      </c>
      <c r="O15" s="37"/>
      <c r="P15" s="37"/>
      <c r="Q15" s="37" t="s">
        <v>71</v>
      </c>
      <c r="R15" s="37" t="s">
        <v>71</v>
      </c>
      <c r="S15" s="37" t="s">
        <v>2344</v>
      </c>
      <c r="T15" s="40" t="s">
        <v>2345</v>
      </c>
    </row>
    <row r="16" spans="1:20" ht="42" customHeight="1">
      <c r="A16" s="19" t="s">
        <v>202</v>
      </c>
      <c r="B16" s="19" t="s">
        <v>203</v>
      </c>
      <c r="C16" s="19" t="s">
        <v>204</v>
      </c>
      <c r="D16" s="19" t="s">
        <v>55</v>
      </c>
      <c r="E16" s="19" t="s">
        <v>2364</v>
      </c>
      <c r="F16" s="32"/>
      <c r="G16" s="32" t="s">
        <v>2365</v>
      </c>
      <c r="H16" s="32" t="s">
        <v>2366</v>
      </c>
      <c r="I16" s="24"/>
      <c r="J16" s="24"/>
      <c r="K16" s="24"/>
      <c r="L16" s="24"/>
      <c r="M16" s="24"/>
      <c r="N16" s="37" t="s">
        <v>2343</v>
      </c>
      <c r="O16" s="37"/>
      <c r="P16" s="37"/>
      <c r="Q16" s="37" t="s">
        <v>71</v>
      </c>
      <c r="R16" s="37" t="s">
        <v>71</v>
      </c>
      <c r="S16" s="37" t="s">
        <v>2344</v>
      </c>
      <c r="T16" s="40" t="s">
        <v>2345</v>
      </c>
    </row>
    <row r="17" spans="1:20" ht="42" customHeight="1">
      <c r="A17" s="19" t="s">
        <v>206</v>
      </c>
      <c r="B17" s="19" t="s">
        <v>207</v>
      </c>
      <c r="C17" s="19" t="s">
        <v>208</v>
      </c>
      <c r="D17" s="19" t="s">
        <v>79</v>
      </c>
      <c r="E17" s="19" t="s">
        <v>2367</v>
      </c>
      <c r="F17" s="32" t="s">
        <v>2347</v>
      </c>
      <c r="G17" s="32" t="s">
        <v>2368</v>
      </c>
      <c r="H17" s="32" t="s">
        <v>2349</v>
      </c>
      <c r="I17" s="24"/>
      <c r="J17" s="24"/>
      <c r="K17" s="24"/>
      <c r="L17" s="24"/>
      <c r="M17" s="24"/>
      <c r="N17" s="37" t="s">
        <v>2343</v>
      </c>
      <c r="O17" s="37"/>
      <c r="P17" s="37"/>
      <c r="Q17" s="37" t="s">
        <v>71</v>
      </c>
      <c r="R17" s="37" t="s">
        <v>71</v>
      </c>
      <c r="S17" s="37" t="s">
        <v>2344</v>
      </c>
      <c r="T17" s="40" t="s">
        <v>2345</v>
      </c>
    </row>
    <row r="18" spans="1:20" ht="42" customHeight="1">
      <c r="A18" s="19" t="s">
        <v>210</v>
      </c>
      <c r="B18" s="19" t="s">
        <v>211</v>
      </c>
      <c r="C18" s="19" t="s">
        <v>212</v>
      </c>
      <c r="D18" s="19" t="s">
        <v>48</v>
      </c>
      <c r="E18" s="19" t="s">
        <v>2355</v>
      </c>
      <c r="F18" s="32" t="s">
        <v>2356</v>
      </c>
      <c r="G18" s="32" t="s">
        <v>2357</v>
      </c>
      <c r="H18" s="32" t="s">
        <v>2349</v>
      </c>
      <c r="I18" s="24"/>
      <c r="J18" s="24"/>
      <c r="K18" s="24"/>
      <c r="L18" s="24"/>
      <c r="M18" s="24"/>
      <c r="N18" s="37" t="s">
        <v>2343</v>
      </c>
      <c r="O18" s="37"/>
      <c r="P18" s="37"/>
      <c r="Q18" s="37" t="s">
        <v>71</v>
      </c>
      <c r="R18" s="37" t="s">
        <v>71</v>
      </c>
      <c r="S18" s="37" t="s">
        <v>2344</v>
      </c>
      <c r="T18" s="40" t="s">
        <v>2345</v>
      </c>
    </row>
    <row r="19" spans="1:20" ht="42" customHeight="1">
      <c r="A19" s="19" t="s">
        <v>221</v>
      </c>
      <c r="B19" s="19" t="s">
        <v>222</v>
      </c>
      <c r="C19" s="19" t="s">
        <v>223</v>
      </c>
      <c r="D19" s="19" t="s">
        <v>77</v>
      </c>
      <c r="E19" s="19" t="s">
        <v>2369</v>
      </c>
      <c r="F19" s="32" t="s">
        <v>2356</v>
      </c>
      <c r="G19" s="32" t="s">
        <v>2370</v>
      </c>
      <c r="H19" s="32" t="s">
        <v>2349</v>
      </c>
      <c r="I19" s="24"/>
      <c r="J19" s="24"/>
      <c r="K19" s="24"/>
      <c r="L19" s="24"/>
      <c r="M19" s="24"/>
      <c r="N19" s="37" t="s">
        <v>2343</v>
      </c>
      <c r="O19" s="37"/>
      <c r="P19" s="37"/>
      <c r="Q19" s="37" t="s">
        <v>71</v>
      </c>
      <c r="R19" s="37" t="s">
        <v>71</v>
      </c>
      <c r="S19" s="37" t="s">
        <v>2344</v>
      </c>
      <c r="T19" s="40" t="s">
        <v>2345</v>
      </c>
    </row>
    <row r="20" spans="1:20" ht="42" customHeight="1">
      <c r="A20" s="19" t="s">
        <v>226</v>
      </c>
      <c r="B20" s="19" t="s">
        <v>227</v>
      </c>
      <c r="C20" s="19" t="s">
        <v>228</v>
      </c>
      <c r="D20" s="19" t="s">
        <v>92</v>
      </c>
      <c r="E20" s="19" t="s">
        <v>2355</v>
      </c>
      <c r="F20" s="32" t="s">
        <v>2356</v>
      </c>
      <c r="G20" s="32" t="s">
        <v>2357</v>
      </c>
      <c r="H20" s="32" t="s">
        <v>2349</v>
      </c>
      <c r="I20" s="24"/>
      <c r="J20" s="24"/>
      <c r="K20" s="24"/>
      <c r="L20" s="24"/>
      <c r="M20" s="24"/>
      <c r="N20" s="37" t="s">
        <v>2343</v>
      </c>
      <c r="O20" s="37"/>
      <c r="P20" s="37"/>
      <c r="Q20" s="37" t="s">
        <v>71</v>
      </c>
      <c r="R20" s="37" t="s">
        <v>71</v>
      </c>
      <c r="S20" s="37" t="s">
        <v>2344</v>
      </c>
      <c r="T20" s="40" t="s">
        <v>2345</v>
      </c>
    </row>
    <row r="21" spans="1:20" ht="42" customHeight="1">
      <c r="A21" s="19" t="s">
        <v>232</v>
      </c>
      <c r="B21" s="19" t="s">
        <v>233</v>
      </c>
      <c r="C21" s="19" t="s">
        <v>234</v>
      </c>
      <c r="D21" s="19" t="s">
        <v>92</v>
      </c>
      <c r="E21" s="19" t="s">
        <v>2371</v>
      </c>
      <c r="F21" s="32" t="s">
        <v>2340</v>
      </c>
      <c r="G21" s="32" t="s">
        <v>2372</v>
      </c>
      <c r="H21" s="32" t="s">
        <v>2342</v>
      </c>
      <c r="I21" s="24"/>
      <c r="J21" s="24"/>
      <c r="K21" s="24"/>
      <c r="L21" s="24"/>
      <c r="M21" s="24"/>
      <c r="N21" s="37" t="s">
        <v>2343</v>
      </c>
      <c r="O21" s="37"/>
      <c r="P21" s="37"/>
      <c r="Q21" s="37" t="s">
        <v>71</v>
      </c>
      <c r="R21" s="37" t="s">
        <v>71</v>
      </c>
      <c r="S21" s="37" t="s">
        <v>2344</v>
      </c>
      <c r="T21" s="40" t="s">
        <v>2345</v>
      </c>
    </row>
    <row r="22" spans="1:20" ht="42" customHeight="1">
      <c r="A22" s="19" t="s">
        <v>236</v>
      </c>
      <c r="B22" s="19" t="s">
        <v>237</v>
      </c>
      <c r="C22" s="19" t="s">
        <v>238</v>
      </c>
      <c r="D22" s="19" t="s">
        <v>81</v>
      </c>
      <c r="E22" s="19" t="s">
        <v>2358</v>
      </c>
      <c r="F22" s="32" t="s">
        <v>2356</v>
      </c>
      <c r="G22" s="32" t="s">
        <v>2359</v>
      </c>
      <c r="H22" s="32" t="s">
        <v>2349</v>
      </c>
      <c r="I22" s="24"/>
      <c r="J22" s="24"/>
      <c r="K22" s="24"/>
      <c r="L22" s="24"/>
      <c r="M22" s="24"/>
      <c r="N22" s="37" t="s">
        <v>2343</v>
      </c>
      <c r="O22" s="37"/>
      <c r="P22" s="37"/>
      <c r="Q22" s="37" t="s">
        <v>71</v>
      </c>
      <c r="R22" s="37" t="s">
        <v>71</v>
      </c>
      <c r="S22" s="37" t="s">
        <v>2344</v>
      </c>
      <c r="T22" s="40" t="s">
        <v>2345</v>
      </c>
    </row>
    <row r="23" spans="1:20" ht="42" customHeight="1">
      <c r="A23" s="19" t="s">
        <v>241</v>
      </c>
      <c r="B23" s="19" t="s">
        <v>242</v>
      </c>
      <c r="C23" s="19" t="s">
        <v>243</v>
      </c>
      <c r="D23" s="19" t="s">
        <v>81</v>
      </c>
      <c r="E23" s="19" t="s">
        <v>2373</v>
      </c>
      <c r="F23" s="32" t="s">
        <v>2374</v>
      </c>
      <c r="G23" s="32" t="s">
        <v>2375</v>
      </c>
      <c r="H23" s="32" t="s">
        <v>2349</v>
      </c>
      <c r="I23" s="24"/>
      <c r="J23" s="24"/>
      <c r="K23" s="24"/>
      <c r="L23" s="24"/>
      <c r="M23" s="24"/>
      <c r="N23" s="37" t="s">
        <v>2343</v>
      </c>
      <c r="O23" s="37"/>
      <c r="P23" s="37"/>
      <c r="Q23" s="37" t="s">
        <v>71</v>
      </c>
      <c r="R23" s="37" t="s">
        <v>71</v>
      </c>
      <c r="S23" s="37" t="s">
        <v>2344</v>
      </c>
      <c r="T23" s="40" t="s">
        <v>2345</v>
      </c>
    </row>
    <row r="24" spans="1:20" ht="42" customHeight="1">
      <c r="A24" s="19" t="s">
        <v>245</v>
      </c>
      <c r="B24" s="19" t="s">
        <v>246</v>
      </c>
      <c r="C24" s="19" t="s">
        <v>247</v>
      </c>
      <c r="D24" s="19" t="s">
        <v>86</v>
      </c>
      <c r="E24" s="19" t="s">
        <v>2376</v>
      </c>
      <c r="F24" s="32" t="s">
        <v>2377</v>
      </c>
      <c r="G24" s="32" t="s">
        <v>2378</v>
      </c>
      <c r="H24" s="32" t="s">
        <v>2379</v>
      </c>
      <c r="I24" s="24"/>
      <c r="J24" s="24"/>
      <c r="K24" s="24"/>
      <c r="L24" s="24"/>
      <c r="M24" s="24"/>
      <c r="N24" s="37" t="s">
        <v>2343</v>
      </c>
      <c r="O24" s="37"/>
      <c r="P24" s="37"/>
      <c r="Q24" s="37" t="s">
        <v>71</v>
      </c>
      <c r="R24" s="37" t="s">
        <v>71</v>
      </c>
      <c r="S24" s="37" t="s">
        <v>2344</v>
      </c>
      <c r="T24" s="40" t="s">
        <v>2345</v>
      </c>
    </row>
    <row r="25" spans="1:20" ht="42" customHeight="1">
      <c r="A25" s="19" t="s">
        <v>249</v>
      </c>
      <c r="B25" s="19" t="s">
        <v>250</v>
      </c>
      <c r="C25" s="19" t="s">
        <v>251</v>
      </c>
      <c r="D25" s="19" t="s">
        <v>69</v>
      </c>
      <c r="E25" s="19" t="s">
        <v>2339</v>
      </c>
      <c r="F25" s="32" t="s">
        <v>2340</v>
      </c>
      <c r="G25" s="32" t="s">
        <v>2341</v>
      </c>
      <c r="H25" s="32" t="s">
        <v>2342</v>
      </c>
      <c r="I25" s="24"/>
      <c r="J25" s="24"/>
      <c r="K25" s="24"/>
      <c r="L25" s="24"/>
      <c r="M25" s="24"/>
      <c r="N25" s="37" t="s">
        <v>2343</v>
      </c>
      <c r="O25" s="37"/>
      <c r="P25" s="37"/>
      <c r="Q25" s="37" t="s">
        <v>71</v>
      </c>
      <c r="R25" s="37" t="s">
        <v>71</v>
      </c>
      <c r="S25" s="37" t="s">
        <v>2344</v>
      </c>
      <c r="T25" s="40" t="s">
        <v>2345</v>
      </c>
    </row>
    <row r="26" spans="1:20" ht="42" customHeight="1">
      <c r="A26" s="19" t="s">
        <v>252</v>
      </c>
      <c r="B26" s="19" t="s">
        <v>253</v>
      </c>
      <c r="C26" s="19" t="s">
        <v>254</v>
      </c>
      <c r="D26" s="19" t="s">
        <v>83</v>
      </c>
      <c r="E26" s="19" t="s">
        <v>2360</v>
      </c>
      <c r="F26" s="32" t="s">
        <v>2347</v>
      </c>
      <c r="G26" s="32" t="s">
        <v>2361</v>
      </c>
      <c r="H26" s="32" t="s">
        <v>2349</v>
      </c>
      <c r="I26" s="24"/>
      <c r="J26" s="24"/>
      <c r="K26" s="24"/>
      <c r="L26" s="24"/>
      <c r="M26" s="24"/>
      <c r="N26" s="37" t="s">
        <v>2343</v>
      </c>
      <c r="O26" s="37"/>
      <c r="P26" s="37"/>
      <c r="Q26" s="37" t="s">
        <v>71</v>
      </c>
      <c r="R26" s="37" t="s">
        <v>71</v>
      </c>
      <c r="S26" s="37" t="s">
        <v>2344</v>
      </c>
      <c r="T26" s="40" t="s">
        <v>2345</v>
      </c>
    </row>
    <row r="27" spans="1:20" ht="42" customHeight="1">
      <c r="A27" s="19" t="s">
        <v>257</v>
      </c>
      <c r="B27" s="19" t="s">
        <v>258</v>
      </c>
      <c r="C27" s="19" t="s">
        <v>259</v>
      </c>
      <c r="D27" s="19" t="s">
        <v>61</v>
      </c>
      <c r="E27" s="19" t="s">
        <v>2380</v>
      </c>
      <c r="F27" s="32" t="s">
        <v>2340</v>
      </c>
      <c r="G27" s="32" t="s">
        <v>2381</v>
      </c>
      <c r="H27" s="32" t="s">
        <v>2352</v>
      </c>
      <c r="I27" s="24"/>
      <c r="J27" s="24"/>
      <c r="K27" s="24"/>
      <c r="L27" s="24"/>
      <c r="M27" s="24"/>
      <c r="N27" s="37" t="s">
        <v>2343</v>
      </c>
      <c r="O27" s="37"/>
      <c r="P27" s="37"/>
      <c r="Q27" s="37" t="s">
        <v>71</v>
      </c>
      <c r="R27" s="37" t="s">
        <v>71</v>
      </c>
      <c r="S27" s="37" t="s">
        <v>2344</v>
      </c>
      <c r="T27" s="40" t="s">
        <v>2345</v>
      </c>
    </row>
    <row r="28" spans="1:20" ht="42" customHeight="1">
      <c r="A28" s="19" t="s">
        <v>261</v>
      </c>
      <c r="B28" s="19" t="s">
        <v>262</v>
      </c>
      <c r="C28" s="19" t="s">
        <v>263</v>
      </c>
      <c r="D28" s="19" t="s">
        <v>77</v>
      </c>
      <c r="E28" s="19" t="s">
        <v>2382</v>
      </c>
      <c r="F28" s="32" t="s">
        <v>2340</v>
      </c>
      <c r="G28" s="32" t="s">
        <v>2383</v>
      </c>
      <c r="H28" s="32" t="s">
        <v>2342</v>
      </c>
      <c r="I28" s="24"/>
      <c r="J28" s="24"/>
      <c r="K28" s="24"/>
      <c r="L28" s="24"/>
      <c r="M28" s="24"/>
      <c r="N28" s="37" t="s">
        <v>2343</v>
      </c>
      <c r="O28" s="37"/>
      <c r="P28" s="37"/>
      <c r="Q28" s="37" t="s">
        <v>71</v>
      </c>
      <c r="R28" s="37" t="s">
        <v>71</v>
      </c>
      <c r="S28" s="37" t="s">
        <v>2344</v>
      </c>
      <c r="T28" s="40" t="s">
        <v>2345</v>
      </c>
    </row>
    <row r="29" spans="1:20" ht="42" customHeight="1">
      <c r="A29" s="19" t="s">
        <v>265</v>
      </c>
      <c r="B29" s="19" t="s">
        <v>266</v>
      </c>
      <c r="C29" s="19" t="s">
        <v>267</v>
      </c>
      <c r="D29" s="19" t="s">
        <v>92</v>
      </c>
      <c r="E29" s="19" t="s">
        <v>2384</v>
      </c>
      <c r="F29" s="32" t="s">
        <v>2340</v>
      </c>
      <c r="G29" s="32" t="s">
        <v>2385</v>
      </c>
      <c r="H29" s="32" t="s">
        <v>2349</v>
      </c>
      <c r="I29" s="24"/>
      <c r="J29" s="24"/>
      <c r="K29" s="24"/>
      <c r="L29" s="24"/>
      <c r="M29" s="24"/>
      <c r="N29" s="37" t="s">
        <v>2343</v>
      </c>
      <c r="O29" s="37"/>
      <c r="P29" s="37"/>
      <c r="Q29" s="37" t="s">
        <v>71</v>
      </c>
      <c r="R29" s="37" t="s">
        <v>71</v>
      </c>
      <c r="S29" s="37" t="s">
        <v>2344</v>
      </c>
      <c r="T29" s="40" t="s">
        <v>2345</v>
      </c>
    </row>
    <row r="30" spans="1:20" ht="42" customHeight="1">
      <c r="A30" s="19" t="s">
        <v>270</v>
      </c>
      <c r="B30" s="19" t="s">
        <v>271</v>
      </c>
      <c r="C30" s="19" t="s">
        <v>272</v>
      </c>
      <c r="D30" s="19" t="s">
        <v>69</v>
      </c>
      <c r="E30" s="19" t="s">
        <v>2386</v>
      </c>
      <c r="F30" s="32"/>
      <c r="G30" s="32" t="s">
        <v>2387</v>
      </c>
      <c r="H30" s="32" t="s">
        <v>2366</v>
      </c>
      <c r="I30" s="24"/>
      <c r="J30" s="24"/>
      <c r="K30" s="24"/>
      <c r="L30" s="24"/>
      <c r="M30" s="24"/>
      <c r="N30" s="37" t="s">
        <v>2343</v>
      </c>
      <c r="O30" s="37"/>
      <c r="P30" s="37"/>
      <c r="Q30" s="37" t="s">
        <v>71</v>
      </c>
      <c r="R30" s="37" t="s">
        <v>71</v>
      </c>
      <c r="S30" s="37" t="s">
        <v>2344</v>
      </c>
      <c r="T30" s="40" t="s">
        <v>2345</v>
      </c>
    </row>
    <row r="31" spans="1:20" ht="42" customHeight="1">
      <c r="A31" s="19" t="s">
        <v>274</v>
      </c>
      <c r="B31" s="19" t="s">
        <v>275</v>
      </c>
      <c r="C31" s="19" t="s">
        <v>276</v>
      </c>
      <c r="D31" s="19" t="s">
        <v>55</v>
      </c>
      <c r="E31" s="19" t="s">
        <v>2355</v>
      </c>
      <c r="F31" s="32" t="s">
        <v>2356</v>
      </c>
      <c r="G31" s="32" t="s">
        <v>2357</v>
      </c>
      <c r="H31" s="32" t="s">
        <v>2349</v>
      </c>
      <c r="I31" s="24"/>
      <c r="J31" s="24"/>
      <c r="K31" s="24"/>
      <c r="L31" s="24"/>
      <c r="M31" s="24"/>
      <c r="N31" s="37" t="s">
        <v>2343</v>
      </c>
      <c r="O31" s="37"/>
      <c r="P31" s="37"/>
      <c r="Q31" s="37" t="s">
        <v>71</v>
      </c>
      <c r="R31" s="37" t="s">
        <v>71</v>
      </c>
      <c r="S31" s="37" t="s">
        <v>2344</v>
      </c>
      <c r="T31" s="40" t="s">
        <v>2345</v>
      </c>
    </row>
    <row r="32" spans="1:20" ht="42" customHeight="1">
      <c r="A32" s="19" t="s">
        <v>279</v>
      </c>
      <c r="B32" s="19" t="s">
        <v>280</v>
      </c>
      <c r="C32" s="19" t="s">
        <v>281</v>
      </c>
      <c r="D32" s="19" t="s">
        <v>61</v>
      </c>
      <c r="E32" s="19" t="s">
        <v>2388</v>
      </c>
      <c r="F32" s="32" t="s">
        <v>2356</v>
      </c>
      <c r="G32" s="32" t="s">
        <v>2389</v>
      </c>
      <c r="H32" s="32" t="s">
        <v>2349</v>
      </c>
      <c r="I32" s="24"/>
      <c r="J32" s="24"/>
      <c r="K32" s="24"/>
      <c r="L32" s="24"/>
      <c r="M32" s="24"/>
      <c r="N32" s="37" t="s">
        <v>2343</v>
      </c>
      <c r="O32" s="37"/>
      <c r="P32" s="37"/>
      <c r="Q32" s="37" t="s">
        <v>71</v>
      </c>
      <c r="R32" s="37" t="s">
        <v>71</v>
      </c>
      <c r="S32" s="37" t="s">
        <v>2344</v>
      </c>
      <c r="T32" s="40" t="s">
        <v>2345</v>
      </c>
    </row>
    <row r="33" spans="1:20" ht="42" customHeight="1">
      <c r="A33" s="19" t="s">
        <v>282</v>
      </c>
      <c r="B33" s="19" t="s">
        <v>283</v>
      </c>
      <c r="C33" s="19" t="s">
        <v>276</v>
      </c>
      <c r="D33" s="19" t="s">
        <v>55</v>
      </c>
      <c r="E33" s="19" t="s">
        <v>2355</v>
      </c>
      <c r="F33" s="32" t="s">
        <v>2356</v>
      </c>
      <c r="G33" s="32" t="s">
        <v>2357</v>
      </c>
      <c r="H33" s="32" t="s">
        <v>2349</v>
      </c>
      <c r="I33" s="24"/>
      <c r="J33" s="24"/>
      <c r="K33" s="24"/>
      <c r="L33" s="24"/>
      <c r="M33" s="24"/>
      <c r="N33" s="37" t="s">
        <v>2343</v>
      </c>
      <c r="O33" s="37"/>
      <c r="P33" s="37"/>
      <c r="Q33" s="37" t="s">
        <v>71</v>
      </c>
      <c r="R33" s="37" t="s">
        <v>71</v>
      </c>
      <c r="S33" s="37" t="s">
        <v>2344</v>
      </c>
      <c r="T33" s="40" t="s">
        <v>2345</v>
      </c>
    </row>
    <row r="34" spans="1:20" ht="42" customHeight="1">
      <c r="A34" s="19" t="s">
        <v>284</v>
      </c>
      <c r="B34" s="19" t="s">
        <v>285</v>
      </c>
      <c r="C34" s="19" t="s">
        <v>122</v>
      </c>
      <c r="D34" s="19" t="s">
        <v>61</v>
      </c>
      <c r="E34" s="19" t="s">
        <v>2339</v>
      </c>
      <c r="F34" s="32" t="s">
        <v>2340</v>
      </c>
      <c r="G34" s="32" t="s">
        <v>2341</v>
      </c>
      <c r="H34" s="32" t="s">
        <v>2342</v>
      </c>
      <c r="I34" s="24"/>
      <c r="J34" s="24"/>
      <c r="K34" s="24"/>
      <c r="L34" s="24"/>
      <c r="M34" s="24"/>
      <c r="N34" s="37" t="s">
        <v>2343</v>
      </c>
      <c r="O34" s="37"/>
      <c r="P34" s="37"/>
      <c r="Q34" s="37" t="s">
        <v>71</v>
      </c>
      <c r="R34" s="37" t="s">
        <v>71</v>
      </c>
      <c r="S34" s="37" t="s">
        <v>2344</v>
      </c>
      <c r="T34" s="40" t="s">
        <v>2345</v>
      </c>
    </row>
    <row r="35" spans="1:20" ht="42" customHeight="1">
      <c r="A35" s="19" t="s">
        <v>287</v>
      </c>
      <c r="B35" s="19" t="s">
        <v>288</v>
      </c>
      <c r="C35" s="19" t="s">
        <v>289</v>
      </c>
      <c r="D35" s="19" t="s">
        <v>48</v>
      </c>
      <c r="E35" s="19" t="s">
        <v>2339</v>
      </c>
      <c r="F35" s="32" t="s">
        <v>2340</v>
      </c>
      <c r="G35" s="32" t="s">
        <v>2341</v>
      </c>
      <c r="H35" s="32" t="s">
        <v>2342</v>
      </c>
      <c r="I35" s="24"/>
      <c r="J35" s="24"/>
      <c r="K35" s="24"/>
      <c r="L35" s="24"/>
      <c r="M35" s="24"/>
      <c r="N35" s="37" t="s">
        <v>2343</v>
      </c>
      <c r="O35" s="37"/>
      <c r="P35" s="37"/>
      <c r="Q35" s="37" t="s">
        <v>71</v>
      </c>
      <c r="R35" s="37" t="s">
        <v>71</v>
      </c>
      <c r="S35" s="37" t="s">
        <v>2344</v>
      </c>
      <c r="T35" s="40" t="s">
        <v>2345</v>
      </c>
    </row>
    <row r="36" spans="1:20" ht="42" customHeight="1">
      <c r="A36" s="19" t="s">
        <v>297</v>
      </c>
      <c r="B36" s="19" t="s">
        <v>298</v>
      </c>
      <c r="C36" s="19" t="s">
        <v>299</v>
      </c>
      <c r="D36" s="19" t="s">
        <v>75</v>
      </c>
      <c r="E36" s="19" t="s">
        <v>2390</v>
      </c>
      <c r="F36" s="32" t="s">
        <v>2391</v>
      </c>
      <c r="G36" s="32" t="s">
        <v>2392</v>
      </c>
      <c r="H36" s="32" t="s">
        <v>2393</v>
      </c>
      <c r="I36" s="24"/>
      <c r="J36" s="24"/>
      <c r="K36" s="24"/>
      <c r="L36" s="24"/>
      <c r="M36" s="24"/>
      <c r="N36" s="37" t="s">
        <v>2343</v>
      </c>
      <c r="O36" s="37"/>
      <c r="P36" s="37"/>
      <c r="Q36" s="37" t="s">
        <v>71</v>
      </c>
      <c r="R36" s="37" t="s">
        <v>71</v>
      </c>
      <c r="S36" s="37" t="s">
        <v>2344</v>
      </c>
      <c r="T36" s="40" t="s">
        <v>2345</v>
      </c>
    </row>
    <row r="37" spans="1:20" ht="42" customHeight="1">
      <c r="A37" s="19" t="s">
        <v>302</v>
      </c>
      <c r="B37" s="19" t="s">
        <v>303</v>
      </c>
      <c r="C37" s="19" t="s">
        <v>304</v>
      </c>
      <c r="D37" s="19" t="s">
        <v>81</v>
      </c>
      <c r="E37" s="19" t="s">
        <v>2339</v>
      </c>
      <c r="F37" s="32" t="s">
        <v>2340</v>
      </c>
      <c r="G37" s="32" t="s">
        <v>2341</v>
      </c>
      <c r="H37" s="32" t="s">
        <v>2342</v>
      </c>
      <c r="I37" s="24"/>
      <c r="J37" s="24"/>
      <c r="K37" s="24"/>
      <c r="L37" s="24"/>
      <c r="M37" s="24"/>
      <c r="N37" s="37" t="s">
        <v>2343</v>
      </c>
      <c r="O37" s="37"/>
      <c r="P37" s="37"/>
      <c r="Q37" s="37" t="s">
        <v>71</v>
      </c>
      <c r="R37" s="37" t="s">
        <v>71</v>
      </c>
      <c r="S37" s="37" t="s">
        <v>2344</v>
      </c>
      <c r="T37" s="40" t="s">
        <v>2345</v>
      </c>
    </row>
    <row r="38" spans="1:20" ht="42" customHeight="1">
      <c r="A38" s="19" t="s">
        <v>306</v>
      </c>
      <c r="B38" s="19" t="s">
        <v>307</v>
      </c>
      <c r="C38" s="19" t="s">
        <v>308</v>
      </c>
      <c r="D38" s="19" t="s">
        <v>75</v>
      </c>
      <c r="E38" s="19" t="s">
        <v>2350</v>
      </c>
      <c r="F38" s="32" t="s">
        <v>2340</v>
      </c>
      <c r="G38" s="32" t="s">
        <v>2351</v>
      </c>
      <c r="H38" s="32" t="s">
        <v>2352</v>
      </c>
      <c r="I38" s="24"/>
      <c r="J38" s="24"/>
      <c r="K38" s="24"/>
      <c r="L38" s="24"/>
      <c r="M38" s="24"/>
      <c r="N38" s="37" t="s">
        <v>2343</v>
      </c>
      <c r="O38" s="37"/>
      <c r="P38" s="37"/>
      <c r="Q38" s="37" t="s">
        <v>71</v>
      </c>
      <c r="R38" s="37" t="s">
        <v>71</v>
      </c>
      <c r="S38" s="37" t="s">
        <v>2344</v>
      </c>
      <c r="T38" s="40" t="s">
        <v>2345</v>
      </c>
    </row>
    <row r="39" spans="1:20" ht="42" customHeight="1">
      <c r="A39" s="19" t="s">
        <v>310</v>
      </c>
      <c r="B39" s="19" t="s">
        <v>311</v>
      </c>
      <c r="C39" s="19" t="s">
        <v>312</v>
      </c>
      <c r="D39" s="19" t="s">
        <v>81</v>
      </c>
      <c r="E39" s="19" t="s">
        <v>2339</v>
      </c>
      <c r="F39" s="32" t="s">
        <v>2340</v>
      </c>
      <c r="G39" s="32" t="s">
        <v>2341</v>
      </c>
      <c r="H39" s="32" t="s">
        <v>2342</v>
      </c>
      <c r="I39" s="24"/>
      <c r="J39" s="24"/>
      <c r="K39" s="24"/>
      <c r="L39" s="24"/>
      <c r="M39" s="24"/>
      <c r="N39" s="37" t="s">
        <v>2343</v>
      </c>
      <c r="O39" s="37"/>
      <c r="P39" s="37"/>
      <c r="Q39" s="37" t="s">
        <v>71</v>
      </c>
      <c r="R39" s="37" t="s">
        <v>71</v>
      </c>
      <c r="S39" s="37" t="s">
        <v>2344</v>
      </c>
      <c r="T39" s="40" t="s">
        <v>2345</v>
      </c>
    </row>
    <row r="40" spans="1:20" ht="42" customHeight="1">
      <c r="A40" s="19" t="s">
        <v>314</v>
      </c>
      <c r="B40" s="19" t="s">
        <v>315</v>
      </c>
      <c r="C40" s="19" t="s">
        <v>316</v>
      </c>
      <c r="D40" s="19" t="s">
        <v>79</v>
      </c>
      <c r="E40" s="19" t="s">
        <v>2355</v>
      </c>
      <c r="F40" s="32" t="s">
        <v>2356</v>
      </c>
      <c r="G40" s="32" t="s">
        <v>2357</v>
      </c>
      <c r="H40" s="32" t="s">
        <v>2349</v>
      </c>
      <c r="I40" s="24"/>
      <c r="J40" s="24"/>
      <c r="K40" s="24"/>
      <c r="L40" s="24"/>
      <c r="M40" s="24"/>
      <c r="N40" s="37" t="s">
        <v>2343</v>
      </c>
      <c r="O40" s="37"/>
      <c r="P40" s="37"/>
      <c r="Q40" s="37" t="s">
        <v>71</v>
      </c>
      <c r="R40" s="37" t="s">
        <v>71</v>
      </c>
      <c r="S40" s="37" t="s">
        <v>2344</v>
      </c>
      <c r="T40" s="40" t="s">
        <v>2345</v>
      </c>
    </row>
    <row r="41" spans="1:20" ht="42" customHeight="1">
      <c r="A41" s="19" t="s">
        <v>317</v>
      </c>
      <c r="B41" s="19" t="s">
        <v>318</v>
      </c>
      <c r="C41" s="19" t="s">
        <v>319</v>
      </c>
      <c r="D41" s="19" t="s">
        <v>81</v>
      </c>
      <c r="E41" s="19" t="s">
        <v>2394</v>
      </c>
      <c r="F41" s="32" t="s">
        <v>2340</v>
      </c>
      <c r="G41" s="32" t="s">
        <v>2395</v>
      </c>
      <c r="H41" s="32" t="s">
        <v>2396</v>
      </c>
      <c r="I41" s="24"/>
      <c r="J41" s="24"/>
      <c r="K41" s="24"/>
      <c r="L41" s="24"/>
      <c r="M41" s="24"/>
      <c r="N41" s="37" t="s">
        <v>2343</v>
      </c>
      <c r="O41" s="37"/>
      <c r="P41" s="37"/>
      <c r="Q41" s="37" t="s">
        <v>71</v>
      </c>
      <c r="R41" s="37" t="s">
        <v>71</v>
      </c>
      <c r="S41" s="37" t="s">
        <v>2344</v>
      </c>
      <c r="T41" s="40" t="s">
        <v>2345</v>
      </c>
    </row>
    <row r="42" spans="1:20" ht="42" customHeight="1">
      <c r="A42" s="19" t="s">
        <v>321</v>
      </c>
      <c r="B42" s="19" t="s">
        <v>322</v>
      </c>
      <c r="C42" s="19" t="s">
        <v>323</v>
      </c>
      <c r="D42" s="19" t="s">
        <v>75</v>
      </c>
      <c r="E42" s="19" t="s">
        <v>2397</v>
      </c>
      <c r="F42" s="32" t="s">
        <v>2340</v>
      </c>
      <c r="G42" s="32" t="s">
        <v>2398</v>
      </c>
      <c r="H42" s="32" t="s">
        <v>2352</v>
      </c>
      <c r="I42" s="24"/>
      <c r="J42" s="24"/>
      <c r="K42" s="24"/>
      <c r="L42" s="24"/>
      <c r="M42" s="24"/>
      <c r="N42" s="37" t="s">
        <v>2343</v>
      </c>
      <c r="O42" s="37"/>
      <c r="P42" s="37"/>
      <c r="Q42" s="37" t="s">
        <v>71</v>
      </c>
      <c r="R42" s="37" t="s">
        <v>71</v>
      </c>
      <c r="S42" s="37" t="s">
        <v>2344</v>
      </c>
      <c r="T42" s="40" t="s">
        <v>2345</v>
      </c>
    </row>
    <row r="43" spans="1:20" ht="42" customHeight="1">
      <c r="A43" s="19" t="s">
        <v>326</v>
      </c>
      <c r="B43" s="19" t="s">
        <v>327</v>
      </c>
      <c r="C43" s="19" t="s">
        <v>328</v>
      </c>
      <c r="D43" s="19" t="s">
        <v>81</v>
      </c>
      <c r="E43" s="19" t="s">
        <v>2399</v>
      </c>
      <c r="F43" s="32" t="s">
        <v>2340</v>
      </c>
      <c r="G43" s="32" t="s">
        <v>2400</v>
      </c>
      <c r="H43" s="32" t="s">
        <v>2349</v>
      </c>
      <c r="I43" s="24"/>
      <c r="J43" s="24"/>
      <c r="K43" s="24"/>
      <c r="L43" s="24"/>
      <c r="M43" s="24"/>
      <c r="N43" s="37" t="s">
        <v>2343</v>
      </c>
      <c r="O43" s="37"/>
      <c r="P43" s="37"/>
      <c r="Q43" s="37" t="s">
        <v>71</v>
      </c>
      <c r="R43" s="37" t="s">
        <v>71</v>
      </c>
      <c r="S43" s="37" t="s">
        <v>2344</v>
      </c>
      <c r="T43" s="40" t="s">
        <v>2345</v>
      </c>
    </row>
    <row r="44" spans="1:20" ht="42" customHeight="1">
      <c r="A44" s="19" t="s">
        <v>329</v>
      </c>
      <c r="B44" s="19" t="s">
        <v>330</v>
      </c>
      <c r="C44" s="19" t="s">
        <v>137</v>
      </c>
      <c r="D44" s="19" t="s">
        <v>61</v>
      </c>
      <c r="E44" s="19" t="s">
        <v>2401</v>
      </c>
      <c r="F44" s="32" t="s">
        <v>2340</v>
      </c>
      <c r="G44" s="32" t="s">
        <v>2402</v>
      </c>
      <c r="H44" s="32" t="s">
        <v>2352</v>
      </c>
      <c r="I44" s="24"/>
      <c r="J44" s="24"/>
      <c r="K44" s="24"/>
      <c r="L44" s="24"/>
      <c r="M44" s="24"/>
      <c r="N44" s="37" t="s">
        <v>2343</v>
      </c>
      <c r="O44" s="37"/>
      <c r="P44" s="37"/>
      <c r="Q44" s="37" t="s">
        <v>71</v>
      </c>
      <c r="R44" s="37" t="s">
        <v>71</v>
      </c>
      <c r="S44" s="37" t="s">
        <v>2344</v>
      </c>
      <c r="T44" s="40" t="s">
        <v>2345</v>
      </c>
    </row>
    <row r="45" spans="1:20" ht="42" customHeight="1">
      <c r="A45" s="19" t="s">
        <v>332</v>
      </c>
      <c r="B45" s="19" t="s">
        <v>333</v>
      </c>
      <c r="C45" s="19" t="s">
        <v>334</v>
      </c>
      <c r="D45" s="19" t="s">
        <v>81</v>
      </c>
      <c r="E45" s="19" t="s">
        <v>2403</v>
      </c>
      <c r="F45" s="32" t="s">
        <v>2340</v>
      </c>
      <c r="G45" s="32" t="s">
        <v>2404</v>
      </c>
      <c r="H45" s="32" t="s">
        <v>2349</v>
      </c>
      <c r="I45" s="24"/>
      <c r="J45" s="24"/>
      <c r="K45" s="24"/>
      <c r="L45" s="24"/>
      <c r="M45" s="24"/>
      <c r="N45" s="37" t="s">
        <v>2343</v>
      </c>
      <c r="O45" s="37"/>
      <c r="P45" s="37"/>
      <c r="Q45" s="37" t="s">
        <v>71</v>
      </c>
      <c r="R45" s="37" t="s">
        <v>71</v>
      </c>
      <c r="S45" s="37" t="s">
        <v>2344</v>
      </c>
      <c r="T45" s="40" t="s">
        <v>2345</v>
      </c>
    </row>
    <row r="46" spans="1:20" ht="42" customHeight="1">
      <c r="A46" s="19" t="s">
        <v>337</v>
      </c>
      <c r="B46" s="19" t="s">
        <v>338</v>
      </c>
      <c r="C46" s="19" t="s">
        <v>339</v>
      </c>
      <c r="D46" s="19" t="s">
        <v>75</v>
      </c>
      <c r="E46" s="19" t="s">
        <v>2355</v>
      </c>
      <c r="F46" s="32" t="s">
        <v>2356</v>
      </c>
      <c r="G46" s="32" t="s">
        <v>2357</v>
      </c>
      <c r="H46" s="32" t="s">
        <v>2349</v>
      </c>
      <c r="I46" s="24"/>
      <c r="J46" s="24"/>
      <c r="K46" s="24"/>
      <c r="L46" s="24"/>
      <c r="M46" s="24"/>
      <c r="N46" s="37" t="s">
        <v>2343</v>
      </c>
      <c r="O46" s="37"/>
      <c r="P46" s="37"/>
      <c r="Q46" s="37" t="s">
        <v>71</v>
      </c>
      <c r="R46" s="37" t="s">
        <v>71</v>
      </c>
      <c r="S46" s="37" t="s">
        <v>2344</v>
      </c>
      <c r="T46" s="40" t="s">
        <v>2345</v>
      </c>
    </row>
    <row r="47" spans="1:20" ht="42" customHeight="1">
      <c r="A47" s="19" t="s">
        <v>340</v>
      </c>
      <c r="B47" s="19" t="s">
        <v>341</v>
      </c>
      <c r="C47" s="19" t="s">
        <v>342</v>
      </c>
      <c r="D47" s="19" t="s">
        <v>75</v>
      </c>
      <c r="E47" s="19" t="s">
        <v>2405</v>
      </c>
      <c r="F47" s="32" t="s">
        <v>2406</v>
      </c>
      <c r="G47" s="32" t="s">
        <v>2407</v>
      </c>
      <c r="H47" s="32" t="s">
        <v>2408</v>
      </c>
      <c r="I47" s="24"/>
      <c r="J47" s="24"/>
      <c r="K47" s="24"/>
      <c r="L47" s="24"/>
      <c r="M47" s="24"/>
      <c r="N47" s="37" t="s">
        <v>2343</v>
      </c>
      <c r="O47" s="37"/>
      <c r="P47" s="37"/>
      <c r="Q47" s="37" t="s">
        <v>71</v>
      </c>
      <c r="R47" s="37" t="s">
        <v>71</v>
      </c>
      <c r="S47" s="37" t="s">
        <v>2344</v>
      </c>
      <c r="T47" s="40" t="s">
        <v>2345</v>
      </c>
    </row>
    <row r="48" spans="1:20" ht="42" customHeight="1">
      <c r="A48" s="19" t="s">
        <v>344</v>
      </c>
      <c r="B48" s="19" t="s">
        <v>345</v>
      </c>
      <c r="C48" s="19" t="s">
        <v>346</v>
      </c>
      <c r="D48" s="19" t="s">
        <v>81</v>
      </c>
      <c r="E48" s="19" t="s">
        <v>2339</v>
      </c>
      <c r="F48" s="32" t="s">
        <v>2340</v>
      </c>
      <c r="G48" s="32" t="s">
        <v>2341</v>
      </c>
      <c r="H48" s="32" t="s">
        <v>2342</v>
      </c>
      <c r="I48" s="24"/>
      <c r="J48" s="24"/>
      <c r="K48" s="24"/>
      <c r="L48" s="24"/>
      <c r="M48" s="24"/>
      <c r="N48" s="37" t="s">
        <v>2343</v>
      </c>
      <c r="O48" s="37"/>
      <c r="P48" s="37"/>
      <c r="Q48" s="37" t="s">
        <v>71</v>
      </c>
      <c r="R48" s="37" t="s">
        <v>71</v>
      </c>
      <c r="S48" s="37" t="s">
        <v>2344</v>
      </c>
      <c r="T48" s="40" t="s">
        <v>2345</v>
      </c>
    </row>
    <row r="49" spans="1:20" ht="42" customHeight="1">
      <c r="A49" s="19" t="s">
        <v>348</v>
      </c>
      <c r="B49" s="19" t="s">
        <v>349</v>
      </c>
      <c r="C49" s="19" t="s">
        <v>350</v>
      </c>
      <c r="D49" s="19" t="s">
        <v>90</v>
      </c>
      <c r="E49" s="19" t="s">
        <v>2339</v>
      </c>
      <c r="F49" s="32" t="s">
        <v>2340</v>
      </c>
      <c r="G49" s="32" t="s">
        <v>2341</v>
      </c>
      <c r="H49" s="32" t="s">
        <v>2342</v>
      </c>
      <c r="I49" s="24"/>
      <c r="J49" s="24"/>
      <c r="K49" s="24"/>
      <c r="L49" s="24"/>
      <c r="M49" s="24"/>
      <c r="N49" s="37" t="s">
        <v>2343</v>
      </c>
      <c r="O49" s="37"/>
      <c r="P49" s="37"/>
      <c r="Q49" s="37" t="s">
        <v>71</v>
      </c>
      <c r="R49" s="37" t="s">
        <v>71</v>
      </c>
      <c r="S49" s="37" t="s">
        <v>2344</v>
      </c>
      <c r="T49" s="40" t="s">
        <v>2345</v>
      </c>
    </row>
    <row r="50" spans="1:20" ht="42" customHeight="1">
      <c r="A50" s="19" t="s">
        <v>351</v>
      </c>
      <c r="B50" s="19" t="s">
        <v>352</v>
      </c>
      <c r="C50" s="19" t="s">
        <v>308</v>
      </c>
      <c r="D50" s="19" t="s">
        <v>81</v>
      </c>
      <c r="E50" s="19" t="s">
        <v>2350</v>
      </c>
      <c r="F50" s="32" t="s">
        <v>2340</v>
      </c>
      <c r="G50" s="32" t="s">
        <v>2351</v>
      </c>
      <c r="H50" s="32" t="s">
        <v>2352</v>
      </c>
      <c r="I50" s="24"/>
      <c r="J50" s="24"/>
      <c r="K50" s="24"/>
      <c r="L50" s="24"/>
      <c r="M50" s="24"/>
      <c r="N50" s="37" t="s">
        <v>2343</v>
      </c>
      <c r="O50" s="37"/>
      <c r="P50" s="37"/>
      <c r="Q50" s="37" t="s">
        <v>71</v>
      </c>
      <c r="R50" s="37" t="s">
        <v>71</v>
      </c>
      <c r="S50" s="37" t="s">
        <v>2344</v>
      </c>
      <c r="T50" s="40" t="s">
        <v>2345</v>
      </c>
    </row>
    <row r="51" spans="1:20" ht="42" customHeight="1">
      <c r="A51" s="19" t="s">
        <v>354</v>
      </c>
      <c r="B51" s="19" t="s">
        <v>355</v>
      </c>
      <c r="C51" s="19" t="s">
        <v>356</v>
      </c>
      <c r="D51" s="19" t="s">
        <v>75</v>
      </c>
      <c r="E51" s="19" t="s">
        <v>2409</v>
      </c>
      <c r="F51" s="32" t="s">
        <v>2340</v>
      </c>
      <c r="G51" s="32" t="s">
        <v>2410</v>
      </c>
      <c r="H51" s="32" t="s">
        <v>2352</v>
      </c>
      <c r="I51" s="24"/>
      <c r="J51" s="24"/>
      <c r="K51" s="24"/>
      <c r="L51" s="24"/>
      <c r="M51" s="24"/>
      <c r="N51" s="37" t="s">
        <v>2343</v>
      </c>
      <c r="O51" s="37"/>
      <c r="P51" s="37"/>
      <c r="Q51" s="37" t="s">
        <v>71</v>
      </c>
      <c r="R51" s="37" t="s">
        <v>71</v>
      </c>
      <c r="S51" s="37" t="s">
        <v>2344</v>
      </c>
      <c r="T51" s="40" t="s">
        <v>2345</v>
      </c>
    </row>
    <row r="52" spans="1:20" ht="42" customHeight="1">
      <c r="A52" s="19" t="s">
        <v>358</v>
      </c>
      <c r="B52" s="19" t="s">
        <v>359</v>
      </c>
      <c r="C52" s="19" t="s">
        <v>350</v>
      </c>
      <c r="D52" s="19" t="s">
        <v>90</v>
      </c>
      <c r="E52" s="19" t="s">
        <v>2339</v>
      </c>
      <c r="F52" s="32" t="s">
        <v>2340</v>
      </c>
      <c r="G52" s="32" t="s">
        <v>2341</v>
      </c>
      <c r="H52" s="32" t="s">
        <v>2342</v>
      </c>
      <c r="I52" s="24"/>
      <c r="J52" s="24"/>
      <c r="K52" s="24"/>
      <c r="L52" s="24"/>
      <c r="M52" s="24"/>
      <c r="N52" s="37" t="s">
        <v>2343</v>
      </c>
      <c r="O52" s="37"/>
      <c r="P52" s="37"/>
      <c r="Q52" s="37" t="s">
        <v>71</v>
      </c>
      <c r="R52" s="37" t="s">
        <v>71</v>
      </c>
      <c r="S52" s="37" t="s">
        <v>2344</v>
      </c>
      <c r="T52" s="40" t="s">
        <v>2345</v>
      </c>
    </row>
    <row r="53" spans="1:20" ht="42" customHeight="1">
      <c r="A53" s="19" t="s">
        <v>360</v>
      </c>
      <c r="B53" s="19" t="s">
        <v>361</v>
      </c>
      <c r="C53" s="19" t="s">
        <v>362</v>
      </c>
      <c r="D53" s="19" t="s">
        <v>90</v>
      </c>
      <c r="E53" s="19" t="s">
        <v>2346</v>
      </c>
      <c r="F53" s="32" t="s">
        <v>2347</v>
      </c>
      <c r="G53" s="32" t="s">
        <v>2348</v>
      </c>
      <c r="H53" s="32" t="s">
        <v>2349</v>
      </c>
      <c r="I53" s="24"/>
      <c r="J53" s="24"/>
      <c r="K53" s="24"/>
      <c r="L53" s="24"/>
      <c r="M53" s="24"/>
      <c r="N53" s="37" t="s">
        <v>2343</v>
      </c>
      <c r="O53" s="37"/>
      <c r="P53" s="37"/>
      <c r="Q53" s="37" t="s">
        <v>71</v>
      </c>
      <c r="R53" s="37" t="s">
        <v>71</v>
      </c>
      <c r="S53" s="37" t="s">
        <v>2344</v>
      </c>
      <c r="T53" s="40" t="s">
        <v>2345</v>
      </c>
    </row>
    <row r="54" spans="1:20" ht="42" customHeight="1">
      <c r="A54" s="19" t="s">
        <v>364</v>
      </c>
      <c r="B54" s="19" t="s">
        <v>365</v>
      </c>
      <c r="C54" s="19" t="s">
        <v>308</v>
      </c>
      <c r="D54" s="19" t="s">
        <v>72</v>
      </c>
      <c r="E54" s="19" t="s">
        <v>2350</v>
      </c>
      <c r="F54" s="32" t="s">
        <v>2340</v>
      </c>
      <c r="G54" s="32" t="s">
        <v>2351</v>
      </c>
      <c r="H54" s="32" t="s">
        <v>2352</v>
      </c>
      <c r="I54" s="24"/>
      <c r="J54" s="24"/>
      <c r="K54" s="24"/>
      <c r="L54" s="24"/>
      <c r="M54" s="24"/>
      <c r="N54" s="37" t="s">
        <v>2343</v>
      </c>
      <c r="O54" s="37"/>
      <c r="P54" s="37"/>
      <c r="Q54" s="37" t="s">
        <v>71</v>
      </c>
      <c r="R54" s="37" t="s">
        <v>71</v>
      </c>
      <c r="S54" s="37" t="s">
        <v>2344</v>
      </c>
      <c r="T54" s="40" t="s">
        <v>2345</v>
      </c>
    </row>
    <row r="55" spans="1:20" ht="42" customHeight="1">
      <c r="A55" s="19" t="s">
        <v>367</v>
      </c>
      <c r="B55" s="19" t="s">
        <v>368</v>
      </c>
      <c r="C55" s="19" t="s">
        <v>369</v>
      </c>
      <c r="D55" s="19" t="s">
        <v>92</v>
      </c>
      <c r="E55" s="19" t="s">
        <v>2409</v>
      </c>
      <c r="F55" s="32" t="s">
        <v>2340</v>
      </c>
      <c r="G55" s="32" t="s">
        <v>2410</v>
      </c>
      <c r="H55" s="32" t="s">
        <v>2352</v>
      </c>
      <c r="I55" s="24"/>
      <c r="J55" s="24"/>
      <c r="K55" s="24"/>
      <c r="L55" s="24"/>
      <c r="M55" s="24"/>
      <c r="N55" s="37" t="s">
        <v>2343</v>
      </c>
      <c r="O55" s="37"/>
      <c r="P55" s="37"/>
      <c r="Q55" s="37" t="s">
        <v>71</v>
      </c>
      <c r="R55" s="37" t="s">
        <v>71</v>
      </c>
      <c r="S55" s="37" t="s">
        <v>2344</v>
      </c>
      <c r="T55" s="40" t="s">
        <v>2345</v>
      </c>
    </row>
    <row r="56" spans="1:20" ht="42" customHeight="1">
      <c r="A56" s="19" t="s">
        <v>371</v>
      </c>
      <c r="B56" s="19" t="s">
        <v>372</v>
      </c>
      <c r="C56" s="19" t="s">
        <v>369</v>
      </c>
      <c r="D56" s="19" t="s">
        <v>69</v>
      </c>
      <c r="E56" s="19" t="s">
        <v>2409</v>
      </c>
      <c r="F56" s="32" t="s">
        <v>2340</v>
      </c>
      <c r="G56" s="32" t="s">
        <v>2410</v>
      </c>
      <c r="H56" s="32" t="s">
        <v>2352</v>
      </c>
      <c r="I56" s="24"/>
      <c r="J56" s="24"/>
      <c r="K56" s="24"/>
      <c r="L56" s="24"/>
      <c r="M56" s="24"/>
      <c r="N56" s="37" t="s">
        <v>2343</v>
      </c>
      <c r="O56" s="37"/>
      <c r="P56" s="37"/>
      <c r="Q56" s="37" t="s">
        <v>71</v>
      </c>
      <c r="R56" s="37" t="s">
        <v>71</v>
      </c>
      <c r="S56" s="37" t="s">
        <v>2344</v>
      </c>
      <c r="T56" s="40" t="s">
        <v>2345</v>
      </c>
    </row>
    <row r="57" spans="1:20" ht="42" customHeight="1">
      <c r="A57" s="19" t="s">
        <v>374</v>
      </c>
      <c r="B57" s="19" t="s">
        <v>375</v>
      </c>
      <c r="C57" s="19" t="s">
        <v>376</v>
      </c>
      <c r="D57" s="19" t="s">
        <v>72</v>
      </c>
      <c r="E57" s="19" t="s">
        <v>2411</v>
      </c>
      <c r="F57" s="32"/>
      <c r="G57" s="32" t="s">
        <v>2412</v>
      </c>
      <c r="H57" s="32" t="s">
        <v>2366</v>
      </c>
      <c r="I57" s="24"/>
      <c r="J57" s="24"/>
      <c r="K57" s="24"/>
      <c r="L57" s="24"/>
      <c r="M57" s="24"/>
      <c r="N57" s="37" t="s">
        <v>2343</v>
      </c>
      <c r="O57" s="37"/>
      <c r="P57" s="37"/>
      <c r="Q57" s="37" t="s">
        <v>71</v>
      </c>
      <c r="R57" s="37" t="s">
        <v>71</v>
      </c>
      <c r="S57" s="37" t="s">
        <v>2344</v>
      </c>
      <c r="T57" s="40" t="s">
        <v>2345</v>
      </c>
    </row>
    <row r="58" spans="1:20" ht="42" customHeight="1">
      <c r="A58" s="19" t="s">
        <v>378</v>
      </c>
      <c r="B58" s="19" t="s">
        <v>379</v>
      </c>
      <c r="C58" s="19" t="s">
        <v>369</v>
      </c>
      <c r="D58" s="19" t="s">
        <v>61</v>
      </c>
      <c r="E58" s="19" t="s">
        <v>2409</v>
      </c>
      <c r="F58" s="32" t="s">
        <v>2340</v>
      </c>
      <c r="G58" s="32" t="s">
        <v>2410</v>
      </c>
      <c r="H58" s="32" t="s">
        <v>2352</v>
      </c>
      <c r="I58" s="24"/>
      <c r="J58" s="24"/>
      <c r="K58" s="24"/>
      <c r="L58" s="24"/>
      <c r="M58" s="24"/>
      <c r="N58" s="37" t="s">
        <v>2343</v>
      </c>
      <c r="O58" s="37"/>
      <c r="P58" s="37"/>
      <c r="Q58" s="37" t="s">
        <v>71</v>
      </c>
      <c r="R58" s="37" t="s">
        <v>71</v>
      </c>
      <c r="S58" s="37" t="s">
        <v>2344</v>
      </c>
      <c r="T58" s="40" t="s">
        <v>2345</v>
      </c>
    </row>
    <row r="59" spans="1:20" ht="42" customHeight="1">
      <c r="A59" s="19" t="s">
        <v>380</v>
      </c>
      <c r="B59" s="19" t="s">
        <v>381</v>
      </c>
      <c r="C59" s="19" t="s">
        <v>382</v>
      </c>
      <c r="D59" s="19" t="s">
        <v>58</v>
      </c>
      <c r="E59" s="19" t="s">
        <v>2413</v>
      </c>
      <c r="F59" s="32" t="s">
        <v>2340</v>
      </c>
      <c r="G59" s="32" t="s">
        <v>2414</v>
      </c>
      <c r="H59" s="32" t="s">
        <v>2352</v>
      </c>
      <c r="I59" s="24"/>
      <c r="J59" s="24"/>
      <c r="K59" s="24"/>
      <c r="L59" s="24"/>
      <c r="M59" s="24"/>
      <c r="N59" s="37" t="s">
        <v>2343</v>
      </c>
      <c r="O59" s="37"/>
      <c r="P59" s="37"/>
      <c r="Q59" s="37" t="s">
        <v>71</v>
      </c>
      <c r="R59" s="37" t="s">
        <v>71</v>
      </c>
      <c r="S59" s="37" t="s">
        <v>2344</v>
      </c>
      <c r="T59" s="40" t="s">
        <v>2345</v>
      </c>
    </row>
    <row r="60" spans="1:20" ht="42" customHeight="1">
      <c r="A60" s="19" t="s">
        <v>384</v>
      </c>
      <c r="B60" s="19" t="s">
        <v>385</v>
      </c>
      <c r="C60" s="19" t="s">
        <v>386</v>
      </c>
      <c r="D60" s="19" t="s">
        <v>58</v>
      </c>
      <c r="E60" s="19" t="s">
        <v>2399</v>
      </c>
      <c r="F60" s="32" t="s">
        <v>2340</v>
      </c>
      <c r="G60" s="32" t="s">
        <v>2400</v>
      </c>
      <c r="H60" s="32" t="s">
        <v>2349</v>
      </c>
      <c r="I60" s="24"/>
      <c r="J60" s="24"/>
      <c r="K60" s="24"/>
      <c r="L60" s="24"/>
      <c r="M60" s="24"/>
      <c r="N60" s="37" t="s">
        <v>2343</v>
      </c>
      <c r="O60" s="37"/>
      <c r="P60" s="37"/>
      <c r="Q60" s="37" t="s">
        <v>71</v>
      </c>
      <c r="R60" s="37" t="s">
        <v>71</v>
      </c>
      <c r="S60" s="37" t="s">
        <v>2344</v>
      </c>
      <c r="T60" s="40" t="s">
        <v>2345</v>
      </c>
    </row>
    <row r="61" spans="1:20" ht="42" customHeight="1">
      <c r="A61" s="19" t="s">
        <v>387</v>
      </c>
      <c r="B61" s="19" t="s">
        <v>388</v>
      </c>
      <c r="C61" s="19" t="s">
        <v>299</v>
      </c>
      <c r="D61" s="19" t="s">
        <v>77</v>
      </c>
      <c r="E61" s="19" t="s">
        <v>2415</v>
      </c>
      <c r="F61" s="32" t="s">
        <v>2340</v>
      </c>
      <c r="G61" s="32" t="s">
        <v>2416</v>
      </c>
      <c r="H61" s="32" t="s">
        <v>2417</v>
      </c>
      <c r="I61" s="24"/>
      <c r="J61" s="24"/>
      <c r="K61" s="24"/>
      <c r="L61" s="24"/>
      <c r="M61" s="24"/>
      <c r="N61" s="37" t="s">
        <v>2343</v>
      </c>
      <c r="O61" s="37"/>
      <c r="P61" s="37"/>
      <c r="Q61" s="37" t="s">
        <v>71</v>
      </c>
      <c r="R61" s="37" t="s">
        <v>71</v>
      </c>
      <c r="S61" s="37" t="s">
        <v>2344</v>
      </c>
      <c r="T61" s="40" t="s">
        <v>2345</v>
      </c>
    </row>
    <row r="62" spans="1:20" ht="42" customHeight="1">
      <c r="A62" s="19" t="s">
        <v>390</v>
      </c>
      <c r="B62" s="19" t="s">
        <v>391</v>
      </c>
      <c r="C62" s="19" t="s">
        <v>299</v>
      </c>
      <c r="D62" s="19" t="s">
        <v>75</v>
      </c>
      <c r="E62" s="19" t="s">
        <v>2415</v>
      </c>
      <c r="F62" s="32" t="s">
        <v>2340</v>
      </c>
      <c r="G62" s="32" t="s">
        <v>2416</v>
      </c>
      <c r="H62" s="32" t="s">
        <v>2417</v>
      </c>
      <c r="I62" s="24"/>
      <c r="J62" s="24"/>
      <c r="K62" s="24"/>
      <c r="L62" s="24"/>
      <c r="M62" s="24"/>
      <c r="N62" s="37" t="s">
        <v>2343</v>
      </c>
      <c r="O62" s="37"/>
      <c r="P62" s="37"/>
      <c r="Q62" s="37" t="s">
        <v>71</v>
      </c>
      <c r="R62" s="37" t="s">
        <v>71</v>
      </c>
      <c r="S62" s="37" t="s">
        <v>2344</v>
      </c>
      <c r="T62" s="40" t="s">
        <v>2345</v>
      </c>
    </row>
    <row r="63" spans="1:20" ht="42" customHeight="1">
      <c r="A63" s="19" t="s">
        <v>393</v>
      </c>
      <c r="B63" s="19" t="s">
        <v>394</v>
      </c>
      <c r="C63" s="19" t="s">
        <v>395</v>
      </c>
      <c r="D63" s="19" t="s">
        <v>61</v>
      </c>
      <c r="E63" s="19" t="s">
        <v>2418</v>
      </c>
      <c r="F63" s="32" t="s">
        <v>2340</v>
      </c>
      <c r="G63" s="32" t="s">
        <v>2419</v>
      </c>
      <c r="H63" s="32" t="s">
        <v>2352</v>
      </c>
      <c r="I63" s="24"/>
      <c r="J63" s="24"/>
      <c r="K63" s="24"/>
      <c r="L63" s="24"/>
      <c r="M63" s="24"/>
      <c r="N63" s="37" t="s">
        <v>2343</v>
      </c>
      <c r="O63" s="37"/>
      <c r="P63" s="37"/>
      <c r="Q63" s="37" t="s">
        <v>71</v>
      </c>
      <c r="R63" s="37" t="s">
        <v>71</v>
      </c>
      <c r="S63" s="37" t="s">
        <v>2344</v>
      </c>
      <c r="T63" s="40" t="s">
        <v>2345</v>
      </c>
    </row>
    <row r="64" spans="1:20" ht="42" customHeight="1">
      <c r="A64" s="19" t="s">
        <v>396</v>
      </c>
      <c r="B64" s="19" t="s">
        <v>397</v>
      </c>
      <c r="C64" s="19" t="s">
        <v>398</v>
      </c>
      <c r="D64" s="19" t="s">
        <v>79</v>
      </c>
      <c r="E64" s="19" t="s">
        <v>2420</v>
      </c>
      <c r="F64" s="32" t="s">
        <v>2340</v>
      </c>
      <c r="G64" s="32" t="s">
        <v>2421</v>
      </c>
      <c r="H64" s="32" t="s">
        <v>2352</v>
      </c>
      <c r="I64" s="24"/>
      <c r="J64" s="24"/>
      <c r="K64" s="24"/>
      <c r="L64" s="24"/>
      <c r="M64" s="24"/>
      <c r="N64" s="37" t="s">
        <v>2343</v>
      </c>
      <c r="O64" s="37"/>
      <c r="P64" s="37"/>
      <c r="Q64" s="37" t="s">
        <v>71</v>
      </c>
      <c r="R64" s="37" t="s">
        <v>71</v>
      </c>
      <c r="S64" s="37" t="s">
        <v>2344</v>
      </c>
      <c r="T64" s="40" t="s">
        <v>2345</v>
      </c>
    </row>
    <row r="65" spans="1:20" ht="42" customHeight="1">
      <c r="A65" s="19" t="s">
        <v>399</v>
      </c>
      <c r="B65" s="19" t="s">
        <v>400</v>
      </c>
      <c r="C65" s="19" t="s">
        <v>401</v>
      </c>
      <c r="D65" s="19" t="s">
        <v>92</v>
      </c>
      <c r="E65" s="19" t="s">
        <v>2422</v>
      </c>
      <c r="F65" s="32" t="s">
        <v>2340</v>
      </c>
      <c r="G65" s="32" t="s">
        <v>2423</v>
      </c>
      <c r="H65" s="32" t="s">
        <v>2352</v>
      </c>
      <c r="I65" s="24"/>
      <c r="J65" s="24"/>
      <c r="K65" s="24"/>
      <c r="L65" s="24"/>
      <c r="M65" s="24"/>
      <c r="N65" s="37" t="s">
        <v>2343</v>
      </c>
      <c r="O65" s="37"/>
      <c r="P65" s="37"/>
      <c r="Q65" s="37" t="s">
        <v>71</v>
      </c>
      <c r="R65" s="37" t="s">
        <v>71</v>
      </c>
      <c r="S65" s="37" t="s">
        <v>2344</v>
      </c>
      <c r="T65" s="40" t="s">
        <v>2345</v>
      </c>
    </row>
    <row r="66" spans="1:20" ht="42" customHeight="1">
      <c r="A66" s="19" t="s">
        <v>402</v>
      </c>
      <c r="B66" s="19" t="s">
        <v>403</v>
      </c>
      <c r="C66" s="19" t="s">
        <v>404</v>
      </c>
      <c r="D66" s="19" t="s">
        <v>75</v>
      </c>
      <c r="E66" s="19" t="s">
        <v>2424</v>
      </c>
      <c r="F66" s="32" t="s">
        <v>2356</v>
      </c>
      <c r="G66" s="32" t="s">
        <v>2425</v>
      </c>
      <c r="H66" s="32" t="s">
        <v>2349</v>
      </c>
      <c r="I66" s="24"/>
      <c r="J66" s="24"/>
      <c r="K66" s="24"/>
      <c r="L66" s="24"/>
      <c r="M66" s="24"/>
      <c r="N66" s="37" t="s">
        <v>2343</v>
      </c>
      <c r="O66" s="37"/>
      <c r="P66" s="37"/>
      <c r="Q66" s="37" t="s">
        <v>71</v>
      </c>
      <c r="R66" s="37" t="s">
        <v>71</v>
      </c>
      <c r="S66" s="37" t="s">
        <v>2344</v>
      </c>
      <c r="T66" s="40" t="s">
        <v>2345</v>
      </c>
    </row>
    <row r="67" spans="1:20" ht="42" customHeight="1">
      <c r="A67" s="19" t="s">
        <v>406</v>
      </c>
      <c r="B67" s="19" t="s">
        <v>407</v>
      </c>
      <c r="C67" s="19" t="s">
        <v>408</v>
      </c>
      <c r="D67" s="19" t="s">
        <v>88</v>
      </c>
      <c r="E67" s="19" t="s">
        <v>2426</v>
      </c>
      <c r="F67" s="32" t="s">
        <v>2340</v>
      </c>
      <c r="G67" s="32" t="s">
        <v>2427</v>
      </c>
      <c r="H67" s="32" t="s">
        <v>2352</v>
      </c>
      <c r="I67" s="24"/>
      <c r="J67" s="24"/>
      <c r="K67" s="24"/>
      <c r="L67" s="24"/>
      <c r="M67" s="24"/>
      <c r="N67" s="37" t="s">
        <v>2343</v>
      </c>
      <c r="O67" s="37"/>
      <c r="P67" s="37"/>
      <c r="Q67" s="37" t="s">
        <v>71</v>
      </c>
      <c r="R67" s="37" t="s">
        <v>71</v>
      </c>
      <c r="S67" s="37" t="s">
        <v>2344</v>
      </c>
      <c r="T67" s="40" t="s">
        <v>2345</v>
      </c>
    </row>
    <row r="68" spans="1:20" ht="42" customHeight="1">
      <c r="A68" s="19" t="s">
        <v>409</v>
      </c>
      <c r="B68" s="19" t="s">
        <v>410</v>
      </c>
      <c r="C68" s="19" t="s">
        <v>411</v>
      </c>
      <c r="D68" s="19" t="s">
        <v>72</v>
      </c>
      <c r="E68" s="19" t="s">
        <v>2428</v>
      </c>
      <c r="F68" s="32" t="s">
        <v>2340</v>
      </c>
      <c r="G68" s="32" t="s">
        <v>2429</v>
      </c>
      <c r="H68" s="32" t="s">
        <v>2352</v>
      </c>
      <c r="I68" s="24"/>
      <c r="J68" s="24"/>
      <c r="K68" s="24"/>
      <c r="L68" s="24"/>
      <c r="M68" s="24"/>
      <c r="N68" s="37" t="s">
        <v>2343</v>
      </c>
      <c r="O68" s="37"/>
      <c r="P68" s="37"/>
      <c r="Q68" s="37" t="s">
        <v>71</v>
      </c>
      <c r="R68" s="37" t="s">
        <v>71</v>
      </c>
      <c r="S68" s="37" t="s">
        <v>2344</v>
      </c>
      <c r="T68" s="40" t="s">
        <v>2345</v>
      </c>
    </row>
    <row r="69" spans="1:20" ht="42" customHeight="1">
      <c r="A69" s="19" t="s">
        <v>413</v>
      </c>
      <c r="B69" s="19" t="s">
        <v>414</v>
      </c>
      <c r="C69" s="19" t="s">
        <v>415</v>
      </c>
      <c r="D69" s="19" t="s">
        <v>61</v>
      </c>
      <c r="E69" s="19" t="s">
        <v>2430</v>
      </c>
      <c r="F69" s="32" t="s">
        <v>2340</v>
      </c>
      <c r="G69" s="32" t="s">
        <v>2431</v>
      </c>
      <c r="H69" s="32" t="s">
        <v>2352</v>
      </c>
      <c r="I69" s="24"/>
      <c r="J69" s="24"/>
      <c r="K69" s="24"/>
      <c r="L69" s="24"/>
      <c r="M69" s="24"/>
      <c r="N69" s="37" t="s">
        <v>2343</v>
      </c>
      <c r="O69" s="37"/>
      <c r="P69" s="37"/>
      <c r="Q69" s="37" t="s">
        <v>71</v>
      </c>
      <c r="R69" s="37" t="s">
        <v>71</v>
      </c>
      <c r="S69" s="37" t="s">
        <v>2344</v>
      </c>
      <c r="T69" s="40" t="s">
        <v>2345</v>
      </c>
    </row>
    <row r="70" spans="1:20" ht="42" customHeight="1">
      <c r="A70" s="19" t="s">
        <v>416</v>
      </c>
      <c r="B70" s="19" t="s">
        <v>417</v>
      </c>
      <c r="C70" s="19" t="s">
        <v>418</v>
      </c>
      <c r="D70" s="19" t="s">
        <v>92</v>
      </c>
      <c r="E70" s="19" t="s">
        <v>2432</v>
      </c>
      <c r="F70" s="32" t="s">
        <v>2347</v>
      </c>
      <c r="G70" s="32" t="s">
        <v>2433</v>
      </c>
      <c r="H70" s="32" t="s">
        <v>2417</v>
      </c>
      <c r="I70" s="24"/>
      <c r="J70" s="24"/>
      <c r="K70" s="24"/>
      <c r="L70" s="24"/>
      <c r="M70" s="24"/>
      <c r="N70" s="37" t="s">
        <v>2343</v>
      </c>
      <c r="O70" s="37"/>
      <c r="P70" s="37"/>
      <c r="Q70" s="37" t="s">
        <v>71</v>
      </c>
      <c r="R70" s="37" t="s">
        <v>71</v>
      </c>
      <c r="S70" s="37" t="s">
        <v>2344</v>
      </c>
      <c r="T70" s="40" t="s">
        <v>2345</v>
      </c>
    </row>
    <row r="71" spans="1:20" ht="42" customHeight="1">
      <c r="A71" s="19" t="s">
        <v>420</v>
      </c>
      <c r="B71" s="19" t="s">
        <v>421</v>
      </c>
      <c r="C71" s="19" t="s">
        <v>422</v>
      </c>
      <c r="D71" s="19" t="s">
        <v>55</v>
      </c>
      <c r="E71" s="19" t="s">
        <v>2355</v>
      </c>
      <c r="F71" s="32" t="s">
        <v>2356</v>
      </c>
      <c r="G71" s="32" t="s">
        <v>2357</v>
      </c>
      <c r="H71" s="32" t="s">
        <v>2349</v>
      </c>
      <c r="I71" s="24"/>
      <c r="J71" s="24"/>
      <c r="K71" s="24"/>
      <c r="L71" s="24"/>
      <c r="M71" s="24"/>
      <c r="N71" s="37" t="s">
        <v>2343</v>
      </c>
      <c r="O71" s="37"/>
      <c r="P71" s="37"/>
      <c r="Q71" s="37" t="s">
        <v>71</v>
      </c>
      <c r="R71" s="37" t="s">
        <v>71</v>
      </c>
      <c r="S71" s="37" t="s">
        <v>2344</v>
      </c>
      <c r="T71" s="40" t="s">
        <v>2345</v>
      </c>
    </row>
    <row r="72" spans="1:20" ht="42" customHeight="1">
      <c r="A72" s="19" t="s">
        <v>424</v>
      </c>
      <c r="B72" s="19" t="s">
        <v>425</v>
      </c>
      <c r="C72" s="19" t="s">
        <v>426</v>
      </c>
      <c r="D72" s="19" t="s">
        <v>72</v>
      </c>
      <c r="E72" s="19" t="s">
        <v>2434</v>
      </c>
      <c r="F72" s="32" t="s">
        <v>2340</v>
      </c>
      <c r="G72" s="32" t="s">
        <v>2435</v>
      </c>
      <c r="H72" s="32" t="s">
        <v>2352</v>
      </c>
      <c r="I72" s="24"/>
      <c r="J72" s="24"/>
      <c r="K72" s="24"/>
      <c r="L72" s="24"/>
      <c r="M72" s="24"/>
      <c r="N72" s="37" t="s">
        <v>2343</v>
      </c>
      <c r="O72" s="37"/>
      <c r="P72" s="37"/>
      <c r="Q72" s="37" t="s">
        <v>71</v>
      </c>
      <c r="R72" s="37" t="s">
        <v>71</v>
      </c>
      <c r="S72" s="37" t="s">
        <v>2344</v>
      </c>
      <c r="T72" s="40" t="s">
        <v>2345</v>
      </c>
    </row>
    <row r="73" spans="1:20" ht="42" customHeight="1">
      <c r="A73" s="19" t="s">
        <v>427</v>
      </c>
      <c r="B73" s="19" t="s">
        <v>428</v>
      </c>
      <c r="C73" s="19" t="s">
        <v>429</v>
      </c>
      <c r="D73" s="19" t="s">
        <v>72</v>
      </c>
      <c r="E73" s="19" t="s">
        <v>2399</v>
      </c>
      <c r="F73" s="32" t="s">
        <v>2340</v>
      </c>
      <c r="G73" s="32" t="s">
        <v>2400</v>
      </c>
      <c r="H73" s="32" t="s">
        <v>2349</v>
      </c>
      <c r="I73" s="24"/>
      <c r="J73" s="24"/>
      <c r="K73" s="24"/>
      <c r="L73" s="24"/>
      <c r="M73" s="24"/>
      <c r="N73" s="37" t="s">
        <v>2343</v>
      </c>
      <c r="O73" s="37"/>
      <c r="P73" s="37"/>
      <c r="Q73" s="37" t="s">
        <v>71</v>
      </c>
      <c r="R73" s="37" t="s">
        <v>71</v>
      </c>
      <c r="S73" s="37" t="s">
        <v>2344</v>
      </c>
      <c r="T73" s="40" t="s">
        <v>2345</v>
      </c>
    </row>
    <row r="74" spans="1:20" ht="42" customHeight="1">
      <c r="A74" s="19" t="s">
        <v>430</v>
      </c>
      <c r="B74" s="19" t="s">
        <v>431</v>
      </c>
      <c r="C74" s="19" t="s">
        <v>432</v>
      </c>
      <c r="D74" s="19" t="s">
        <v>83</v>
      </c>
      <c r="E74" s="19" t="s">
        <v>2436</v>
      </c>
      <c r="F74" s="32" t="s">
        <v>2356</v>
      </c>
      <c r="G74" s="32" t="s">
        <v>2437</v>
      </c>
      <c r="H74" s="32" t="s">
        <v>2417</v>
      </c>
      <c r="I74" s="24"/>
      <c r="J74" s="24"/>
      <c r="K74" s="24"/>
      <c r="L74" s="24"/>
      <c r="M74" s="24"/>
      <c r="N74" s="37" t="s">
        <v>2343</v>
      </c>
      <c r="O74" s="37"/>
      <c r="P74" s="37"/>
      <c r="Q74" s="37" t="s">
        <v>71</v>
      </c>
      <c r="R74" s="37" t="s">
        <v>71</v>
      </c>
      <c r="S74" s="37" t="s">
        <v>2344</v>
      </c>
      <c r="T74" s="40" t="s">
        <v>2345</v>
      </c>
    </row>
    <row r="75" spans="1:20" ht="42" customHeight="1">
      <c r="A75" s="19" t="s">
        <v>433</v>
      </c>
      <c r="B75" s="19" t="s">
        <v>434</v>
      </c>
      <c r="C75" s="19" t="s">
        <v>435</v>
      </c>
      <c r="D75" s="19" t="s">
        <v>72</v>
      </c>
      <c r="E75" s="19" t="s">
        <v>2434</v>
      </c>
      <c r="F75" s="32" t="s">
        <v>2340</v>
      </c>
      <c r="G75" s="32" t="s">
        <v>2435</v>
      </c>
      <c r="H75" s="32" t="s">
        <v>2352</v>
      </c>
      <c r="I75" s="24"/>
      <c r="J75" s="24"/>
      <c r="K75" s="24"/>
      <c r="L75" s="24"/>
      <c r="M75" s="24"/>
      <c r="N75" s="37" t="s">
        <v>2343</v>
      </c>
      <c r="O75" s="37"/>
      <c r="P75" s="37"/>
      <c r="Q75" s="37" t="s">
        <v>71</v>
      </c>
      <c r="R75" s="37" t="s">
        <v>71</v>
      </c>
      <c r="S75" s="37" t="s">
        <v>2344</v>
      </c>
      <c r="T75" s="40" t="s">
        <v>2345</v>
      </c>
    </row>
    <row r="76" spans="1:20" ht="42" customHeight="1">
      <c r="A76" s="19" t="s">
        <v>436</v>
      </c>
      <c r="B76" s="19" t="s">
        <v>437</v>
      </c>
      <c r="C76" s="19" t="s">
        <v>438</v>
      </c>
      <c r="D76" s="19" t="s">
        <v>81</v>
      </c>
      <c r="E76" s="19" t="s">
        <v>2438</v>
      </c>
      <c r="F76" s="32" t="s">
        <v>2340</v>
      </c>
      <c r="G76" s="32" t="s">
        <v>2439</v>
      </c>
      <c r="H76" s="32" t="s">
        <v>2352</v>
      </c>
      <c r="I76" s="24"/>
      <c r="J76" s="24"/>
      <c r="K76" s="24"/>
      <c r="L76" s="24"/>
      <c r="M76" s="24"/>
      <c r="N76" s="37" t="s">
        <v>2343</v>
      </c>
      <c r="O76" s="37"/>
      <c r="P76" s="37"/>
      <c r="Q76" s="37" t="s">
        <v>71</v>
      </c>
      <c r="R76" s="37" t="s">
        <v>71</v>
      </c>
      <c r="S76" s="37" t="s">
        <v>2344</v>
      </c>
      <c r="T76" s="40" t="s">
        <v>2345</v>
      </c>
    </row>
    <row r="77" spans="1:20" ht="42" customHeight="1">
      <c r="A77" s="19" t="s">
        <v>440</v>
      </c>
      <c r="B77" s="19" t="s">
        <v>441</v>
      </c>
      <c r="C77" s="19" t="s">
        <v>435</v>
      </c>
      <c r="D77" s="19" t="s">
        <v>83</v>
      </c>
      <c r="E77" s="19" t="s">
        <v>2434</v>
      </c>
      <c r="F77" s="32" t="s">
        <v>2340</v>
      </c>
      <c r="G77" s="32" t="s">
        <v>2435</v>
      </c>
      <c r="H77" s="32" t="s">
        <v>2352</v>
      </c>
      <c r="I77" s="24"/>
      <c r="J77" s="24"/>
      <c r="K77" s="24"/>
      <c r="L77" s="24"/>
      <c r="M77" s="24"/>
      <c r="N77" s="37" t="s">
        <v>2343</v>
      </c>
      <c r="O77" s="37"/>
      <c r="P77" s="37"/>
      <c r="Q77" s="37" t="s">
        <v>71</v>
      </c>
      <c r="R77" s="37" t="s">
        <v>71</v>
      </c>
      <c r="S77" s="37" t="s">
        <v>2344</v>
      </c>
      <c r="T77" s="40" t="s">
        <v>2345</v>
      </c>
    </row>
    <row r="78" spans="1:20" ht="42" customHeight="1">
      <c r="A78" s="19" t="s">
        <v>442</v>
      </c>
      <c r="B78" s="19" t="s">
        <v>443</v>
      </c>
      <c r="C78" s="19" t="s">
        <v>444</v>
      </c>
      <c r="D78" s="19" t="s">
        <v>72</v>
      </c>
      <c r="E78" s="19" t="s">
        <v>2422</v>
      </c>
      <c r="F78" s="32" t="s">
        <v>2340</v>
      </c>
      <c r="G78" s="32" t="s">
        <v>2423</v>
      </c>
      <c r="H78" s="32" t="s">
        <v>2352</v>
      </c>
      <c r="I78" s="24"/>
      <c r="J78" s="24"/>
      <c r="K78" s="24"/>
      <c r="L78" s="24"/>
      <c r="M78" s="24"/>
      <c r="N78" s="37" t="s">
        <v>2343</v>
      </c>
      <c r="O78" s="37"/>
      <c r="P78" s="37"/>
      <c r="Q78" s="37" t="s">
        <v>71</v>
      </c>
      <c r="R78" s="37" t="s">
        <v>71</v>
      </c>
      <c r="S78" s="37" t="s">
        <v>2344</v>
      </c>
      <c r="T78" s="40" t="s">
        <v>2345</v>
      </c>
    </row>
    <row r="79" spans="1:20" ht="42" customHeight="1">
      <c r="A79" s="19" t="s">
        <v>445</v>
      </c>
      <c r="B79" s="19" t="s">
        <v>446</v>
      </c>
      <c r="C79" s="19" t="s">
        <v>122</v>
      </c>
      <c r="D79" s="19" t="s">
        <v>83</v>
      </c>
      <c r="E79" s="19" t="s">
        <v>2339</v>
      </c>
      <c r="F79" s="32" t="s">
        <v>2340</v>
      </c>
      <c r="G79" s="32" t="s">
        <v>2341</v>
      </c>
      <c r="H79" s="32" t="s">
        <v>2342</v>
      </c>
      <c r="I79" s="24"/>
      <c r="J79" s="24"/>
      <c r="K79" s="24"/>
      <c r="L79" s="24"/>
      <c r="M79" s="24"/>
      <c r="N79" s="37" t="s">
        <v>2343</v>
      </c>
      <c r="O79" s="37"/>
      <c r="P79" s="37"/>
      <c r="Q79" s="37" t="s">
        <v>71</v>
      </c>
      <c r="R79" s="37" t="s">
        <v>71</v>
      </c>
      <c r="S79" s="37" t="s">
        <v>2344</v>
      </c>
      <c r="T79" s="40" t="s">
        <v>2345</v>
      </c>
    </row>
    <row r="80" spans="1:20" ht="42" customHeight="1">
      <c r="A80" s="19" t="s">
        <v>448</v>
      </c>
      <c r="B80" s="19" t="s">
        <v>449</v>
      </c>
      <c r="C80" s="19" t="s">
        <v>450</v>
      </c>
      <c r="D80" s="19" t="s">
        <v>58</v>
      </c>
      <c r="E80" s="19" t="s">
        <v>2420</v>
      </c>
      <c r="F80" s="32" t="s">
        <v>2340</v>
      </c>
      <c r="G80" s="32" t="s">
        <v>2421</v>
      </c>
      <c r="H80" s="32" t="s">
        <v>2352</v>
      </c>
      <c r="I80" s="24"/>
      <c r="J80" s="24"/>
      <c r="K80" s="24"/>
      <c r="L80" s="24"/>
      <c r="M80" s="24"/>
      <c r="N80" s="37" t="s">
        <v>2343</v>
      </c>
      <c r="O80" s="37"/>
      <c r="P80" s="37"/>
      <c r="Q80" s="37" t="s">
        <v>71</v>
      </c>
      <c r="R80" s="37" t="s">
        <v>71</v>
      </c>
      <c r="S80" s="37" t="s">
        <v>2344</v>
      </c>
      <c r="T80" s="40" t="s">
        <v>2345</v>
      </c>
    </row>
    <row r="81" spans="1:20" ht="42" customHeight="1">
      <c r="A81" s="19" t="s">
        <v>451</v>
      </c>
      <c r="B81" s="19" t="s">
        <v>452</v>
      </c>
      <c r="C81" s="19" t="s">
        <v>453</v>
      </c>
      <c r="D81" s="19" t="s">
        <v>92</v>
      </c>
      <c r="E81" s="19" t="s">
        <v>2440</v>
      </c>
      <c r="F81" s="32"/>
      <c r="G81" s="32" t="s">
        <v>2441</v>
      </c>
      <c r="H81" s="32" t="s">
        <v>2366</v>
      </c>
      <c r="I81" s="24"/>
      <c r="J81" s="24"/>
      <c r="K81" s="24"/>
      <c r="L81" s="24"/>
      <c r="M81" s="24"/>
      <c r="N81" s="37" t="s">
        <v>2343</v>
      </c>
      <c r="O81" s="37"/>
      <c r="P81" s="37"/>
      <c r="Q81" s="37" t="s">
        <v>71</v>
      </c>
      <c r="R81" s="37" t="s">
        <v>71</v>
      </c>
      <c r="S81" s="37" t="s">
        <v>2344</v>
      </c>
      <c r="T81" s="40" t="s">
        <v>2345</v>
      </c>
    </row>
    <row r="82" spans="1:20" ht="42" customHeight="1">
      <c r="A82" s="19" t="s">
        <v>455</v>
      </c>
      <c r="B82" s="19" t="s">
        <v>456</v>
      </c>
      <c r="C82" s="19" t="s">
        <v>457</v>
      </c>
      <c r="D82" s="19" t="s">
        <v>86</v>
      </c>
      <c r="E82" s="19" t="s">
        <v>2355</v>
      </c>
      <c r="F82" s="32" t="s">
        <v>2356</v>
      </c>
      <c r="G82" s="32" t="s">
        <v>2357</v>
      </c>
      <c r="H82" s="32" t="s">
        <v>2349</v>
      </c>
      <c r="I82" s="24"/>
      <c r="J82" s="24"/>
      <c r="K82" s="24"/>
      <c r="L82" s="24"/>
      <c r="M82" s="24"/>
      <c r="N82" s="37" t="s">
        <v>2343</v>
      </c>
      <c r="O82" s="37"/>
      <c r="P82" s="37"/>
      <c r="Q82" s="37" t="s">
        <v>71</v>
      </c>
      <c r="R82" s="37" t="s">
        <v>71</v>
      </c>
      <c r="S82" s="37" t="s">
        <v>2344</v>
      </c>
      <c r="T82" s="40" t="s">
        <v>2345</v>
      </c>
    </row>
    <row r="83" spans="1:20" ht="42" customHeight="1">
      <c r="A83" s="19" t="s">
        <v>458</v>
      </c>
      <c r="B83" s="19" t="s">
        <v>459</v>
      </c>
      <c r="C83" s="19" t="s">
        <v>460</v>
      </c>
      <c r="D83" s="19" t="s">
        <v>55</v>
      </c>
      <c r="E83" s="19" t="s">
        <v>2358</v>
      </c>
      <c r="F83" s="32" t="s">
        <v>2356</v>
      </c>
      <c r="G83" s="32" t="s">
        <v>2359</v>
      </c>
      <c r="H83" s="32" t="s">
        <v>2349</v>
      </c>
      <c r="I83" s="24"/>
      <c r="J83" s="24"/>
      <c r="K83" s="24"/>
      <c r="L83" s="24"/>
      <c r="M83" s="24"/>
      <c r="N83" s="37" t="s">
        <v>2343</v>
      </c>
      <c r="O83" s="37"/>
      <c r="P83" s="37"/>
      <c r="Q83" s="37" t="s">
        <v>71</v>
      </c>
      <c r="R83" s="37" t="s">
        <v>71</v>
      </c>
      <c r="S83" s="37" t="s">
        <v>2344</v>
      </c>
      <c r="T83" s="40" t="s">
        <v>2345</v>
      </c>
    </row>
    <row r="84" spans="1:20" ht="42" customHeight="1">
      <c r="A84" s="19" t="s">
        <v>461</v>
      </c>
      <c r="B84" s="19" t="s">
        <v>462</v>
      </c>
      <c r="C84" s="19" t="s">
        <v>463</v>
      </c>
      <c r="D84" s="19" t="s">
        <v>92</v>
      </c>
      <c r="E84" s="19" t="s">
        <v>2360</v>
      </c>
      <c r="F84" s="32" t="s">
        <v>2347</v>
      </c>
      <c r="G84" s="32" t="s">
        <v>2361</v>
      </c>
      <c r="H84" s="32" t="s">
        <v>2349</v>
      </c>
      <c r="I84" s="24"/>
      <c r="J84" s="24"/>
      <c r="K84" s="24"/>
      <c r="L84" s="24"/>
      <c r="M84" s="24"/>
      <c r="N84" s="37" t="s">
        <v>2343</v>
      </c>
      <c r="O84" s="37"/>
      <c r="P84" s="37"/>
      <c r="Q84" s="37" t="s">
        <v>71</v>
      </c>
      <c r="R84" s="37" t="s">
        <v>71</v>
      </c>
      <c r="S84" s="37" t="s">
        <v>2344</v>
      </c>
      <c r="T84" s="40" t="s">
        <v>2345</v>
      </c>
    </row>
    <row r="85" spans="1:20" ht="42" customHeight="1">
      <c r="A85" s="19" t="s">
        <v>465</v>
      </c>
      <c r="B85" s="19" t="s">
        <v>466</v>
      </c>
      <c r="C85" s="19" t="s">
        <v>467</v>
      </c>
      <c r="D85" s="19" t="s">
        <v>83</v>
      </c>
      <c r="E85" s="19" t="s">
        <v>2442</v>
      </c>
      <c r="F85" s="32" t="s">
        <v>2347</v>
      </c>
      <c r="G85" s="32" t="s">
        <v>2443</v>
      </c>
      <c r="H85" s="32" t="s">
        <v>2417</v>
      </c>
      <c r="I85" s="24"/>
      <c r="J85" s="24"/>
      <c r="K85" s="24"/>
      <c r="L85" s="24"/>
      <c r="M85" s="24"/>
      <c r="N85" s="37" t="s">
        <v>2343</v>
      </c>
      <c r="O85" s="37"/>
      <c r="P85" s="37"/>
      <c r="Q85" s="37" t="s">
        <v>71</v>
      </c>
      <c r="R85" s="37" t="s">
        <v>71</v>
      </c>
      <c r="S85" s="37" t="s">
        <v>2344</v>
      </c>
      <c r="T85" s="40" t="s">
        <v>2345</v>
      </c>
    </row>
    <row r="86" spans="1:20" ht="42" customHeight="1">
      <c r="A86" s="19" t="s">
        <v>469</v>
      </c>
      <c r="B86" s="19" t="s">
        <v>470</v>
      </c>
      <c r="C86" s="19" t="s">
        <v>471</v>
      </c>
      <c r="D86" s="19" t="s">
        <v>83</v>
      </c>
      <c r="E86" s="19" t="s">
        <v>2399</v>
      </c>
      <c r="F86" s="32" t="s">
        <v>2340</v>
      </c>
      <c r="G86" s="32" t="s">
        <v>2400</v>
      </c>
      <c r="H86" s="32" t="s">
        <v>2349</v>
      </c>
      <c r="I86" s="24"/>
      <c r="J86" s="24"/>
      <c r="K86" s="24"/>
      <c r="L86" s="24"/>
      <c r="M86" s="24"/>
      <c r="N86" s="37" t="s">
        <v>2343</v>
      </c>
      <c r="O86" s="37"/>
      <c r="P86" s="37"/>
      <c r="Q86" s="37" t="s">
        <v>71</v>
      </c>
      <c r="R86" s="37" t="s">
        <v>71</v>
      </c>
      <c r="S86" s="37" t="s">
        <v>2344</v>
      </c>
      <c r="T86" s="40" t="s">
        <v>2345</v>
      </c>
    </row>
    <row r="87" spans="1:20" ht="42" customHeight="1">
      <c r="A87" s="19" t="s">
        <v>472</v>
      </c>
      <c r="B87" s="19" t="s">
        <v>473</v>
      </c>
      <c r="C87" s="19" t="s">
        <v>137</v>
      </c>
      <c r="D87" s="19" t="s">
        <v>90</v>
      </c>
      <c r="E87" s="19" t="s">
        <v>2413</v>
      </c>
      <c r="F87" s="32" t="s">
        <v>2340</v>
      </c>
      <c r="G87" s="32" t="s">
        <v>2414</v>
      </c>
      <c r="H87" s="32" t="s">
        <v>2352</v>
      </c>
      <c r="I87" s="24"/>
      <c r="J87" s="24"/>
      <c r="K87" s="24"/>
      <c r="L87" s="24"/>
      <c r="M87" s="24"/>
      <c r="N87" s="37" t="s">
        <v>2343</v>
      </c>
      <c r="O87" s="37"/>
      <c r="P87" s="37"/>
      <c r="Q87" s="37" t="s">
        <v>71</v>
      </c>
      <c r="R87" s="37" t="s">
        <v>71</v>
      </c>
      <c r="S87" s="37" t="s">
        <v>2344</v>
      </c>
      <c r="T87" s="40" t="s">
        <v>2345</v>
      </c>
    </row>
    <row r="88" spans="1:20" ht="42" customHeight="1">
      <c r="A88" s="19" t="s">
        <v>475</v>
      </c>
      <c r="B88" s="19" t="s">
        <v>476</v>
      </c>
      <c r="C88" s="19" t="s">
        <v>477</v>
      </c>
      <c r="D88" s="19" t="s">
        <v>61</v>
      </c>
      <c r="E88" s="19" t="s">
        <v>2339</v>
      </c>
      <c r="F88" s="32" t="s">
        <v>2340</v>
      </c>
      <c r="G88" s="32" t="s">
        <v>2341</v>
      </c>
      <c r="H88" s="32" t="s">
        <v>2342</v>
      </c>
      <c r="I88" s="24"/>
      <c r="J88" s="24"/>
      <c r="K88" s="24"/>
      <c r="L88" s="24"/>
      <c r="M88" s="24"/>
      <c r="N88" s="37" t="s">
        <v>2343</v>
      </c>
      <c r="O88" s="37"/>
      <c r="P88" s="37"/>
      <c r="Q88" s="37" t="s">
        <v>71</v>
      </c>
      <c r="R88" s="37" t="s">
        <v>71</v>
      </c>
      <c r="S88" s="37" t="s">
        <v>2344</v>
      </c>
      <c r="T88" s="40" t="s">
        <v>2345</v>
      </c>
    </row>
    <row r="89" spans="1:20" ht="42" customHeight="1">
      <c r="A89" s="19" t="s">
        <v>478</v>
      </c>
      <c r="B89" s="19" t="s">
        <v>479</v>
      </c>
      <c r="C89" s="19" t="s">
        <v>480</v>
      </c>
      <c r="D89" s="19" t="s">
        <v>58</v>
      </c>
      <c r="E89" s="19" t="s">
        <v>2444</v>
      </c>
      <c r="F89" s="32" t="s">
        <v>2340</v>
      </c>
      <c r="G89" s="32" t="s">
        <v>2445</v>
      </c>
      <c r="H89" s="32" t="s">
        <v>2417</v>
      </c>
      <c r="I89" s="24"/>
      <c r="J89" s="24"/>
      <c r="K89" s="24"/>
      <c r="L89" s="24"/>
      <c r="M89" s="24"/>
      <c r="N89" s="37" t="s">
        <v>2343</v>
      </c>
      <c r="O89" s="37"/>
      <c r="P89" s="37"/>
      <c r="Q89" s="37" t="s">
        <v>71</v>
      </c>
      <c r="R89" s="37" t="s">
        <v>71</v>
      </c>
      <c r="S89" s="37" t="s">
        <v>2344</v>
      </c>
      <c r="T89" s="40" t="s">
        <v>2345</v>
      </c>
    </row>
    <row r="90" spans="1:20" ht="42" customHeight="1">
      <c r="A90" s="19" t="s">
        <v>481</v>
      </c>
      <c r="B90" s="19" t="s">
        <v>482</v>
      </c>
      <c r="C90" s="19" t="s">
        <v>483</v>
      </c>
      <c r="D90" s="19" t="s">
        <v>72</v>
      </c>
      <c r="E90" s="19" t="s">
        <v>2446</v>
      </c>
      <c r="F90" s="32" t="s">
        <v>2447</v>
      </c>
      <c r="G90" s="32" t="s">
        <v>2448</v>
      </c>
      <c r="H90" s="32" t="s">
        <v>2449</v>
      </c>
      <c r="I90" s="24"/>
      <c r="J90" s="24"/>
      <c r="K90" s="24"/>
      <c r="L90" s="24"/>
      <c r="M90" s="24"/>
      <c r="N90" s="37" t="s">
        <v>2343</v>
      </c>
      <c r="O90" s="37"/>
      <c r="P90" s="37"/>
      <c r="Q90" s="37" t="s">
        <v>71</v>
      </c>
      <c r="R90" s="37" t="s">
        <v>71</v>
      </c>
      <c r="S90" s="37" t="s">
        <v>2344</v>
      </c>
      <c r="T90" s="40" t="s">
        <v>2345</v>
      </c>
    </row>
    <row r="91" spans="1:20" ht="42" customHeight="1">
      <c r="A91" s="19" t="s">
        <v>486</v>
      </c>
      <c r="B91" s="19" t="s">
        <v>487</v>
      </c>
      <c r="C91" s="19" t="s">
        <v>488</v>
      </c>
      <c r="D91" s="19" t="s">
        <v>58</v>
      </c>
      <c r="E91" s="19" t="s">
        <v>2339</v>
      </c>
      <c r="F91" s="32" t="s">
        <v>2340</v>
      </c>
      <c r="G91" s="32" t="s">
        <v>2341</v>
      </c>
      <c r="H91" s="32" t="s">
        <v>2342</v>
      </c>
      <c r="I91" s="24"/>
      <c r="J91" s="24"/>
      <c r="K91" s="24"/>
      <c r="L91" s="24"/>
      <c r="M91" s="24"/>
      <c r="N91" s="37" t="s">
        <v>2343</v>
      </c>
      <c r="O91" s="37"/>
      <c r="P91" s="37"/>
      <c r="Q91" s="37" t="s">
        <v>71</v>
      </c>
      <c r="R91" s="37" t="s">
        <v>71</v>
      </c>
      <c r="S91" s="37" t="s">
        <v>2344</v>
      </c>
      <c r="T91" s="40" t="s">
        <v>2345</v>
      </c>
    </row>
    <row r="92" spans="1:20" ht="42" customHeight="1">
      <c r="A92" s="19" t="s">
        <v>489</v>
      </c>
      <c r="B92" s="19" t="s">
        <v>490</v>
      </c>
      <c r="C92" s="19" t="s">
        <v>491</v>
      </c>
      <c r="D92" s="19" t="s">
        <v>83</v>
      </c>
      <c r="E92" s="19" t="s">
        <v>2450</v>
      </c>
      <c r="F92" s="32" t="s">
        <v>2340</v>
      </c>
      <c r="G92" s="32" t="s">
        <v>2451</v>
      </c>
      <c r="H92" s="32" t="s">
        <v>2352</v>
      </c>
      <c r="I92" s="24"/>
      <c r="J92" s="24"/>
      <c r="K92" s="24"/>
      <c r="L92" s="24"/>
      <c r="M92" s="24"/>
      <c r="N92" s="37" t="s">
        <v>2343</v>
      </c>
      <c r="O92" s="37"/>
      <c r="P92" s="37"/>
      <c r="Q92" s="37" t="s">
        <v>71</v>
      </c>
      <c r="R92" s="37" t="s">
        <v>71</v>
      </c>
      <c r="S92" s="37" t="s">
        <v>2344</v>
      </c>
      <c r="T92" s="40" t="s">
        <v>2345</v>
      </c>
    </row>
    <row r="93" spans="1:20" ht="42" customHeight="1">
      <c r="A93" s="19" t="s">
        <v>493</v>
      </c>
      <c r="B93" s="19" t="s">
        <v>494</v>
      </c>
      <c r="C93" s="19" t="s">
        <v>495</v>
      </c>
      <c r="D93" s="19" t="s">
        <v>61</v>
      </c>
      <c r="E93" s="19" t="s">
        <v>2452</v>
      </c>
      <c r="F93" s="32" t="s">
        <v>2340</v>
      </c>
      <c r="G93" s="32" t="s">
        <v>2453</v>
      </c>
      <c r="H93" s="32" t="s">
        <v>2417</v>
      </c>
      <c r="I93" s="24"/>
      <c r="J93" s="24"/>
      <c r="K93" s="24"/>
      <c r="L93" s="24"/>
      <c r="M93" s="24"/>
      <c r="N93" s="37" t="s">
        <v>2343</v>
      </c>
      <c r="O93" s="37"/>
      <c r="P93" s="37"/>
      <c r="Q93" s="37" t="s">
        <v>71</v>
      </c>
      <c r="R93" s="37" t="s">
        <v>71</v>
      </c>
      <c r="S93" s="37" t="s">
        <v>2344</v>
      </c>
      <c r="T93" s="40" t="s">
        <v>2345</v>
      </c>
    </row>
    <row r="94" spans="1:20" ht="42" customHeight="1">
      <c r="A94" s="19" t="s">
        <v>496</v>
      </c>
      <c r="B94" s="19" t="s">
        <v>497</v>
      </c>
      <c r="C94" s="19" t="s">
        <v>308</v>
      </c>
      <c r="D94" s="19" t="s">
        <v>75</v>
      </c>
      <c r="E94" s="19" t="s">
        <v>2350</v>
      </c>
      <c r="F94" s="32" t="s">
        <v>2340</v>
      </c>
      <c r="G94" s="32" t="s">
        <v>2351</v>
      </c>
      <c r="H94" s="32" t="s">
        <v>2352</v>
      </c>
      <c r="I94" s="24"/>
      <c r="J94" s="24"/>
      <c r="K94" s="24"/>
      <c r="L94" s="24"/>
      <c r="M94" s="24"/>
      <c r="N94" s="37" t="s">
        <v>2343</v>
      </c>
      <c r="O94" s="37"/>
      <c r="P94" s="37"/>
      <c r="Q94" s="37" t="s">
        <v>71</v>
      </c>
      <c r="R94" s="37" t="s">
        <v>71</v>
      </c>
      <c r="S94" s="37" t="s">
        <v>2344</v>
      </c>
      <c r="T94" s="40" t="s">
        <v>2345</v>
      </c>
    </row>
    <row r="95" spans="1:20" ht="42" customHeight="1">
      <c r="A95" s="19" t="s">
        <v>498</v>
      </c>
      <c r="B95" s="19" t="s">
        <v>499</v>
      </c>
      <c r="C95" s="19" t="s">
        <v>500</v>
      </c>
      <c r="D95" s="19" t="s">
        <v>77</v>
      </c>
      <c r="E95" s="19" t="s">
        <v>2454</v>
      </c>
      <c r="F95" s="32" t="s">
        <v>2340</v>
      </c>
      <c r="G95" s="32" t="s">
        <v>2455</v>
      </c>
      <c r="H95" s="32" t="s">
        <v>2456</v>
      </c>
      <c r="I95" s="24"/>
      <c r="J95" s="24"/>
      <c r="K95" s="24"/>
      <c r="L95" s="24"/>
      <c r="M95" s="24"/>
      <c r="N95" s="37" t="s">
        <v>2343</v>
      </c>
      <c r="O95" s="37"/>
      <c r="P95" s="37"/>
      <c r="Q95" s="37" t="s">
        <v>71</v>
      </c>
      <c r="R95" s="37" t="s">
        <v>71</v>
      </c>
      <c r="S95" s="37" t="s">
        <v>2344</v>
      </c>
      <c r="T95" s="40" t="s">
        <v>2345</v>
      </c>
    </row>
    <row r="96" spans="1:20" ht="42" customHeight="1">
      <c r="A96" s="19" t="s">
        <v>501</v>
      </c>
      <c r="B96" s="19" t="s">
        <v>502</v>
      </c>
      <c r="C96" s="19" t="s">
        <v>503</v>
      </c>
      <c r="D96" s="19" t="s">
        <v>81</v>
      </c>
      <c r="E96" s="19" t="s">
        <v>2409</v>
      </c>
      <c r="F96" s="32" t="s">
        <v>2340</v>
      </c>
      <c r="G96" s="32" t="s">
        <v>2410</v>
      </c>
      <c r="H96" s="32" t="s">
        <v>2352</v>
      </c>
      <c r="I96" s="24"/>
      <c r="J96" s="24"/>
      <c r="K96" s="24"/>
      <c r="L96" s="24"/>
      <c r="M96" s="24"/>
      <c r="N96" s="37" t="s">
        <v>2343</v>
      </c>
      <c r="O96" s="37"/>
      <c r="P96" s="37"/>
      <c r="Q96" s="37" t="s">
        <v>71</v>
      </c>
      <c r="R96" s="37" t="s">
        <v>71</v>
      </c>
      <c r="S96" s="37" t="s">
        <v>2344</v>
      </c>
      <c r="T96" s="40" t="s">
        <v>2345</v>
      </c>
    </row>
    <row r="97" spans="1:20" ht="42" customHeight="1">
      <c r="A97" s="19" t="s">
        <v>505</v>
      </c>
      <c r="B97" s="19" t="s">
        <v>506</v>
      </c>
      <c r="C97" s="19" t="s">
        <v>477</v>
      </c>
      <c r="D97" s="19" t="s">
        <v>58</v>
      </c>
      <c r="E97" s="19" t="s">
        <v>2339</v>
      </c>
      <c r="F97" s="32" t="s">
        <v>2340</v>
      </c>
      <c r="G97" s="32" t="s">
        <v>2341</v>
      </c>
      <c r="H97" s="32" t="s">
        <v>2342</v>
      </c>
      <c r="I97" s="24"/>
      <c r="J97" s="24"/>
      <c r="K97" s="24"/>
      <c r="L97" s="24"/>
      <c r="M97" s="24"/>
      <c r="N97" s="37" t="s">
        <v>2343</v>
      </c>
      <c r="O97" s="37"/>
      <c r="P97" s="37"/>
      <c r="Q97" s="37" t="s">
        <v>71</v>
      </c>
      <c r="R97" s="37" t="s">
        <v>71</v>
      </c>
      <c r="S97" s="37" t="s">
        <v>2344</v>
      </c>
      <c r="T97" s="40" t="s">
        <v>2345</v>
      </c>
    </row>
    <row r="98" spans="1:20" ht="42" customHeight="1">
      <c r="A98" s="19" t="s">
        <v>508</v>
      </c>
      <c r="B98" s="19" t="s">
        <v>509</v>
      </c>
      <c r="C98" s="19" t="s">
        <v>510</v>
      </c>
      <c r="D98" s="19" t="s">
        <v>58</v>
      </c>
      <c r="E98" s="19" t="s">
        <v>2457</v>
      </c>
      <c r="F98" s="32" t="s">
        <v>2356</v>
      </c>
      <c r="G98" s="32" t="s">
        <v>2458</v>
      </c>
      <c r="H98" s="32" t="s">
        <v>2417</v>
      </c>
      <c r="I98" s="24"/>
      <c r="J98" s="24"/>
      <c r="K98" s="24"/>
      <c r="L98" s="24"/>
      <c r="M98" s="24"/>
      <c r="N98" s="37" t="s">
        <v>2343</v>
      </c>
      <c r="O98" s="37"/>
      <c r="P98" s="37"/>
      <c r="Q98" s="37" t="s">
        <v>71</v>
      </c>
      <c r="R98" s="37" t="s">
        <v>71</v>
      </c>
      <c r="S98" s="37" t="s">
        <v>2344</v>
      </c>
      <c r="T98" s="40" t="s">
        <v>2345</v>
      </c>
    </row>
    <row r="99" spans="1:20" ht="42" customHeight="1">
      <c r="A99" s="19" t="s">
        <v>512</v>
      </c>
      <c r="B99" s="19" t="s">
        <v>513</v>
      </c>
      <c r="C99" s="19" t="s">
        <v>514</v>
      </c>
      <c r="D99" s="19" t="s">
        <v>92</v>
      </c>
      <c r="E99" s="19" t="s">
        <v>2386</v>
      </c>
      <c r="F99" s="32"/>
      <c r="G99" s="32" t="s">
        <v>2387</v>
      </c>
      <c r="H99" s="32" t="s">
        <v>2366</v>
      </c>
      <c r="I99" s="24"/>
      <c r="J99" s="24"/>
      <c r="K99" s="24"/>
      <c r="L99" s="24"/>
      <c r="M99" s="24"/>
      <c r="N99" s="37" t="s">
        <v>2343</v>
      </c>
      <c r="O99" s="37"/>
      <c r="P99" s="37"/>
      <c r="Q99" s="37" t="s">
        <v>71</v>
      </c>
      <c r="R99" s="37" t="s">
        <v>71</v>
      </c>
      <c r="S99" s="37" t="s">
        <v>2344</v>
      </c>
      <c r="T99" s="40" t="s">
        <v>2345</v>
      </c>
    </row>
    <row r="100" spans="1:20" ht="42" customHeight="1">
      <c r="A100" s="19" t="s">
        <v>515</v>
      </c>
      <c r="B100" s="19" t="s">
        <v>516</v>
      </c>
      <c r="C100" s="19" t="s">
        <v>517</v>
      </c>
      <c r="D100" s="19" t="s">
        <v>48</v>
      </c>
      <c r="E100" s="19" t="s">
        <v>2355</v>
      </c>
      <c r="F100" s="32" t="s">
        <v>2356</v>
      </c>
      <c r="G100" s="32" t="s">
        <v>2357</v>
      </c>
      <c r="H100" s="32" t="s">
        <v>2349</v>
      </c>
      <c r="I100" s="24"/>
      <c r="J100" s="24"/>
      <c r="K100" s="24"/>
      <c r="L100" s="24"/>
      <c r="M100" s="24"/>
      <c r="N100" s="37" t="s">
        <v>2343</v>
      </c>
      <c r="O100" s="37"/>
      <c r="P100" s="37"/>
      <c r="Q100" s="37" t="s">
        <v>71</v>
      </c>
      <c r="R100" s="37" t="s">
        <v>71</v>
      </c>
      <c r="S100" s="37" t="s">
        <v>2344</v>
      </c>
      <c r="T100" s="40" t="s">
        <v>2345</v>
      </c>
    </row>
    <row r="101" spans="1:20" ht="42" customHeight="1">
      <c r="A101" s="19" t="s">
        <v>527</v>
      </c>
      <c r="B101" s="19" t="s">
        <v>528</v>
      </c>
      <c r="C101" s="19" t="s">
        <v>529</v>
      </c>
      <c r="D101" s="19" t="s">
        <v>69</v>
      </c>
      <c r="E101" s="19" t="s">
        <v>2386</v>
      </c>
      <c r="F101" s="32"/>
      <c r="G101" s="32" t="s">
        <v>2387</v>
      </c>
      <c r="H101" s="32" t="s">
        <v>2366</v>
      </c>
      <c r="I101" s="24"/>
      <c r="J101" s="24"/>
      <c r="K101" s="24"/>
      <c r="L101" s="24"/>
      <c r="M101" s="24"/>
      <c r="N101" s="37" t="s">
        <v>2343</v>
      </c>
      <c r="O101" s="37"/>
      <c r="P101" s="37"/>
      <c r="Q101" s="37" t="s">
        <v>71</v>
      </c>
      <c r="R101" s="37" t="s">
        <v>71</v>
      </c>
      <c r="S101" s="37" t="s">
        <v>2344</v>
      </c>
      <c r="T101" s="40" t="s">
        <v>2345</v>
      </c>
    </row>
    <row r="102" spans="1:20" ht="42" customHeight="1">
      <c r="A102" s="19" t="s">
        <v>530</v>
      </c>
      <c r="B102" s="19" t="s">
        <v>531</v>
      </c>
      <c r="C102" s="19" t="s">
        <v>532</v>
      </c>
      <c r="D102" s="19" t="s">
        <v>83</v>
      </c>
      <c r="E102" s="19" t="s">
        <v>2459</v>
      </c>
      <c r="F102" s="32" t="s">
        <v>2340</v>
      </c>
      <c r="G102" s="32" t="s">
        <v>2460</v>
      </c>
      <c r="H102" s="32" t="s">
        <v>2417</v>
      </c>
      <c r="I102" s="24"/>
      <c r="J102" s="24"/>
      <c r="K102" s="24"/>
      <c r="L102" s="24"/>
      <c r="M102" s="24"/>
      <c r="N102" s="37" t="s">
        <v>2343</v>
      </c>
      <c r="O102" s="37"/>
      <c r="P102" s="37"/>
      <c r="Q102" s="37" t="s">
        <v>71</v>
      </c>
      <c r="R102" s="37" t="s">
        <v>71</v>
      </c>
      <c r="S102" s="37" t="s">
        <v>2344</v>
      </c>
      <c r="T102" s="40" t="s">
        <v>2345</v>
      </c>
    </row>
    <row r="103" spans="1:20" ht="42" customHeight="1">
      <c r="A103" s="19" t="s">
        <v>533</v>
      </c>
      <c r="B103" s="19" t="s">
        <v>534</v>
      </c>
      <c r="C103" s="19" t="s">
        <v>535</v>
      </c>
      <c r="D103" s="19" t="s">
        <v>69</v>
      </c>
      <c r="E103" s="19" t="s">
        <v>2386</v>
      </c>
      <c r="F103" s="32"/>
      <c r="G103" s="32" t="s">
        <v>2387</v>
      </c>
      <c r="H103" s="32" t="s">
        <v>2366</v>
      </c>
      <c r="I103" s="24"/>
      <c r="J103" s="24"/>
      <c r="K103" s="24"/>
      <c r="L103" s="24"/>
      <c r="M103" s="24"/>
      <c r="N103" s="37" t="s">
        <v>2343</v>
      </c>
      <c r="O103" s="37"/>
      <c r="P103" s="37"/>
      <c r="Q103" s="37" t="s">
        <v>71</v>
      </c>
      <c r="R103" s="37" t="s">
        <v>71</v>
      </c>
      <c r="S103" s="37" t="s">
        <v>2344</v>
      </c>
      <c r="T103" s="40" t="s">
        <v>2345</v>
      </c>
    </row>
    <row r="104" spans="1:20" ht="42" customHeight="1">
      <c r="A104" s="19" t="s">
        <v>537</v>
      </c>
      <c r="B104" s="19" t="s">
        <v>538</v>
      </c>
      <c r="C104" s="19" t="s">
        <v>539</v>
      </c>
      <c r="D104" s="19" t="s">
        <v>92</v>
      </c>
      <c r="E104" s="19" t="s">
        <v>2461</v>
      </c>
      <c r="F104" s="32" t="s">
        <v>2406</v>
      </c>
      <c r="G104" s="32" t="s">
        <v>2462</v>
      </c>
      <c r="H104" s="32" t="s">
        <v>2463</v>
      </c>
      <c r="I104" s="24"/>
      <c r="J104" s="24"/>
      <c r="K104" s="24"/>
      <c r="L104" s="24"/>
      <c r="M104" s="24"/>
      <c r="N104" s="37" t="s">
        <v>2343</v>
      </c>
      <c r="O104" s="37"/>
      <c r="P104" s="37"/>
      <c r="Q104" s="37" t="s">
        <v>71</v>
      </c>
      <c r="R104" s="37" t="s">
        <v>71</v>
      </c>
      <c r="S104" s="37" t="s">
        <v>2344</v>
      </c>
      <c r="T104" s="40" t="s">
        <v>2345</v>
      </c>
    </row>
    <row r="105" spans="1:20" ht="42" customHeight="1">
      <c r="A105" s="19" t="s">
        <v>540</v>
      </c>
      <c r="B105" s="19" t="s">
        <v>541</v>
      </c>
      <c r="C105" s="19" t="s">
        <v>542</v>
      </c>
      <c r="D105" s="19" t="s">
        <v>69</v>
      </c>
      <c r="E105" s="19" t="s">
        <v>2464</v>
      </c>
      <c r="F105" s="32" t="s">
        <v>2356</v>
      </c>
      <c r="G105" s="32" t="s">
        <v>2465</v>
      </c>
      <c r="H105" s="32" t="s">
        <v>2417</v>
      </c>
      <c r="I105" s="24"/>
      <c r="J105" s="24"/>
      <c r="K105" s="24"/>
      <c r="L105" s="24"/>
      <c r="M105" s="24"/>
      <c r="N105" s="37" t="s">
        <v>2343</v>
      </c>
      <c r="O105" s="37"/>
      <c r="P105" s="37"/>
      <c r="Q105" s="37" t="s">
        <v>71</v>
      </c>
      <c r="R105" s="37" t="s">
        <v>71</v>
      </c>
      <c r="S105" s="37" t="s">
        <v>2344</v>
      </c>
      <c r="T105" s="40" t="s">
        <v>2345</v>
      </c>
    </row>
    <row r="106" spans="1:20" ht="42" customHeight="1">
      <c r="A106" s="19" t="s">
        <v>543</v>
      </c>
      <c r="B106" s="19" t="s">
        <v>544</v>
      </c>
      <c r="C106" s="19" t="s">
        <v>545</v>
      </c>
      <c r="D106" s="19" t="s">
        <v>79</v>
      </c>
      <c r="E106" s="19" t="s">
        <v>2420</v>
      </c>
      <c r="F106" s="32" t="s">
        <v>2340</v>
      </c>
      <c r="G106" s="32" t="s">
        <v>2421</v>
      </c>
      <c r="H106" s="32" t="s">
        <v>2352</v>
      </c>
      <c r="I106" s="24"/>
      <c r="J106" s="24"/>
      <c r="K106" s="24"/>
      <c r="L106" s="24"/>
      <c r="M106" s="24"/>
      <c r="N106" s="37" t="s">
        <v>2343</v>
      </c>
      <c r="O106" s="37"/>
      <c r="P106" s="37"/>
      <c r="Q106" s="37" t="s">
        <v>71</v>
      </c>
      <c r="R106" s="37" t="s">
        <v>71</v>
      </c>
      <c r="S106" s="37" t="s">
        <v>2344</v>
      </c>
      <c r="T106" s="40" t="s">
        <v>2345</v>
      </c>
    </row>
    <row r="107" spans="1:20" ht="42" customHeight="1">
      <c r="A107" s="19" t="s">
        <v>546</v>
      </c>
      <c r="B107" s="19" t="s">
        <v>547</v>
      </c>
      <c r="C107" s="19" t="s">
        <v>548</v>
      </c>
      <c r="D107" s="19" t="s">
        <v>79</v>
      </c>
      <c r="E107" s="19" t="s">
        <v>2466</v>
      </c>
      <c r="F107" s="32" t="s">
        <v>2377</v>
      </c>
      <c r="G107" s="32" t="s">
        <v>2467</v>
      </c>
      <c r="H107" s="32" t="s">
        <v>2468</v>
      </c>
      <c r="I107" s="24"/>
      <c r="J107" s="24"/>
      <c r="K107" s="24"/>
      <c r="L107" s="24"/>
      <c r="M107" s="24"/>
      <c r="N107" s="37" t="s">
        <v>2343</v>
      </c>
      <c r="O107" s="37"/>
      <c r="P107" s="37"/>
      <c r="Q107" s="37" t="s">
        <v>71</v>
      </c>
      <c r="R107" s="37" t="s">
        <v>71</v>
      </c>
      <c r="S107" s="37" t="s">
        <v>2344</v>
      </c>
      <c r="T107" s="40" t="s">
        <v>2345</v>
      </c>
    </row>
    <row r="108" spans="1:20" ht="42" customHeight="1">
      <c r="A108" s="19" t="s">
        <v>549</v>
      </c>
      <c r="B108" s="19" t="s">
        <v>550</v>
      </c>
      <c r="C108" s="19" t="s">
        <v>551</v>
      </c>
      <c r="D108" s="19" t="s">
        <v>79</v>
      </c>
      <c r="E108" s="19" t="s">
        <v>2466</v>
      </c>
      <c r="F108" s="32" t="s">
        <v>2377</v>
      </c>
      <c r="G108" s="32" t="s">
        <v>2467</v>
      </c>
      <c r="H108" s="32" t="s">
        <v>2468</v>
      </c>
      <c r="I108" s="24"/>
      <c r="J108" s="24"/>
      <c r="K108" s="24"/>
      <c r="L108" s="24"/>
      <c r="M108" s="24"/>
      <c r="N108" s="37" t="s">
        <v>2343</v>
      </c>
      <c r="O108" s="37"/>
      <c r="P108" s="37"/>
      <c r="Q108" s="37" t="s">
        <v>71</v>
      </c>
      <c r="R108" s="37" t="s">
        <v>71</v>
      </c>
      <c r="S108" s="37" t="s">
        <v>2344</v>
      </c>
      <c r="T108" s="40" t="s">
        <v>2345</v>
      </c>
    </row>
    <row r="109" spans="1:20" ht="42" customHeight="1">
      <c r="A109" s="19" t="s">
        <v>552</v>
      </c>
      <c r="B109" s="19" t="s">
        <v>553</v>
      </c>
      <c r="C109" s="19" t="s">
        <v>554</v>
      </c>
      <c r="D109" s="19" t="s">
        <v>79</v>
      </c>
      <c r="E109" s="19" t="s">
        <v>2452</v>
      </c>
      <c r="F109" s="32" t="s">
        <v>2340</v>
      </c>
      <c r="G109" s="32" t="s">
        <v>2453</v>
      </c>
      <c r="H109" s="32" t="s">
        <v>2417</v>
      </c>
      <c r="I109" s="24"/>
      <c r="J109" s="24"/>
      <c r="K109" s="24"/>
      <c r="L109" s="24"/>
      <c r="M109" s="24"/>
      <c r="N109" s="37" t="s">
        <v>2343</v>
      </c>
      <c r="O109" s="37"/>
      <c r="P109" s="37"/>
      <c r="Q109" s="37" t="s">
        <v>71</v>
      </c>
      <c r="R109" s="37" t="s">
        <v>71</v>
      </c>
      <c r="S109" s="37" t="s">
        <v>2344</v>
      </c>
      <c r="T109" s="40" t="s">
        <v>2345</v>
      </c>
    </row>
    <row r="110" spans="1:20" ht="42" customHeight="1">
      <c r="A110" s="19" t="s">
        <v>555</v>
      </c>
      <c r="B110" s="19" t="s">
        <v>556</v>
      </c>
      <c r="C110" s="19" t="s">
        <v>557</v>
      </c>
      <c r="D110" s="19" t="s">
        <v>75</v>
      </c>
      <c r="E110" s="19" t="s">
        <v>2469</v>
      </c>
      <c r="F110" s="32" t="s">
        <v>2340</v>
      </c>
      <c r="G110" s="32" t="s">
        <v>2470</v>
      </c>
      <c r="H110" s="32" t="s">
        <v>2417</v>
      </c>
      <c r="I110" s="24"/>
      <c r="J110" s="24"/>
      <c r="K110" s="24"/>
      <c r="L110" s="24"/>
      <c r="M110" s="24"/>
      <c r="N110" s="37" t="s">
        <v>2343</v>
      </c>
      <c r="O110" s="37"/>
      <c r="P110" s="37"/>
      <c r="Q110" s="37" t="s">
        <v>71</v>
      </c>
      <c r="R110" s="37" t="s">
        <v>71</v>
      </c>
      <c r="S110" s="37" t="s">
        <v>2344</v>
      </c>
      <c r="T110" s="40" t="s">
        <v>2345</v>
      </c>
    </row>
    <row r="111" spans="1:20" ht="42" customHeight="1">
      <c r="A111" s="19" t="s">
        <v>558</v>
      </c>
      <c r="B111" s="19" t="s">
        <v>559</v>
      </c>
      <c r="C111" s="19" t="s">
        <v>560</v>
      </c>
      <c r="D111" s="19" t="s">
        <v>81</v>
      </c>
      <c r="E111" s="19" t="s">
        <v>2471</v>
      </c>
      <c r="F111" s="32" t="s">
        <v>2340</v>
      </c>
      <c r="G111" s="32" t="s">
        <v>2472</v>
      </c>
      <c r="H111" s="32" t="s">
        <v>2349</v>
      </c>
      <c r="I111" s="24"/>
      <c r="J111" s="24"/>
      <c r="K111" s="24"/>
      <c r="L111" s="24"/>
      <c r="M111" s="24"/>
      <c r="N111" s="37" t="s">
        <v>2343</v>
      </c>
      <c r="O111" s="37"/>
      <c r="P111" s="37"/>
      <c r="Q111" s="37" t="s">
        <v>71</v>
      </c>
      <c r="R111" s="37" t="s">
        <v>71</v>
      </c>
      <c r="S111" s="37" t="s">
        <v>2344</v>
      </c>
      <c r="T111" s="40" t="s">
        <v>2345</v>
      </c>
    </row>
    <row r="112" spans="1:20" ht="42" customHeight="1">
      <c r="A112" s="19" t="s">
        <v>561</v>
      </c>
      <c r="B112" s="19" t="s">
        <v>562</v>
      </c>
      <c r="C112" s="19" t="s">
        <v>563</v>
      </c>
      <c r="D112" s="19" t="s">
        <v>77</v>
      </c>
      <c r="E112" s="19" t="s">
        <v>2473</v>
      </c>
      <c r="F112" s="32" t="s">
        <v>2377</v>
      </c>
      <c r="G112" s="32" t="s">
        <v>2348</v>
      </c>
      <c r="H112" s="32" t="s">
        <v>2468</v>
      </c>
      <c r="I112" s="24"/>
      <c r="J112" s="24"/>
      <c r="K112" s="24"/>
      <c r="L112" s="24"/>
      <c r="M112" s="24"/>
      <c r="N112" s="37" t="s">
        <v>2343</v>
      </c>
      <c r="O112" s="37"/>
      <c r="P112" s="37"/>
      <c r="Q112" s="37" t="s">
        <v>71</v>
      </c>
      <c r="R112" s="37" t="s">
        <v>71</v>
      </c>
      <c r="S112" s="37" t="s">
        <v>2344</v>
      </c>
      <c r="T112" s="40" t="s">
        <v>2345</v>
      </c>
    </row>
    <row r="113" spans="1:20" ht="42" customHeight="1">
      <c r="A113" s="19" t="s">
        <v>565</v>
      </c>
      <c r="B113" s="19" t="s">
        <v>566</v>
      </c>
      <c r="C113" s="19" t="s">
        <v>567</v>
      </c>
      <c r="D113" s="19" t="s">
        <v>75</v>
      </c>
      <c r="E113" s="19" t="s">
        <v>2339</v>
      </c>
      <c r="F113" s="32" t="s">
        <v>2340</v>
      </c>
      <c r="G113" s="32" t="s">
        <v>2341</v>
      </c>
      <c r="H113" s="32" t="s">
        <v>2342</v>
      </c>
      <c r="I113" s="24"/>
      <c r="J113" s="24"/>
      <c r="K113" s="24"/>
      <c r="L113" s="24"/>
      <c r="M113" s="24"/>
      <c r="N113" s="37" t="s">
        <v>2343</v>
      </c>
      <c r="O113" s="37"/>
      <c r="P113" s="37"/>
      <c r="Q113" s="37" t="s">
        <v>71</v>
      </c>
      <c r="R113" s="37" t="s">
        <v>71</v>
      </c>
      <c r="S113" s="37" t="s">
        <v>2344</v>
      </c>
      <c r="T113" s="40" t="s">
        <v>2345</v>
      </c>
    </row>
    <row r="114" spans="1:20" ht="42" customHeight="1">
      <c r="A114" s="19" t="s">
        <v>569</v>
      </c>
      <c r="B114" s="19" t="s">
        <v>570</v>
      </c>
      <c r="C114" s="19" t="s">
        <v>571</v>
      </c>
      <c r="D114" s="19" t="s">
        <v>61</v>
      </c>
      <c r="E114" s="19" t="s">
        <v>2339</v>
      </c>
      <c r="F114" s="32" t="s">
        <v>2340</v>
      </c>
      <c r="G114" s="32" t="s">
        <v>2341</v>
      </c>
      <c r="H114" s="32" t="s">
        <v>2342</v>
      </c>
      <c r="I114" s="24"/>
      <c r="J114" s="24"/>
      <c r="K114" s="24"/>
      <c r="L114" s="24"/>
      <c r="M114" s="24"/>
      <c r="N114" s="37" t="s">
        <v>2343</v>
      </c>
      <c r="O114" s="37"/>
      <c r="P114" s="37"/>
      <c r="Q114" s="37" t="s">
        <v>71</v>
      </c>
      <c r="R114" s="37" t="s">
        <v>71</v>
      </c>
      <c r="S114" s="37" t="s">
        <v>2344</v>
      </c>
      <c r="T114" s="40" t="s">
        <v>2345</v>
      </c>
    </row>
    <row r="115" spans="1:20" ht="42" customHeight="1">
      <c r="A115" s="19" t="s">
        <v>573</v>
      </c>
      <c r="B115" s="19" t="s">
        <v>574</v>
      </c>
      <c r="C115" s="19" t="s">
        <v>575</v>
      </c>
      <c r="D115" s="19" t="s">
        <v>58</v>
      </c>
      <c r="E115" s="19" t="s">
        <v>2339</v>
      </c>
      <c r="F115" s="32" t="s">
        <v>2340</v>
      </c>
      <c r="G115" s="32" t="s">
        <v>2341</v>
      </c>
      <c r="H115" s="32" t="s">
        <v>2342</v>
      </c>
      <c r="I115" s="24"/>
      <c r="J115" s="24"/>
      <c r="K115" s="24"/>
      <c r="L115" s="24"/>
      <c r="M115" s="24"/>
      <c r="N115" s="37" t="s">
        <v>2343</v>
      </c>
      <c r="O115" s="37"/>
      <c r="P115" s="37"/>
      <c r="Q115" s="37" t="s">
        <v>71</v>
      </c>
      <c r="R115" s="37" t="s">
        <v>71</v>
      </c>
      <c r="S115" s="37" t="s">
        <v>2344</v>
      </c>
      <c r="T115" s="40" t="s">
        <v>2345</v>
      </c>
    </row>
    <row r="116" spans="1:20" ht="42" customHeight="1">
      <c r="A116" s="19" t="s">
        <v>576</v>
      </c>
      <c r="B116" s="19" t="s">
        <v>577</v>
      </c>
      <c r="C116" s="19" t="s">
        <v>578</v>
      </c>
      <c r="D116" s="19" t="s">
        <v>58</v>
      </c>
      <c r="E116" s="19" t="s">
        <v>2339</v>
      </c>
      <c r="F116" s="32" t="s">
        <v>2340</v>
      </c>
      <c r="G116" s="32" t="s">
        <v>2341</v>
      </c>
      <c r="H116" s="32" t="s">
        <v>2342</v>
      </c>
      <c r="I116" s="24"/>
      <c r="J116" s="24"/>
      <c r="K116" s="24"/>
      <c r="L116" s="24"/>
      <c r="M116" s="24"/>
      <c r="N116" s="37" t="s">
        <v>2343</v>
      </c>
      <c r="O116" s="37"/>
      <c r="P116" s="37"/>
      <c r="Q116" s="37" t="s">
        <v>71</v>
      </c>
      <c r="R116" s="37" t="s">
        <v>71</v>
      </c>
      <c r="S116" s="37" t="s">
        <v>2344</v>
      </c>
      <c r="T116" s="40" t="s">
        <v>2345</v>
      </c>
    </row>
    <row r="117" spans="1:20" ht="42" customHeight="1">
      <c r="A117" s="19" t="s">
        <v>579</v>
      </c>
      <c r="B117" s="19" t="s">
        <v>580</v>
      </c>
      <c r="C117" s="19" t="s">
        <v>581</v>
      </c>
      <c r="D117" s="19" t="s">
        <v>81</v>
      </c>
      <c r="E117" s="19" t="s">
        <v>2367</v>
      </c>
      <c r="F117" s="32" t="s">
        <v>2347</v>
      </c>
      <c r="G117" s="32" t="s">
        <v>2368</v>
      </c>
      <c r="H117" s="32" t="s">
        <v>2349</v>
      </c>
      <c r="I117" s="24"/>
      <c r="J117" s="24"/>
      <c r="K117" s="24"/>
      <c r="L117" s="24"/>
      <c r="M117" s="24"/>
      <c r="N117" s="37" t="s">
        <v>2343</v>
      </c>
      <c r="O117" s="37"/>
      <c r="P117" s="37"/>
      <c r="Q117" s="37" t="s">
        <v>71</v>
      </c>
      <c r="R117" s="37" t="s">
        <v>71</v>
      </c>
      <c r="S117" s="37" t="s">
        <v>2344</v>
      </c>
      <c r="T117" s="40" t="s">
        <v>2345</v>
      </c>
    </row>
    <row r="118" spans="1:20" ht="42" customHeight="1">
      <c r="A118" s="19" t="s">
        <v>583</v>
      </c>
      <c r="B118" s="19" t="s">
        <v>584</v>
      </c>
      <c r="C118" s="19" t="s">
        <v>382</v>
      </c>
      <c r="D118" s="19" t="s">
        <v>77</v>
      </c>
      <c r="E118" s="19" t="s">
        <v>2413</v>
      </c>
      <c r="F118" s="32" t="s">
        <v>2340</v>
      </c>
      <c r="G118" s="32" t="s">
        <v>2414</v>
      </c>
      <c r="H118" s="32" t="s">
        <v>2352</v>
      </c>
      <c r="I118" s="24"/>
      <c r="J118" s="24"/>
      <c r="K118" s="24"/>
      <c r="L118" s="24"/>
      <c r="M118" s="24"/>
      <c r="N118" s="37" t="s">
        <v>2343</v>
      </c>
      <c r="O118" s="37"/>
      <c r="P118" s="37"/>
      <c r="Q118" s="37" t="s">
        <v>71</v>
      </c>
      <c r="R118" s="37" t="s">
        <v>71</v>
      </c>
      <c r="S118" s="37" t="s">
        <v>2344</v>
      </c>
      <c r="T118" s="40" t="s">
        <v>2345</v>
      </c>
    </row>
    <row r="119" spans="1:20" ht="42" customHeight="1">
      <c r="A119" s="19" t="s">
        <v>585</v>
      </c>
      <c r="B119" s="19" t="s">
        <v>586</v>
      </c>
      <c r="C119" s="19" t="s">
        <v>587</v>
      </c>
      <c r="D119" s="19" t="s">
        <v>69</v>
      </c>
      <c r="E119" s="19" t="s">
        <v>2474</v>
      </c>
      <c r="F119" s="32" t="s">
        <v>2340</v>
      </c>
      <c r="G119" s="32" t="s">
        <v>2475</v>
      </c>
      <c r="H119" s="32" t="s">
        <v>2417</v>
      </c>
      <c r="I119" s="24"/>
      <c r="J119" s="24"/>
      <c r="K119" s="24"/>
      <c r="L119" s="24"/>
      <c r="M119" s="24"/>
      <c r="N119" s="37" t="s">
        <v>2343</v>
      </c>
      <c r="O119" s="37"/>
      <c r="P119" s="37"/>
      <c r="Q119" s="37" t="s">
        <v>71</v>
      </c>
      <c r="R119" s="37" t="s">
        <v>71</v>
      </c>
      <c r="S119" s="37" t="s">
        <v>2344</v>
      </c>
      <c r="T119" s="40" t="s">
        <v>2345</v>
      </c>
    </row>
    <row r="120" spans="1:20" ht="42" customHeight="1">
      <c r="A120" s="19" t="s">
        <v>588</v>
      </c>
      <c r="B120" s="19" t="s">
        <v>589</v>
      </c>
      <c r="C120" s="19" t="s">
        <v>590</v>
      </c>
      <c r="D120" s="19" t="s">
        <v>83</v>
      </c>
      <c r="E120" s="19" t="s">
        <v>2339</v>
      </c>
      <c r="F120" s="32" t="s">
        <v>2340</v>
      </c>
      <c r="G120" s="32" t="s">
        <v>2341</v>
      </c>
      <c r="H120" s="32" t="s">
        <v>2342</v>
      </c>
      <c r="I120" s="24"/>
      <c r="J120" s="24"/>
      <c r="K120" s="24"/>
      <c r="L120" s="24"/>
      <c r="M120" s="24"/>
      <c r="N120" s="37" t="s">
        <v>2343</v>
      </c>
      <c r="O120" s="37"/>
      <c r="P120" s="37"/>
      <c r="Q120" s="37" t="s">
        <v>71</v>
      </c>
      <c r="R120" s="37" t="s">
        <v>71</v>
      </c>
      <c r="S120" s="37" t="s">
        <v>2344</v>
      </c>
      <c r="T120" s="40" t="s">
        <v>2345</v>
      </c>
    </row>
    <row r="121" spans="1:20" ht="42" customHeight="1">
      <c r="A121" s="19" t="s">
        <v>591</v>
      </c>
      <c r="B121" s="19" t="s">
        <v>592</v>
      </c>
      <c r="C121" s="19" t="s">
        <v>593</v>
      </c>
      <c r="D121" s="19" t="s">
        <v>83</v>
      </c>
      <c r="E121" s="19" t="s">
        <v>2434</v>
      </c>
      <c r="F121" s="32" t="s">
        <v>2340</v>
      </c>
      <c r="G121" s="32" t="s">
        <v>2435</v>
      </c>
      <c r="H121" s="32" t="s">
        <v>2352</v>
      </c>
      <c r="I121" s="24"/>
      <c r="J121" s="24"/>
      <c r="K121" s="24"/>
      <c r="L121" s="24"/>
      <c r="M121" s="24"/>
      <c r="N121" s="37" t="s">
        <v>2343</v>
      </c>
      <c r="O121" s="37"/>
      <c r="P121" s="37"/>
      <c r="Q121" s="37" t="s">
        <v>71</v>
      </c>
      <c r="R121" s="37" t="s">
        <v>71</v>
      </c>
      <c r="S121" s="37" t="s">
        <v>2344</v>
      </c>
      <c r="T121" s="40" t="s">
        <v>2345</v>
      </c>
    </row>
    <row r="122" spans="1:20" ht="42" customHeight="1">
      <c r="A122" s="19" t="s">
        <v>594</v>
      </c>
      <c r="B122" s="19" t="s">
        <v>595</v>
      </c>
      <c r="C122" s="19" t="s">
        <v>596</v>
      </c>
      <c r="D122" s="19" t="s">
        <v>83</v>
      </c>
      <c r="E122" s="19" t="s">
        <v>2339</v>
      </c>
      <c r="F122" s="32" t="s">
        <v>2340</v>
      </c>
      <c r="G122" s="32" t="s">
        <v>2341</v>
      </c>
      <c r="H122" s="32" t="s">
        <v>2342</v>
      </c>
      <c r="I122" s="24"/>
      <c r="J122" s="24"/>
      <c r="K122" s="24"/>
      <c r="L122" s="24"/>
      <c r="M122" s="24"/>
      <c r="N122" s="37" t="s">
        <v>2343</v>
      </c>
      <c r="O122" s="37"/>
      <c r="P122" s="37"/>
      <c r="Q122" s="37" t="s">
        <v>71</v>
      </c>
      <c r="R122" s="37" t="s">
        <v>71</v>
      </c>
      <c r="S122" s="37" t="s">
        <v>2344</v>
      </c>
      <c r="T122" s="40" t="s">
        <v>2345</v>
      </c>
    </row>
    <row r="123" spans="1:20" ht="42" customHeight="1">
      <c r="A123" s="19" t="s">
        <v>597</v>
      </c>
      <c r="B123" s="19" t="s">
        <v>598</v>
      </c>
      <c r="C123" s="19" t="s">
        <v>599</v>
      </c>
      <c r="D123" s="19" t="s">
        <v>77</v>
      </c>
      <c r="E123" s="19" t="s">
        <v>2476</v>
      </c>
      <c r="F123" s="32" t="s">
        <v>2374</v>
      </c>
      <c r="G123" s="32" t="s">
        <v>2477</v>
      </c>
      <c r="H123" s="32" t="s">
        <v>2349</v>
      </c>
      <c r="I123" s="24"/>
      <c r="J123" s="24"/>
      <c r="K123" s="24"/>
      <c r="L123" s="24"/>
      <c r="M123" s="24"/>
      <c r="N123" s="37" t="s">
        <v>2343</v>
      </c>
      <c r="O123" s="37"/>
      <c r="P123" s="37"/>
      <c r="Q123" s="37" t="s">
        <v>71</v>
      </c>
      <c r="R123" s="37" t="s">
        <v>71</v>
      </c>
      <c r="S123" s="37" t="s">
        <v>2344</v>
      </c>
      <c r="T123" s="40" t="s">
        <v>2345</v>
      </c>
    </row>
    <row r="124" spans="1:20" ht="42" customHeight="1">
      <c r="A124" s="19" t="s">
        <v>600</v>
      </c>
      <c r="B124" s="19" t="s">
        <v>601</v>
      </c>
      <c r="C124" s="19" t="s">
        <v>602</v>
      </c>
      <c r="D124" s="19" t="s">
        <v>86</v>
      </c>
      <c r="E124" s="19" t="s">
        <v>2478</v>
      </c>
      <c r="F124" s="32" t="s">
        <v>2406</v>
      </c>
      <c r="G124" s="32" t="s">
        <v>2477</v>
      </c>
      <c r="H124" s="32" t="s">
        <v>2468</v>
      </c>
      <c r="I124" s="24"/>
      <c r="J124" s="24"/>
      <c r="K124" s="24"/>
      <c r="L124" s="24"/>
      <c r="M124" s="24"/>
      <c r="N124" s="37" t="s">
        <v>2343</v>
      </c>
      <c r="O124" s="37"/>
      <c r="P124" s="37"/>
      <c r="Q124" s="37" t="s">
        <v>71</v>
      </c>
      <c r="R124" s="37" t="s">
        <v>71</v>
      </c>
      <c r="S124" s="37" t="s">
        <v>2344</v>
      </c>
      <c r="T124" s="40" t="s">
        <v>2345</v>
      </c>
    </row>
    <row r="125" spans="1:20" ht="42" customHeight="1">
      <c r="A125" s="19" t="s">
        <v>604</v>
      </c>
      <c r="B125" s="19" t="s">
        <v>605</v>
      </c>
      <c r="C125" s="19" t="s">
        <v>606</v>
      </c>
      <c r="D125" s="19" t="s">
        <v>55</v>
      </c>
      <c r="E125" s="19" t="s">
        <v>2479</v>
      </c>
      <c r="F125" s="32" t="s">
        <v>2356</v>
      </c>
      <c r="G125" s="32" t="s">
        <v>2425</v>
      </c>
      <c r="H125" s="32" t="s">
        <v>2349</v>
      </c>
      <c r="I125" s="24"/>
      <c r="J125" s="24"/>
      <c r="K125" s="24"/>
      <c r="L125" s="24"/>
      <c r="M125" s="24"/>
      <c r="N125" s="37" t="s">
        <v>2343</v>
      </c>
      <c r="O125" s="37"/>
      <c r="P125" s="37"/>
      <c r="Q125" s="37" t="s">
        <v>71</v>
      </c>
      <c r="R125" s="37" t="s">
        <v>71</v>
      </c>
      <c r="S125" s="37" t="s">
        <v>2344</v>
      </c>
      <c r="T125" s="40" t="s">
        <v>2345</v>
      </c>
    </row>
    <row r="126" spans="1:20" ht="42" customHeight="1">
      <c r="A126" s="19" t="s">
        <v>608</v>
      </c>
      <c r="B126" s="19" t="s">
        <v>609</v>
      </c>
      <c r="C126" s="19" t="s">
        <v>610</v>
      </c>
      <c r="D126" s="19" t="s">
        <v>72</v>
      </c>
      <c r="E126" s="19" t="s">
        <v>2399</v>
      </c>
      <c r="F126" s="32" t="s">
        <v>2340</v>
      </c>
      <c r="G126" s="32" t="s">
        <v>2400</v>
      </c>
      <c r="H126" s="32" t="s">
        <v>2349</v>
      </c>
      <c r="I126" s="24"/>
      <c r="J126" s="24"/>
      <c r="K126" s="24"/>
      <c r="L126" s="24"/>
      <c r="M126" s="24"/>
      <c r="N126" s="37" t="s">
        <v>2343</v>
      </c>
      <c r="O126" s="37"/>
      <c r="P126" s="37"/>
      <c r="Q126" s="37" t="s">
        <v>71</v>
      </c>
      <c r="R126" s="37" t="s">
        <v>71</v>
      </c>
      <c r="S126" s="37" t="s">
        <v>2344</v>
      </c>
      <c r="T126" s="40" t="s">
        <v>2345</v>
      </c>
    </row>
    <row r="127" spans="1:20" ht="42" customHeight="1">
      <c r="A127" s="19" t="s">
        <v>611</v>
      </c>
      <c r="B127" s="19" t="s">
        <v>612</v>
      </c>
      <c r="C127" s="19" t="s">
        <v>503</v>
      </c>
      <c r="D127" s="19" t="s">
        <v>77</v>
      </c>
      <c r="E127" s="19" t="s">
        <v>2409</v>
      </c>
      <c r="F127" s="32" t="s">
        <v>2340</v>
      </c>
      <c r="G127" s="32" t="s">
        <v>2410</v>
      </c>
      <c r="H127" s="32" t="s">
        <v>2352</v>
      </c>
      <c r="I127" s="24"/>
      <c r="J127" s="24"/>
      <c r="K127" s="24"/>
      <c r="L127" s="24"/>
      <c r="M127" s="24"/>
      <c r="N127" s="37" t="s">
        <v>2343</v>
      </c>
      <c r="O127" s="37"/>
      <c r="P127" s="37"/>
      <c r="Q127" s="37" t="s">
        <v>71</v>
      </c>
      <c r="R127" s="37" t="s">
        <v>71</v>
      </c>
      <c r="S127" s="37" t="s">
        <v>2344</v>
      </c>
      <c r="T127" s="40" t="s">
        <v>2345</v>
      </c>
    </row>
    <row r="128" spans="1:20" ht="42" customHeight="1">
      <c r="A128" s="19" t="s">
        <v>614</v>
      </c>
      <c r="B128" s="19" t="s">
        <v>615</v>
      </c>
      <c r="C128" s="19" t="s">
        <v>616</v>
      </c>
      <c r="D128" s="19" t="s">
        <v>61</v>
      </c>
      <c r="E128" s="19" t="s">
        <v>2480</v>
      </c>
      <c r="F128" s="32" t="s">
        <v>2377</v>
      </c>
      <c r="G128" s="32" t="s">
        <v>2481</v>
      </c>
      <c r="H128" s="32" t="s">
        <v>2379</v>
      </c>
      <c r="I128" s="24"/>
      <c r="J128" s="24"/>
      <c r="K128" s="24"/>
      <c r="L128" s="24"/>
      <c r="M128" s="24"/>
      <c r="N128" s="37" t="s">
        <v>2343</v>
      </c>
      <c r="O128" s="37"/>
      <c r="P128" s="37"/>
      <c r="Q128" s="37" t="s">
        <v>71</v>
      </c>
      <c r="R128" s="37" t="s">
        <v>71</v>
      </c>
      <c r="S128" s="37" t="s">
        <v>2344</v>
      </c>
      <c r="T128" s="40" t="s">
        <v>2345</v>
      </c>
    </row>
    <row r="129" spans="1:20" ht="42" customHeight="1">
      <c r="A129" s="19" t="s">
        <v>617</v>
      </c>
      <c r="B129" s="19" t="s">
        <v>618</v>
      </c>
      <c r="C129" s="19" t="s">
        <v>619</v>
      </c>
      <c r="D129" s="19" t="s">
        <v>75</v>
      </c>
      <c r="E129" s="19" t="s">
        <v>2482</v>
      </c>
      <c r="F129" s="32" t="s">
        <v>2483</v>
      </c>
      <c r="G129" s="32" t="s">
        <v>2484</v>
      </c>
      <c r="H129" s="32" t="s">
        <v>2468</v>
      </c>
      <c r="I129" s="24"/>
      <c r="J129" s="24"/>
      <c r="K129" s="24"/>
      <c r="L129" s="24"/>
      <c r="M129" s="24"/>
      <c r="N129" s="37" t="s">
        <v>2343</v>
      </c>
      <c r="O129" s="37"/>
      <c r="P129" s="37"/>
      <c r="Q129" s="37" t="s">
        <v>71</v>
      </c>
      <c r="R129" s="37" t="s">
        <v>71</v>
      </c>
      <c r="S129" s="37" t="s">
        <v>2344</v>
      </c>
      <c r="T129" s="40" t="s">
        <v>2345</v>
      </c>
    </row>
    <row r="130" spans="1:20" ht="42" customHeight="1">
      <c r="A130" s="19" t="s">
        <v>620</v>
      </c>
      <c r="B130" s="19" t="s">
        <v>621</v>
      </c>
      <c r="C130" s="19" t="s">
        <v>622</v>
      </c>
      <c r="D130" s="19" t="s">
        <v>83</v>
      </c>
      <c r="E130" s="19" t="s">
        <v>2399</v>
      </c>
      <c r="F130" s="32" t="s">
        <v>2340</v>
      </c>
      <c r="G130" s="32" t="s">
        <v>2400</v>
      </c>
      <c r="H130" s="32" t="s">
        <v>2349</v>
      </c>
      <c r="I130" s="24"/>
      <c r="J130" s="24"/>
      <c r="K130" s="24"/>
      <c r="L130" s="24"/>
      <c r="M130" s="24"/>
      <c r="N130" s="37" t="s">
        <v>2343</v>
      </c>
      <c r="O130" s="37"/>
      <c r="P130" s="37"/>
      <c r="Q130" s="37" t="s">
        <v>71</v>
      </c>
      <c r="R130" s="37" t="s">
        <v>71</v>
      </c>
      <c r="S130" s="37" t="s">
        <v>2344</v>
      </c>
      <c r="T130" s="40" t="s">
        <v>2345</v>
      </c>
    </row>
    <row r="131" spans="1:20" ht="42" customHeight="1">
      <c r="A131" s="19" t="s">
        <v>624</v>
      </c>
      <c r="B131" s="19" t="s">
        <v>625</v>
      </c>
      <c r="C131" s="19" t="s">
        <v>626</v>
      </c>
      <c r="D131" s="19" t="s">
        <v>58</v>
      </c>
      <c r="E131" s="19" t="s">
        <v>2485</v>
      </c>
      <c r="F131" s="32" t="s">
        <v>2340</v>
      </c>
      <c r="G131" s="32" t="s">
        <v>2486</v>
      </c>
      <c r="H131" s="32" t="s">
        <v>2417</v>
      </c>
      <c r="I131" s="24"/>
      <c r="J131" s="24"/>
      <c r="K131" s="24"/>
      <c r="L131" s="24"/>
      <c r="M131" s="24"/>
      <c r="N131" s="37" t="s">
        <v>2343</v>
      </c>
      <c r="O131" s="37"/>
      <c r="P131" s="37"/>
      <c r="Q131" s="37" t="s">
        <v>71</v>
      </c>
      <c r="R131" s="37" t="s">
        <v>71</v>
      </c>
      <c r="S131" s="37" t="s">
        <v>2344</v>
      </c>
      <c r="T131" s="40" t="s">
        <v>2345</v>
      </c>
    </row>
    <row r="132" spans="1:20" ht="42" customHeight="1">
      <c r="A132" s="19" t="s">
        <v>627</v>
      </c>
      <c r="B132" s="19" t="s">
        <v>628</v>
      </c>
      <c r="C132" s="19" t="s">
        <v>629</v>
      </c>
      <c r="D132" s="19" t="s">
        <v>83</v>
      </c>
      <c r="E132" s="19" t="s">
        <v>2339</v>
      </c>
      <c r="F132" s="32" t="s">
        <v>2340</v>
      </c>
      <c r="G132" s="32" t="s">
        <v>2341</v>
      </c>
      <c r="H132" s="32" t="s">
        <v>2342</v>
      </c>
      <c r="I132" s="24"/>
      <c r="J132" s="24"/>
      <c r="K132" s="24"/>
      <c r="L132" s="24"/>
      <c r="M132" s="24"/>
      <c r="N132" s="37" t="s">
        <v>2343</v>
      </c>
      <c r="O132" s="37"/>
      <c r="P132" s="37"/>
      <c r="Q132" s="37" t="s">
        <v>71</v>
      </c>
      <c r="R132" s="37" t="s">
        <v>71</v>
      </c>
      <c r="S132" s="37" t="s">
        <v>2344</v>
      </c>
      <c r="T132" s="40" t="s">
        <v>2345</v>
      </c>
    </row>
    <row r="133" spans="1:20" ht="42" customHeight="1">
      <c r="A133" s="19" t="s">
        <v>630</v>
      </c>
      <c r="B133" s="19" t="s">
        <v>631</v>
      </c>
      <c r="C133" s="19" t="s">
        <v>632</v>
      </c>
      <c r="D133" s="19" t="s">
        <v>72</v>
      </c>
      <c r="E133" s="19" t="s">
        <v>2487</v>
      </c>
      <c r="F133" s="32" t="s">
        <v>2340</v>
      </c>
      <c r="G133" s="32" t="s">
        <v>2488</v>
      </c>
      <c r="H133" s="32" t="s">
        <v>2417</v>
      </c>
      <c r="I133" s="24"/>
      <c r="J133" s="24"/>
      <c r="K133" s="24"/>
      <c r="L133" s="24"/>
      <c r="M133" s="24"/>
      <c r="N133" s="37" t="s">
        <v>2343</v>
      </c>
      <c r="O133" s="37"/>
      <c r="P133" s="37"/>
      <c r="Q133" s="37" t="s">
        <v>71</v>
      </c>
      <c r="R133" s="37" t="s">
        <v>71</v>
      </c>
      <c r="S133" s="37" t="s">
        <v>2344</v>
      </c>
      <c r="T133" s="40" t="s">
        <v>2345</v>
      </c>
    </row>
    <row r="134" spans="1:20" ht="42" customHeight="1">
      <c r="A134" s="19" t="s">
        <v>633</v>
      </c>
      <c r="B134" s="19" t="s">
        <v>634</v>
      </c>
      <c r="C134" s="19" t="s">
        <v>635</v>
      </c>
      <c r="D134" s="19" t="s">
        <v>58</v>
      </c>
      <c r="E134" s="19" t="s">
        <v>2489</v>
      </c>
      <c r="F134" s="32" t="s">
        <v>2391</v>
      </c>
      <c r="G134" s="32" t="s">
        <v>2490</v>
      </c>
      <c r="H134" s="32" t="s">
        <v>2468</v>
      </c>
      <c r="I134" s="24"/>
      <c r="J134" s="24"/>
      <c r="K134" s="24"/>
      <c r="L134" s="24"/>
      <c r="M134" s="24"/>
      <c r="N134" s="37" t="s">
        <v>2343</v>
      </c>
      <c r="O134" s="37"/>
      <c r="P134" s="37"/>
      <c r="Q134" s="37" t="s">
        <v>71</v>
      </c>
      <c r="R134" s="37" t="s">
        <v>71</v>
      </c>
      <c r="S134" s="37" t="s">
        <v>2344</v>
      </c>
      <c r="T134" s="40" t="s">
        <v>2345</v>
      </c>
    </row>
    <row r="135" spans="1:20" ht="42" customHeight="1">
      <c r="A135" s="19" t="s">
        <v>636</v>
      </c>
      <c r="B135" s="19" t="s">
        <v>637</v>
      </c>
      <c r="C135" s="19" t="s">
        <v>638</v>
      </c>
      <c r="D135" s="19" t="s">
        <v>86</v>
      </c>
      <c r="E135" s="19" t="s">
        <v>2409</v>
      </c>
      <c r="F135" s="32" t="s">
        <v>2340</v>
      </c>
      <c r="G135" s="32" t="s">
        <v>2410</v>
      </c>
      <c r="H135" s="32" t="s">
        <v>2352</v>
      </c>
      <c r="I135" s="24"/>
      <c r="J135" s="24"/>
      <c r="K135" s="24"/>
      <c r="L135" s="24"/>
      <c r="M135" s="24"/>
      <c r="N135" s="37" t="s">
        <v>2343</v>
      </c>
      <c r="O135" s="37"/>
      <c r="P135" s="37"/>
      <c r="Q135" s="37" t="s">
        <v>71</v>
      </c>
      <c r="R135" s="37" t="s">
        <v>71</v>
      </c>
      <c r="S135" s="37" t="s">
        <v>2344</v>
      </c>
      <c r="T135" s="40" t="s">
        <v>2345</v>
      </c>
    </row>
    <row r="136" spans="1:20" ht="42" customHeight="1">
      <c r="A136" s="19" t="s">
        <v>639</v>
      </c>
      <c r="B136" s="19" t="s">
        <v>640</v>
      </c>
      <c r="C136" s="19" t="s">
        <v>641</v>
      </c>
      <c r="D136" s="19" t="s">
        <v>61</v>
      </c>
      <c r="E136" s="19" t="s">
        <v>2491</v>
      </c>
      <c r="F136" s="32" t="s">
        <v>2377</v>
      </c>
      <c r="G136" s="32" t="s">
        <v>2348</v>
      </c>
      <c r="H136" s="32" t="s">
        <v>2468</v>
      </c>
      <c r="I136" s="24"/>
      <c r="J136" s="24"/>
      <c r="K136" s="24"/>
      <c r="L136" s="24"/>
      <c r="M136" s="24"/>
      <c r="N136" s="37" t="s">
        <v>2343</v>
      </c>
      <c r="O136" s="37"/>
      <c r="P136" s="37"/>
      <c r="Q136" s="37" t="s">
        <v>71</v>
      </c>
      <c r="R136" s="37" t="s">
        <v>71</v>
      </c>
      <c r="S136" s="37" t="s">
        <v>2344</v>
      </c>
      <c r="T136" s="40" t="s">
        <v>2345</v>
      </c>
    </row>
    <row r="137" spans="1:20" ht="42" customHeight="1">
      <c r="A137" s="19" t="s">
        <v>642</v>
      </c>
      <c r="B137" s="19" t="s">
        <v>643</v>
      </c>
      <c r="C137" s="19" t="s">
        <v>644</v>
      </c>
      <c r="D137" s="19" t="s">
        <v>61</v>
      </c>
      <c r="E137" s="19" t="s">
        <v>2492</v>
      </c>
      <c r="F137" s="32" t="s">
        <v>2493</v>
      </c>
      <c r="G137" s="32" t="s">
        <v>2494</v>
      </c>
      <c r="H137" s="32" t="s">
        <v>2468</v>
      </c>
      <c r="I137" s="24"/>
      <c r="J137" s="24"/>
      <c r="K137" s="24"/>
      <c r="L137" s="24"/>
      <c r="M137" s="24"/>
      <c r="N137" s="37" t="s">
        <v>2343</v>
      </c>
      <c r="O137" s="37"/>
      <c r="P137" s="37"/>
      <c r="Q137" s="37" t="s">
        <v>71</v>
      </c>
      <c r="R137" s="37" t="s">
        <v>71</v>
      </c>
      <c r="S137" s="37" t="s">
        <v>2344</v>
      </c>
      <c r="T137" s="40" t="s">
        <v>2345</v>
      </c>
    </row>
    <row r="138" spans="1:20" ht="42" customHeight="1">
      <c r="A138" s="19" t="s">
        <v>645</v>
      </c>
      <c r="B138" s="19" t="s">
        <v>646</v>
      </c>
      <c r="C138" s="19" t="s">
        <v>137</v>
      </c>
      <c r="D138" s="19" t="s">
        <v>69</v>
      </c>
      <c r="E138" s="19" t="s">
        <v>2401</v>
      </c>
      <c r="F138" s="32" t="s">
        <v>2340</v>
      </c>
      <c r="G138" s="32" t="s">
        <v>2402</v>
      </c>
      <c r="H138" s="32" t="s">
        <v>2352</v>
      </c>
      <c r="I138" s="24"/>
      <c r="J138" s="24"/>
      <c r="K138" s="24"/>
      <c r="L138" s="24"/>
      <c r="M138" s="24"/>
      <c r="N138" s="37" t="s">
        <v>2343</v>
      </c>
      <c r="O138" s="37"/>
      <c r="P138" s="37"/>
      <c r="Q138" s="37" t="s">
        <v>71</v>
      </c>
      <c r="R138" s="37" t="s">
        <v>71</v>
      </c>
      <c r="S138" s="37" t="s">
        <v>2344</v>
      </c>
      <c r="T138" s="40" t="s">
        <v>2345</v>
      </c>
    </row>
    <row r="139" spans="1:20" ht="42" customHeight="1">
      <c r="A139" s="19" t="s">
        <v>647</v>
      </c>
      <c r="B139" s="19" t="s">
        <v>648</v>
      </c>
      <c r="C139" s="19" t="s">
        <v>649</v>
      </c>
      <c r="D139" s="19" t="s">
        <v>83</v>
      </c>
      <c r="E139" s="19" t="s">
        <v>2495</v>
      </c>
      <c r="F139" s="32" t="s">
        <v>2340</v>
      </c>
      <c r="G139" s="32" t="s">
        <v>2496</v>
      </c>
      <c r="H139" s="32" t="s">
        <v>2352</v>
      </c>
      <c r="I139" s="24"/>
      <c r="J139" s="24"/>
      <c r="K139" s="24"/>
      <c r="L139" s="24"/>
      <c r="M139" s="24"/>
      <c r="N139" s="37" t="s">
        <v>2343</v>
      </c>
      <c r="O139" s="37"/>
      <c r="P139" s="37"/>
      <c r="Q139" s="37" t="s">
        <v>71</v>
      </c>
      <c r="R139" s="37" t="s">
        <v>71</v>
      </c>
      <c r="S139" s="37" t="s">
        <v>2344</v>
      </c>
      <c r="T139" s="40" t="s">
        <v>2345</v>
      </c>
    </row>
    <row r="140" spans="1:20" ht="42" customHeight="1">
      <c r="A140" s="19" t="s">
        <v>650</v>
      </c>
      <c r="B140" s="19" t="s">
        <v>651</v>
      </c>
      <c r="C140" s="19" t="s">
        <v>652</v>
      </c>
      <c r="D140" s="19" t="s">
        <v>88</v>
      </c>
      <c r="E140" s="19" t="s">
        <v>2497</v>
      </c>
      <c r="F140" s="32" t="s">
        <v>2340</v>
      </c>
      <c r="G140" s="32" t="s">
        <v>2498</v>
      </c>
      <c r="H140" s="32" t="s">
        <v>2417</v>
      </c>
      <c r="I140" s="24"/>
      <c r="J140" s="24"/>
      <c r="K140" s="24"/>
      <c r="L140" s="24"/>
      <c r="M140" s="24"/>
      <c r="N140" s="37" t="s">
        <v>2343</v>
      </c>
      <c r="O140" s="37"/>
      <c r="P140" s="37"/>
      <c r="Q140" s="37" t="s">
        <v>71</v>
      </c>
      <c r="R140" s="37" t="s">
        <v>71</v>
      </c>
      <c r="S140" s="37" t="s">
        <v>2344</v>
      </c>
      <c r="T140" s="40" t="s">
        <v>2345</v>
      </c>
    </row>
    <row r="141" spans="1:20" ht="42" customHeight="1">
      <c r="A141" s="19" t="s">
        <v>653</v>
      </c>
      <c r="B141" s="19" t="s">
        <v>654</v>
      </c>
      <c r="C141" s="19" t="s">
        <v>655</v>
      </c>
      <c r="D141" s="19" t="s">
        <v>90</v>
      </c>
      <c r="E141" s="19" t="s">
        <v>2499</v>
      </c>
      <c r="F141" s="32" t="s">
        <v>2340</v>
      </c>
      <c r="G141" s="32" t="s">
        <v>2500</v>
      </c>
      <c r="H141" s="32" t="s">
        <v>2352</v>
      </c>
      <c r="I141" s="24"/>
      <c r="J141" s="24"/>
      <c r="K141" s="24"/>
      <c r="L141" s="24"/>
      <c r="M141" s="24"/>
      <c r="N141" s="37" t="s">
        <v>2343</v>
      </c>
      <c r="O141" s="37"/>
      <c r="P141" s="37"/>
      <c r="Q141" s="37" t="s">
        <v>71</v>
      </c>
      <c r="R141" s="37" t="s">
        <v>71</v>
      </c>
      <c r="S141" s="37" t="s">
        <v>2344</v>
      </c>
      <c r="T141" s="40" t="s">
        <v>2345</v>
      </c>
    </row>
    <row r="142" spans="1:20" ht="42" customHeight="1">
      <c r="A142" s="19" t="s">
        <v>656</v>
      </c>
      <c r="B142" s="19" t="s">
        <v>657</v>
      </c>
      <c r="C142" s="19" t="s">
        <v>658</v>
      </c>
      <c r="D142" s="19" t="s">
        <v>61</v>
      </c>
      <c r="E142" s="19" t="s">
        <v>2409</v>
      </c>
      <c r="F142" s="32" t="s">
        <v>2340</v>
      </c>
      <c r="G142" s="32" t="s">
        <v>2410</v>
      </c>
      <c r="H142" s="32" t="s">
        <v>2352</v>
      </c>
      <c r="I142" s="24"/>
      <c r="J142" s="24"/>
      <c r="K142" s="24"/>
      <c r="L142" s="24"/>
      <c r="M142" s="24"/>
      <c r="N142" s="37" t="s">
        <v>2343</v>
      </c>
      <c r="O142" s="37"/>
      <c r="P142" s="37"/>
      <c r="Q142" s="37" t="s">
        <v>71</v>
      </c>
      <c r="R142" s="37" t="s">
        <v>71</v>
      </c>
      <c r="S142" s="37" t="s">
        <v>2344</v>
      </c>
      <c r="T142" s="40" t="s">
        <v>2345</v>
      </c>
    </row>
    <row r="143" spans="1:20" ht="42" customHeight="1">
      <c r="A143" s="19" t="s">
        <v>659</v>
      </c>
      <c r="B143" s="19" t="s">
        <v>660</v>
      </c>
      <c r="C143" s="19" t="s">
        <v>661</v>
      </c>
      <c r="D143" s="19" t="s">
        <v>86</v>
      </c>
      <c r="E143" s="19" t="s">
        <v>2501</v>
      </c>
      <c r="F143" s="32" t="s">
        <v>2340</v>
      </c>
      <c r="G143" s="32" t="s">
        <v>2502</v>
      </c>
      <c r="H143" s="32" t="s">
        <v>2352</v>
      </c>
      <c r="I143" s="24"/>
      <c r="J143" s="24"/>
      <c r="K143" s="24"/>
      <c r="L143" s="24"/>
      <c r="M143" s="24"/>
      <c r="N143" s="37" t="s">
        <v>2343</v>
      </c>
      <c r="O143" s="37"/>
      <c r="P143" s="37"/>
      <c r="Q143" s="37" t="s">
        <v>71</v>
      </c>
      <c r="R143" s="37" t="s">
        <v>71</v>
      </c>
      <c r="S143" s="37" t="s">
        <v>2344</v>
      </c>
      <c r="T143" s="40" t="s">
        <v>2345</v>
      </c>
    </row>
    <row r="144" spans="1:20" ht="42" customHeight="1">
      <c r="A144" s="19" t="s">
        <v>662</v>
      </c>
      <c r="B144" s="19" t="s">
        <v>663</v>
      </c>
      <c r="C144" s="19" t="s">
        <v>664</v>
      </c>
      <c r="D144" s="19" t="s">
        <v>79</v>
      </c>
      <c r="E144" s="19" t="s">
        <v>2503</v>
      </c>
      <c r="F144" s="32" t="s">
        <v>2340</v>
      </c>
      <c r="G144" s="32" t="s">
        <v>2504</v>
      </c>
      <c r="H144" s="32" t="s">
        <v>2417</v>
      </c>
      <c r="I144" s="24"/>
      <c r="J144" s="24"/>
      <c r="K144" s="24"/>
      <c r="L144" s="24"/>
      <c r="M144" s="24"/>
      <c r="N144" s="37" t="s">
        <v>2343</v>
      </c>
      <c r="O144" s="37"/>
      <c r="P144" s="37"/>
      <c r="Q144" s="37" t="s">
        <v>71</v>
      </c>
      <c r="R144" s="37" t="s">
        <v>71</v>
      </c>
      <c r="S144" s="37" t="s">
        <v>2344</v>
      </c>
      <c r="T144" s="40" t="s">
        <v>2345</v>
      </c>
    </row>
    <row r="145" spans="1:20" ht="42" customHeight="1">
      <c r="A145" s="19" t="s">
        <v>666</v>
      </c>
      <c r="B145" s="19" t="s">
        <v>667</v>
      </c>
      <c r="C145" s="19" t="s">
        <v>668</v>
      </c>
      <c r="D145" s="19" t="s">
        <v>61</v>
      </c>
      <c r="E145" s="19" t="s">
        <v>2339</v>
      </c>
      <c r="F145" s="32" t="s">
        <v>2340</v>
      </c>
      <c r="G145" s="32" t="s">
        <v>2341</v>
      </c>
      <c r="H145" s="32" t="s">
        <v>2342</v>
      </c>
      <c r="I145" s="24"/>
      <c r="J145" s="24"/>
      <c r="K145" s="24"/>
      <c r="L145" s="24"/>
      <c r="M145" s="24"/>
      <c r="N145" s="37" t="s">
        <v>2343</v>
      </c>
      <c r="O145" s="37"/>
      <c r="P145" s="37"/>
      <c r="Q145" s="37" t="s">
        <v>71</v>
      </c>
      <c r="R145" s="37" t="s">
        <v>71</v>
      </c>
      <c r="S145" s="37" t="s">
        <v>2344</v>
      </c>
      <c r="T145" s="40" t="s">
        <v>2345</v>
      </c>
    </row>
    <row r="146" spans="1:20" ht="42" customHeight="1">
      <c r="A146" s="19" t="s">
        <v>669</v>
      </c>
      <c r="B146" s="19" t="s">
        <v>670</v>
      </c>
      <c r="C146" s="19" t="s">
        <v>671</v>
      </c>
      <c r="D146" s="19" t="s">
        <v>92</v>
      </c>
      <c r="E146" s="19" t="s">
        <v>2355</v>
      </c>
      <c r="F146" s="32" t="s">
        <v>2356</v>
      </c>
      <c r="G146" s="32" t="s">
        <v>2357</v>
      </c>
      <c r="H146" s="32" t="s">
        <v>2349</v>
      </c>
      <c r="I146" s="24"/>
      <c r="J146" s="24"/>
      <c r="K146" s="24"/>
      <c r="L146" s="24"/>
      <c r="M146" s="24"/>
      <c r="N146" s="37" t="s">
        <v>2343</v>
      </c>
      <c r="O146" s="37"/>
      <c r="P146" s="37"/>
      <c r="Q146" s="37" t="s">
        <v>71</v>
      </c>
      <c r="R146" s="37" t="s">
        <v>71</v>
      </c>
      <c r="S146" s="37" t="s">
        <v>2344</v>
      </c>
      <c r="T146" s="40" t="s">
        <v>2345</v>
      </c>
    </row>
    <row r="147" spans="1:20" ht="42" customHeight="1">
      <c r="A147" s="19" t="s">
        <v>672</v>
      </c>
      <c r="B147" s="19" t="s">
        <v>673</v>
      </c>
      <c r="C147" s="19" t="s">
        <v>674</v>
      </c>
      <c r="D147" s="19" t="s">
        <v>88</v>
      </c>
      <c r="E147" s="19" t="s">
        <v>2346</v>
      </c>
      <c r="F147" s="32" t="s">
        <v>2347</v>
      </c>
      <c r="G147" s="32" t="s">
        <v>2348</v>
      </c>
      <c r="H147" s="32" t="s">
        <v>2349</v>
      </c>
      <c r="I147" s="24"/>
      <c r="J147" s="24"/>
      <c r="K147" s="24"/>
      <c r="L147" s="24"/>
      <c r="M147" s="24"/>
      <c r="N147" s="37" t="s">
        <v>2343</v>
      </c>
      <c r="O147" s="37"/>
      <c r="P147" s="37"/>
      <c r="Q147" s="37" t="s">
        <v>71</v>
      </c>
      <c r="R147" s="37" t="s">
        <v>71</v>
      </c>
      <c r="S147" s="37" t="s">
        <v>2344</v>
      </c>
      <c r="T147" s="40" t="s">
        <v>2345</v>
      </c>
    </row>
    <row r="148" spans="1:20" ht="42" customHeight="1">
      <c r="A148" s="19" t="s">
        <v>676</v>
      </c>
      <c r="B148" s="19" t="s">
        <v>677</v>
      </c>
      <c r="C148" s="19" t="s">
        <v>435</v>
      </c>
      <c r="D148" s="19" t="s">
        <v>58</v>
      </c>
      <c r="E148" s="19" t="s">
        <v>2434</v>
      </c>
      <c r="F148" s="32" t="s">
        <v>2340</v>
      </c>
      <c r="G148" s="32" t="s">
        <v>2435</v>
      </c>
      <c r="H148" s="32" t="s">
        <v>2352</v>
      </c>
      <c r="I148" s="24"/>
      <c r="J148" s="24"/>
      <c r="K148" s="24"/>
      <c r="L148" s="24"/>
      <c r="M148" s="24"/>
      <c r="N148" s="37" t="s">
        <v>2343</v>
      </c>
      <c r="O148" s="37"/>
      <c r="P148" s="37"/>
      <c r="Q148" s="37" t="s">
        <v>71</v>
      </c>
      <c r="R148" s="37" t="s">
        <v>71</v>
      </c>
      <c r="S148" s="37" t="s">
        <v>2344</v>
      </c>
      <c r="T148" s="40" t="s">
        <v>2345</v>
      </c>
    </row>
    <row r="149" spans="1:20" ht="42" customHeight="1">
      <c r="A149" s="19" t="s">
        <v>678</v>
      </c>
      <c r="B149" s="19" t="s">
        <v>679</v>
      </c>
      <c r="C149" s="19" t="s">
        <v>680</v>
      </c>
      <c r="D149" s="19" t="s">
        <v>88</v>
      </c>
      <c r="E149" s="19" t="s">
        <v>2495</v>
      </c>
      <c r="F149" s="32" t="s">
        <v>2340</v>
      </c>
      <c r="G149" s="32" t="s">
        <v>2496</v>
      </c>
      <c r="H149" s="32" t="s">
        <v>2352</v>
      </c>
      <c r="I149" s="24"/>
      <c r="J149" s="24"/>
      <c r="K149" s="24"/>
      <c r="L149" s="24"/>
      <c r="M149" s="24"/>
      <c r="N149" s="37" t="s">
        <v>2343</v>
      </c>
      <c r="O149" s="37"/>
      <c r="P149" s="37"/>
      <c r="Q149" s="37" t="s">
        <v>71</v>
      </c>
      <c r="R149" s="37" t="s">
        <v>71</v>
      </c>
      <c r="S149" s="37" t="s">
        <v>2344</v>
      </c>
      <c r="T149" s="40" t="s">
        <v>2345</v>
      </c>
    </row>
    <row r="150" spans="1:20" ht="42" customHeight="1">
      <c r="A150" s="19" t="s">
        <v>682</v>
      </c>
      <c r="B150" s="19" t="s">
        <v>683</v>
      </c>
      <c r="C150" s="19" t="s">
        <v>684</v>
      </c>
      <c r="D150" s="19" t="s">
        <v>72</v>
      </c>
      <c r="E150" s="19" t="s">
        <v>2369</v>
      </c>
      <c r="F150" s="32" t="s">
        <v>2356</v>
      </c>
      <c r="G150" s="32" t="s">
        <v>2370</v>
      </c>
      <c r="H150" s="32" t="s">
        <v>2349</v>
      </c>
      <c r="I150" s="24"/>
      <c r="J150" s="24"/>
      <c r="K150" s="24"/>
      <c r="L150" s="24"/>
      <c r="M150" s="24"/>
      <c r="N150" s="37" t="s">
        <v>2343</v>
      </c>
      <c r="O150" s="37"/>
      <c r="P150" s="37"/>
      <c r="Q150" s="37" t="s">
        <v>71</v>
      </c>
      <c r="R150" s="37" t="s">
        <v>71</v>
      </c>
      <c r="S150" s="37" t="s">
        <v>2344</v>
      </c>
      <c r="T150" s="40" t="s">
        <v>2345</v>
      </c>
    </row>
    <row r="151" spans="1:20" ht="42" customHeight="1">
      <c r="A151" s="19" t="s">
        <v>685</v>
      </c>
      <c r="B151" s="19" t="s">
        <v>686</v>
      </c>
      <c r="C151" s="19" t="s">
        <v>687</v>
      </c>
      <c r="D151" s="19" t="s">
        <v>77</v>
      </c>
      <c r="E151" s="19" t="s">
        <v>2397</v>
      </c>
      <c r="F151" s="32" t="s">
        <v>2340</v>
      </c>
      <c r="G151" s="32" t="s">
        <v>2398</v>
      </c>
      <c r="H151" s="32" t="s">
        <v>2352</v>
      </c>
      <c r="I151" s="24"/>
      <c r="J151" s="24"/>
      <c r="K151" s="24"/>
      <c r="L151" s="24"/>
      <c r="M151" s="24"/>
      <c r="N151" s="37" t="s">
        <v>2343</v>
      </c>
      <c r="O151" s="37"/>
      <c r="P151" s="37"/>
      <c r="Q151" s="37" t="s">
        <v>71</v>
      </c>
      <c r="R151" s="37" t="s">
        <v>71</v>
      </c>
      <c r="S151" s="37" t="s">
        <v>2344</v>
      </c>
      <c r="T151" s="40" t="s">
        <v>2345</v>
      </c>
    </row>
    <row r="152" spans="1:20" ht="42" customHeight="1">
      <c r="A152" s="19" t="s">
        <v>689</v>
      </c>
      <c r="B152" s="19" t="s">
        <v>690</v>
      </c>
      <c r="C152" s="19" t="s">
        <v>691</v>
      </c>
      <c r="D152" s="19" t="s">
        <v>90</v>
      </c>
      <c r="E152" s="19" t="s">
        <v>2386</v>
      </c>
      <c r="F152" s="32"/>
      <c r="G152" s="32" t="s">
        <v>2387</v>
      </c>
      <c r="H152" s="32" t="s">
        <v>2366</v>
      </c>
      <c r="I152" s="24"/>
      <c r="J152" s="24"/>
      <c r="K152" s="24"/>
      <c r="L152" s="24"/>
      <c r="M152" s="24"/>
      <c r="N152" s="37" t="s">
        <v>2343</v>
      </c>
      <c r="O152" s="37"/>
      <c r="P152" s="37"/>
      <c r="Q152" s="37" t="s">
        <v>71</v>
      </c>
      <c r="R152" s="37" t="s">
        <v>71</v>
      </c>
      <c r="S152" s="37" t="s">
        <v>2344</v>
      </c>
      <c r="T152" s="40" t="s">
        <v>2345</v>
      </c>
    </row>
    <row r="153" spans="1:20" ht="42" customHeight="1">
      <c r="A153" s="19" t="s">
        <v>693</v>
      </c>
      <c r="B153" s="19" t="s">
        <v>694</v>
      </c>
      <c r="C153" s="19" t="s">
        <v>695</v>
      </c>
      <c r="D153" s="19" t="s">
        <v>90</v>
      </c>
      <c r="E153" s="19" t="s">
        <v>2459</v>
      </c>
      <c r="F153" s="32" t="s">
        <v>2340</v>
      </c>
      <c r="G153" s="32" t="s">
        <v>2460</v>
      </c>
      <c r="H153" s="32" t="s">
        <v>2417</v>
      </c>
      <c r="I153" s="24"/>
      <c r="J153" s="24"/>
      <c r="K153" s="24"/>
      <c r="L153" s="24"/>
      <c r="M153" s="24"/>
      <c r="N153" s="37" t="s">
        <v>2343</v>
      </c>
      <c r="O153" s="37"/>
      <c r="P153" s="37"/>
      <c r="Q153" s="37" t="s">
        <v>71</v>
      </c>
      <c r="R153" s="37" t="s">
        <v>71</v>
      </c>
      <c r="S153" s="37" t="s">
        <v>2344</v>
      </c>
      <c r="T153" s="40" t="s">
        <v>2345</v>
      </c>
    </row>
    <row r="154" spans="1:20" ht="42" customHeight="1">
      <c r="A154" s="19" t="s">
        <v>696</v>
      </c>
      <c r="B154" s="19" t="s">
        <v>697</v>
      </c>
      <c r="C154" s="19" t="s">
        <v>698</v>
      </c>
      <c r="D154" s="19" t="s">
        <v>86</v>
      </c>
      <c r="E154" s="19" t="s">
        <v>2369</v>
      </c>
      <c r="F154" s="32" t="s">
        <v>2356</v>
      </c>
      <c r="G154" s="32" t="s">
        <v>2370</v>
      </c>
      <c r="H154" s="32" t="s">
        <v>2349</v>
      </c>
      <c r="I154" s="24"/>
      <c r="J154" s="24"/>
      <c r="K154" s="24"/>
      <c r="L154" s="24"/>
      <c r="M154" s="24"/>
      <c r="N154" s="37" t="s">
        <v>2343</v>
      </c>
      <c r="O154" s="37"/>
      <c r="P154" s="37"/>
      <c r="Q154" s="37" t="s">
        <v>71</v>
      </c>
      <c r="R154" s="37" t="s">
        <v>71</v>
      </c>
      <c r="S154" s="37" t="s">
        <v>2344</v>
      </c>
      <c r="T154" s="40" t="s">
        <v>2345</v>
      </c>
    </row>
    <row r="155" spans="1:20" ht="42" customHeight="1">
      <c r="A155" s="19" t="s">
        <v>699</v>
      </c>
      <c r="B155" s="19" t="s">
        <v>700</v>
      </c>
      <c r="C155" s="19" t="s">
        <v>701</v>
      </c>
      <c r="D155" s="19" t="s">
        <v>75</v>
      </c>
      <c r="E155" s="19" t="s">
        <v>2505</v>
      </c>
      <c r="F155" s="32" t="s">
        <v>2340</v>
      </c>
      <c r="G155" s="32" t="s">
        <v>2506</v>
      </c>
      <c r="H155" s="32" t="s">
        <v>2352</v>
      </c>
      <c r="I155" s="24"/>
      <c r="J155" s="24"/>
      <c r="K155" s="24"/>
      <c r="L155" s="24"/>
      <c r="M155" s="24"/>
      <c r="N155" s="37" t="s">
        <v>2343</v>
      </c>
      <c r="O155" s="37"/>
      <c r="P155" s="37"/>
      <c r="Q155" s="37" t="s">
        <v>71</v>
      </c>
      <c r="R155" s="37" t="s">
        <v>71</v>
      </c>
      <c r="S155" s="37" t="s">
        <v>2344</v>
      </c>
      <c r="T155" s="40" t="s">
        <v>2345</v>
      </c>
    </row>
    <row r="156" spans="1:20" ht="42" customHeight="1">
      <c r="A156" s="19" t="s">
        <v>703</v>
      </c>
      <c r="B156" s="19" t="s">
        <v>704</v>
      </c>
      <c r="C156" s="19" t="s">
        <v>705</v>
      </c>
      <c r="D156" s="19" t="s">
        <v>81</v>
      </c>
      <c r="E156" s="19" t="s">
        <v>2355</v>
      </c>
      <c r="F156" s="32" t="s">
        <v>2356</v>
      </c>
      <c r="G156" s="32" t="s">
        <v>2357</v>
      </c>
      <c r="H156" s="32" t="s">
        <v>2349</v>
      </c>
      <c r="I156" s="24"/>
      <c r="J156" s="24"/>
      <c r="K156" s="24"/>
      <c r="L156" s="24"/>
      <c r="M156" s="24"/>
      <c r="N156" s="37" t="s">
        <v>2343</v>
      </c>
      <c r="O156" s="37"/>
      <c r="P156" s="37"/>
      <c r="Q156" s="37" t="s">
        <v>71</v>
      </c>
      <c r="R156" s="37" t="s">
        <v>71</v>
      </c>
      <c r="S156" s="37" t="s">
        <v>2344</v>
      </c>
      <c r="T156" s="40" t="s">
        <v>2345</v>
      </c>
    </row>
    <row r="157" spans="1:20" ht="42" customHeight="1">
      <c r="A157" s="19" t="s">
        <v>707</v>
      </c>
      <c r="B157" s="19" t="s">
        <v>708</v>
      </c>
      <c r="C157" s="19" t="s">
        <v>709</v>
      </c>
      <c r="D157" s="19" t="s">
        <v>88</v>
      </c>
      <c r="E157" s="19" t="s">
        <v>2355</v>
      </c>
      <c r="F157" s="32" t="s">
        <v>2356</v>
      </c>
      <c r="G157" s="32" t="s">
        <v>2357</v>
      </c>
      <c r="H157" s="32" t="s">
        <v>2349</v>
      </c>
      <c r="I157" s="24"/>
      <c r="J157" s="24"/>
      <c r="K157" s="24"/>
      <c r="L157" s="24"/>
      <c r="M157" s="24"/>
      <c r="N157" s="37" t="s">
        <v>2343</v>
      </c>
      <c r="O157" s="37"/>
      <c r="P157" s="37"/>
      <c r="Q157" s="37" t="s">
        <v>71</v>
      </c>
      <c r="R157" s="37" t="s">
        <v>71</v>
      </c>
      <c r="S157" s="37" t="s">
        <v>2344</v>
      </c>
      <c r="T157" s="40" t="s">
        <v>2345</v>
      </c>
    </row>
    <row r="158" spans="1:20" ht="42" customHeight="1">
      <c r="A158" s="19" t="s">
        <v>710</v>
      </c>
      <c r="B158" s="19" t="s">
        <v>711</v>
      </c>
      <c r="C158" s="19" t="s">
        <v>712</v>
      </c>
      <c r="D158" s="19" t="s">
        <v>69</v>
      </c>
      <c r="E158" s="19" t="s">
        <v>2507</v>
      </c>
      <c r="F158" s="32" t="s">
        <v>2340</v>
      </c>
      <c r="G158" s="32" t="s">
        <v>2508</v>
      </c>
      <c r="H158" s="32" t="s">
        <v>2352</v>
      </c>
      <c r="I158" s="24"/>
      <c r="J158" s="24"/>
      <c r="K158" s="24"/>
      <c r="L158" s="24"/>
      <c r="M158" s="24"/>
      <c r="N158" s="37" t="s">
        <v>2343</v>
      </c>
      <c r="O158" s="37"/>
      <c r="P158" s="37"/>
      <c r="Q158" s="37" t="s">
        <v>71</v>
      </c>
      <c r="R158" s="37" t="s">
        <v>71</v>
      </c>
      <c r="S158" s="37" t="s">
        <v>2344</v>
      </c>
      <c r="T158" s="40" t="s">
        <v>2345</v>
      </c>
    </row>
    <row r="159" spans="1:20" ht="42" customHeight="1">
      <c r="A159" s="19" t="s">
        <v>713</v>
      </c>
      <c r="B159" s="19" t="s">
        <v>714</v>
      </c>
      <c r="C159" s="19" t="s">
        <v>715</v>
      </c>
      <c r="D159" s="19" t="s">
        <v>86</v>
      </c>
      <c r="E159" s="19" t="s">
        <v>2346</v>
      </c>
      <c r="F159" s="32" t="s">
        <v>2347</v>
      </c>
      <c r="G159" s="32" t="s">
        <v>2348</v>
      </c>
      <c r="H159" s="32" t="s">
        <v>2349</v>
      </c>
      <c r="I159" s="24"/>
      <c r="J159" s="24"/>
      <c r="K159" s="24"/>
      <c r="L159" s="24"/>
      <c r="M159" s="24"/>
      <c r="N159" s="37" t="s">
        <v>2343</v>
      </c>
      <c r="O159" s="37"/>
      <c r="P159" s="37"/>
      <c r="Q159" s="37" t="s">
        <v>71</v>
      </c>
      <c r="R159" s="37" t="s">
        <v>71</v>
      </c>
      <c r="S159" s="37" t="s">
        <v>2344</v>
      </c>
      <c r="T159" s="40" t="s">
        <v>2345</v>
      </c>
    </row>
    <row r="160" spans="1:20" ht="42" customHeight="1">
      <c r="A160" s="19" t="s">
        <v>716</v>
      </c>
      <c r="B160" s="19" t="s">
        <v>717</v>
      </c>
      <c r="C160" s="19" t="s">
        <v>718</v>
      </c>
      <c r="D160" s="19" t="s">
        <v>77</v>
      </c>
      <c r="E160" s="19" t="s">
        <v>2509</v>
      </c>
      <c r="F160" s="32" t="s">
        <v>2340</v>
      </c>
      <c r="G160" s="32" t="s">
        <v>2510</v>
      </c>
      <c r="H160" s="32" t="s">
        <v>2352</v>
      </c>
      <c r="I160" s="24"/>
      <c r="J160" s="24"/>
      <c r="K160" s="24"/>
      <c r="L160" s="24"/>
      <c r="M160" s="24"/>
      <c r="N160" s="37" t="s">
        <v>2343</v>
      </c>
      <c r="O160" s="37"/>
      <c r="P160" s="37"/>
      <c r="Q160" s="37" t="s">
        <v>71</v>
      </c>
      <c r="R160" s="37" t="s">
        <v>71</v>
      </c>
      <c r="S160" s="37" t="s">
        <v>2344</v>
      </c>
      <c r="T160" s="40" t="s">
        <v>2345</v>
      </c>
    </row>
    <row r="161" spans="1:20" ht="42" customHeight="1">
      <c r="A161" s="19" t="s">
        <v>720</v>
      </c>
      <c r="B161" s="19" t="s">
        <v>721</v>
      </c>
      <c r="C161" s="19" t="s">
        <v>722</v>
      </c>
      <c r="D161" s="19" t="s">
        <v>90</v>
      </c>
      <c r="E161" s="19" t="s">
        <v>2511</v>
      </c>
      <c r="F161" s="32" t="s">
        <v>2340</v>
      </c>
      <c r="G161" s="32" t="s">
        <v>2512</v>
      </c>
      <c r="H161" s="32" t="s">
        <v>2352</v>
      </c>
      <c r="I161" s="24"/>
      <c r="J161" s="24"/>
      <c r="K161" s="24"/>
      <c r="L161" s="24"/>
      <c r="M161" s="24"/>
      <c r="N161" s="37" t="s">
        <v>2343</v>
      </c>
      <c r="O161" s="37"/>
      <c r="P161" s="37"/>
      <c r="Q161" s="37" t="s">
        <v>71</v>
      </c>
      <c r="R161" s="37" t="s">
        <v>71</v>
      </c>
      <c r="S161" s="37" t="s">
        <v>2344</v>
      </c>
      <c r="T161" s="40" t="s">
        <v>2345</v>
      </c>
    </row>
    <row r="162" spans="1:20" ht="42" customHeight="1">
      <c r="A162" s="19" t="s">
        <v>723</v>
      </c>
      <c r="B162" s="19" t="s">
        <v>724</v>
      </c>
      <c r="C162" s="19" t="s">
        <v>725</v>
      </c>
      <c r="D162" s="19" t="s">
        <v>90</v>
      </c>
      <c r="E162" s="19" t="s">
        <v>2513</v>
      </c>
      <c r="F162" s="32" t="s">
        <v>2340</v>
      </c>
      <c r="G162" s="32" t="s">
        <v>2514</v>
      </c>
      <c r="H162" s="32" t="s">
        <v>2352</v>
      </c>
      <c r="I162" s="24"/>
      <c r="J162" s="24"/>
      <c r="K162" s="24"/>
      <c r="L162" s="24"/>
      <c r="M162" s="24"/>
      <c r="N162" s="37" t="s">
        <v>2343</v>
      </c>
      <c r="O162" s="37"/>
      <c r="P162" s="37"/>
      <c r="Q162" s="37" t="s">
        <v>71</v>
      </c>
      <c r="R162" s="37" t="s">
        <v>71</v>
      </c>
      <c r="S162" s="37" t="s">
        <v>2344</v>
      </c>
      <c r="T162" s="40" t="s">
        <v>2345</v>
      </c>
    </row>
    <row r="163" spans="1:20" ht="42" customHeight="1">
      <c r="A163" s="19" t="s">
        <v>726</v>
      </c>
      <c r="B163" s="19" t="s">
        <v>727</v>
      </c>
      <c r="C163" s="19" t="s">
        <v>728</v>
      </c>
      <c r="D163" s="19" t="s">
        <v>81</v>
      </c>
      <c r="E163" s="19" t="s">
        <v>2515</v>
      </c>
      <c r="F163" s="32" t="s">
        <v>2340</v>
      </c>
      <c r="G163" s="32" t="s">
        <v>2516</v>
      </c>
      <c r="H163" s="32" t="s">
        <v>2352</v>
      </c>
      <c r="I163" s="24"/>
      <c r="J163" s="24"/>
      <c r="K163" s="24"/>
      <c r="L163" s="24"/>
      <c r="M163" s="24"/>
      <c r="N163" s="37" t="s">
        <v>2343</v>
      </c>
      <c r="O163" s="37"/>
      <c r="P163" s="37"/>
      <c r="Q163" s="37" t="s">
        <v>71</v>
      </c>
      <c r="R163" s="37" t="s">
        <v>71</v>
      </c>
      <c r="S163" s="37" t="s">
        <v>2344</v>
      </c>
      <c r="T163" s="40" t="s">
        <v>2345</v>
      </c>
    </row>
    <row r="164" spans="1:20" ht="42" customHeight="1">
      <c r="A164" s="19" t="s">
        <v>729</v>
      </c>
      <c r="B164" s="19" t="s">
        <v>730</v>
      </c>
      <c r="C164" s="19" t="s">
        <v>510</v>
      </c>
      <c r="D164" s="19" t="s">
        <v>86</v>
      </c>
      <c r="E164" s="19" t="s">
        <v>2457</v>
      </c>
      <c r="F164" s="32" t="s">
        <v>2356</v>
      </c>
      <c r="G164" s="32" t="s">
        <v>2458</v>
      </c>
      <c r="H164" s="32" t="s">
        <v>2417</v>
      </c>
      <c r="I164" s="24"/>
      <c r="J164" s="24"/>
      <c r="K164" s="24"/>
      <c r="L164" s="24"/>
      <c r="M164" s="24"/>
      <c r="N164" s="37" t="s">
        <v>2343</v>
      </c>
      <c r="O164" s="37"/>
      <c r="P164" s="37"/>
      <c r="Q164" s="37" t="s">
        <v>71</v>
      </c>
      <c r="R164" s="37" t="s">
        <v>71</v>
      </c>
      <c r="S164" s="37" t="s">
        <v>2344</v>
      </c>
      <c r="T164" s="40" t="s">
        <v>2345</v>
      </c>
    </row>
    <row r="165" spans="1:20" ht="42" customHeight="1">
      <c r="A165" s="19" t="s">
        <v>731</v>
      </c>
      <c r="B165" s="19" t="s">
        <v>732</v>
      </c>
      <c r="C165" s="19" t="s">
        <v>193</v>
      </c>
      <c r="D165" s="19" t="s">
        <v>88</v>
      </c>
      <c r="E165" s="19" t="s">
        <v>2362</v>
      </c>
      <c r="F165" s="32" t="s">
        <v>2340</v>
      </c>
      <c r="G165" s="32" t="s">
        <v>2363</v>
      </c>
      <c r="H165" s="32" t="s">
        <v>2349</v>
      </c>
      <c r="I165" s="24"/>
      <c r="J165" s="24"/>
      <c r="K165" s="24"/>
      <c r="L165" s="24"/>
      <c r="M165" s="24"/>
      <c r="N165" s="37" t="s">
        <v>2343</v>
      </c>
      <c r="O165" s="37"/>
      <c r="P165" s="37"/>
      <c r="Q165" s="37" t="s">
        <v>71</v>
      </c>
      <c r="R165" s="37" t="s">
        <v>71</v>
      </c>
      <c r="S165" s="37" t="s">
        <v>2344</v>
      </c>
      <c r="T165" s="40" t="s">
        <v>2345</v>
      </c>
    </row>
    <row r="166" spans="1:20" ht="42" customHeight="1">
      <c r="A166" s="19" t="s">
        <v>734</v>
      </c>
      <c r="B166" s="19" t="s">
        <v>735</v>
      </c>
      <c r="C166" s="19" t="s">
        <v>736</v>
      </c>
      <c r="D166" s="19" t="s">
        <v>86</v>
      </c>
      <c r="E166" s="19" t="s">
        <v>2355</v>
      </c>
      <c r="F166" s="32" t="s">
        <v>2356</v>
      </c>
      <c r="G166" s="32" t="s">
        <v>2357</v>
      </c>
      <c r="H166" s="32" t="s">
        <v>2349</v>
      </c>
      <c r="I166" s="24"/>
      <c r="J166" s="24"/>
      <c r="K166" s="24"/>
      <c r="L166" s="24"/>
      <c r="M166" s="24"/>
      <c r="N166" s="37" t="s">
        <v>2343</v>
      </c>
      <c r="O166" s="37"/>
      <c r="P166" s="37"/>
      <c r="Q166" s="37" t="s">
        <v>71</v>
      </c>
      <c r="R166" s="37" t="s">
        <v>71</v>
      </c>
      <c r="S166" s="37" t="s">
        <v>2344</v>
      </c>
      <c r="T166" s="40" t="s">
        <v>2345</v>
      </c>
    </row>
    <row r="167" spans="1:20" ht="42" customHeight="1">
      <c r="A167" s="19" t="s">
        <v>737</v>
      </c>
      <c r="B167" s="19" t="s">
        <v>738</v>
      </c>
      <c r="C167" s="19" t="s">
        <v>739</v>
      </c>
      <c r="D167" s="19" t="s">
        <v>86</v>
      </c>
      <c r="E167" s="19" t="s">
        <v>2517</v>
      </c>
      <c r="F167" s="32" t="s">
        <v>2356</v>
      </c>
      <c r="G167" s="32" t="s">
        <v>2518</v>
      </c>
      <c r="H167" s="32" t="s">
        <v>2417</v>
      </c>
      <c r="I167" s="24"/>
      <c r="J167" s="24"/>
      <c r="K167" s="24"/>
      <c r="L167" s="24"/>
      <c r="M167" s="24"/>
      <c r="N167" s="37" t="s">
        <v>2343</v>
      </c>
      <c r="O167" s="37"/>
      <c r="P167" s="37"/>
      <c r="Q167" s="37" t="s">
        <v>71</v>
      </c>
      <c r="R167" s="37" t="s">
        <v>71</v>
      </c>
      <c r="S167" s="37" t="s">
        <v>2344</v>
      </c>
      <c r="T167" s="40" t="s">
        <v>2345</v>
      </c>
    </row>
    <row r="168" spans="1:20" ht="42" customHeight="1">
      <c r="A168" s="19" t="s">
        <v>741</v>
      </c>
      <c r="B168" s="19" t="s">
        <v>742</v>
      </c>
      <c r="C168" s="19" t="s">
        <v>743</v>
      </c>
      <c r="D168" s="19" t="s">
        <v>69</v>
      </c>
      <c r="E168" s="19" t="s">
        <v>2355</v>
      </c>
      <c r="F168" s="32" t="s">
        <v>2356</v>
      </c>
      <c r="G168" s="32" t="s">
        <v>2357</v>
      </c>
      <c r="H168" s="32" t="s">
        <v>2349</v>
      </c>
      <c r="I168" s="24"/>
      <c r="J168" s="24"/>
      <c r="K168" s="24"/>
      <c r="L168" s="24"/>
      <c r="M168" s="24"/>
      <c r="N168" s="37" t="s">
        <v>2343</v>
      </c>
      <c r="O168" s="37"/>
      <c r="P168" s="37"/>
      <c r="Q168" s="37" t="s">
        <v>71</v>
      </c>
      <c r="R168" s="37" t="s">
        <v>71</v>
      </c>
      <c r="S168" s="37" t="s">
        <v>2344</v>
      </c>
      <c r="T168" s="40" t="s">
        <v>2345</v>
      </c>
    </row>
    <row r="169" spans="1:20" ht="42" customHeight="1">
      <c r="A169" s="19" t="s">
        <v>744</v>
      </c>
      <c r="B169" s="19" t="s">
        <v>745</v>
      </c>
      <c r="C169" s="19" t="s">
        <v>746</v>
      </c>
      <c r="D169" s="19" t="s">
        <v>77</v>
      </c>
      <c r="E169" s="19" t="s">
        <v>2355</v>
      </c>
      <c r="F169" s="32" t="s">
        <v>2356</v>
      </c>
      <c r="G169" s="32" t="s">
        <v>2357</v>
      </c>
      <c r="H169" s="32" t="s">
        <v>2349</v>
      </c>
      <c r="I169" s="24"/>
      <c r="J169" s="24"/>
      <c r="K169" s="24"/>
      <c r="L169" s="24"/>
      <c r="M169" s="24"/>
      <c r="N169" s="37" t="s">
        <v>2343</v>
      </c>
      <c r="O169" s="37"/>
      <c r="P169" s="37"/>
      <c r="Q169" s="37" t="s">
        <v>71</v>
      </c>
      <c r="R169" s="37" t="s">
        <v>71</v>
      </c>
      <c r="S169" s="37" t="s">
        <v>2344</v>
      </c>
      <c r="T169" s="40" t="s">
        <v>2345</v>
      </c>
    </row>
    <row r="170" spans="1:20" ht="42" customHeight="1">
      <c r="A170" s="19" t="s">
        <v>747</v>
      </c>
      <c r="B170" s="19" t="s">
        <v>748</v>
      </c>
      <c r="C170" s="19" t="s">
        <v>749</v>
      </c>
      <c r="D170" s="19" t="s">
        <v>90</v>
      </c>
      <c r="E170" s="19" t="s">
        <v>2355</v>
      </c>
      <c r="F170" s="32" t="s">
        <v>2356</v>
      </c>
      <c r="G170" s="32" t="s">
        <v>2357</v>
      </c>
      <c r="H170" s="32" t="s">
        <v>2349</v>
      </c>
      <c r="I170" s="24"/>
      <c r="J170" s="24"/>
      <c r="K170" s="24"/>
      <c r="L170" s="24"/>
      <c r="M170" s="24"/>
      <c r="N170" s="37" t="s">
        <v>2343</v>
      </c>
      <c r="O170" s="37"/>
      <c r="P170" s="37"/>
      <c r="Q170" s="37" t="s">
        <v>71</v>
      </c>
      <c r="R170" s="37" t="s">
        <v>71</v>
      </c>
      <c r="S170" s="37" t="s">
        <v>2344</v>
      </c>
      <c r="T170" s="40" t="s">
        <v>2345</v>
      </c>
    </row>
    <row r="171" spans="1:20" ht="42" customHeight="1">
      <c r="A171" s="19" t="s">
        <v>751</v>
      </c>
      <c r="B171" s="19" t="s">
        <v>752</v>
      </c>
      <c r="C171" s="19" t="s">
        <v>715</v>
      </c>
      <c r="D171" s="19" t="s">
        <v>69</v>
      </c>
      <c r="E171" s="19" t="s">
        <v>2346</v>
      </c>
      <c r="F171" s="32" t="s">
        <v>2347</v>
      </c>
      <c r="G171" s="32" t="s">
        <v>2348</v>
      </c>
      <c r="H171" s="32" t="s">
        <v>2349</v>
      </c>
      <c r="I171" s="24"/>
      <c r="J171" s="24"/>
      <c r="K171" s="24"/>
      <c r="L171" s="24"/>
      <c r="M171" s="24"/>
      <c r="N171" s="37" t="s">
        <v>2343</v>
      </c>
      <c r="O171" s="37"/>
      <c r="P171" s="37"/>
      <c r="Q171" s="37" t="s">
        <v>71</v>
      </c>
      <c r="R171" s="37" t="s">
        <v>71</v>
      </c>
      <c r="S171" s="37" t="s">
        <v>2344</v>
      </c>
      <c r="T171" s="40" t="s">
        <v>2345</v>
      </c>
    </row>
    <row r="172" spans="1:20" ht="42" customHeight="1">
      <c r="A172" s="19" t="s">
        <v>753</v>
      </c>
      <c r="B172" s="19" t="s">
        <v>754</v>
      </c>
      <c r="C172" s="19" t="s">
        <v>755</v>
      </c>
      <c r="D172" s="19" t="s">
        <v>79</v>
      </c>
      <c r="E172" s="19" t="s">
        <v>2355</v>
      </c>
      <c r="F172" s="32" t="s">
        <v>2356</v>
      </c>
      <c r="G172" s="32" t="s">
        <v>2357</v>
      </c>
      <c r="H172" s="32" t="s">
        <v>2349</v>
      </c>
      <c r="I172" s="24"/>
      <c r="J172" s="24"/>
      <c r="K172" s="24"/>
      <c r="L172" s="24"/>
      <c r="M172" s="24"/>
      <c r="N172" s="37" t="s">
        <v>2343</v>
      </c>
      <c r="O172" s="37"/>
      <c r="P172" s="37"/>
      <c r="Q172" s="37" t="s">
        <v>71</v>
      </c>
      <c r="R172" s="37" t="s">
        <v>71</v>
      </c>
      <c r="S172" s="37" t="s">
        <v>2344</v>
      </c>
      <c r="T172" s="40" t="s">
        <v>2345</v>
      </c>
    </row>
    <row r="173" spans="1:20" ht="42" customHeight="1">
      <c r="A173" s="19" t="s">
        <v>756</v>
      </c>
      <c r="B173" s="19" t="s">
        <v>757</v>
      </c>
      <c r="C173" s="19" t="s">
        <v>758</v>
      </c>
      <c r="D173" s="19" t="s">
        <v>75</v>
      </c>
      <c r="E173" s="19" t="s">
        <v>2436</v>
      </c>
      <c r="F173" s="32" t="s">
        <v>2356</v>
      </c>
      <c r="G173" s="32" t="s">
        <v>2437</v>
      </c>
      <c r="H173" s="32" t="s">
        <v>2417</v>
      </c>
      <c r="I173" s="24"/>
      <c r="J173" s="24"/>
      <c r="K173" s="24"/>
      <c r="L173" s="24"/>
      <c r="M173" s="24"/>
      <c r="N173" s="37" t="s">
        <v>2343</v>
      </c>
      <c r="O173" s="37"/>
      <c r="P173" s="37"/>
      <c r="Q173" s="37" t="s">
        <v>71</v>
      </c>
      <c r="R173" s="37" t="s">
        <v>71</v>
      </c>
      <c r="S173" s="37" t="s">
        <v>2344</v>
      </c>
      <c r="T173" s="40" t="s">
        <v>2345</v>
      </c>
    </row>
    <row r="174" spans="1:20" ht="42" customHeight="1">
      <c r="A174" s="19" t="s">
        <v>759</v>
      </c>
      <c r="B174" s="19" t="s">
        <v>760</v>
      </c>
      <c r="C174" s="19" t="s">
        <v>761</v>
      </c>
      <c r="D174" s="19" t="s">
        <v>79</v>
      </c>
      <c r="E174" s="19" t="s">
        <v>2355</v>
      </c>
      <c r="F174" s="32" t="s">
        <v>2356</v>
      </c>
      <c r="G174" s="32" t="s">
        <v>2357</v>
      </c>
      <c r="H174" s="32" t="s">
        <v>2349</v>
      </c>
      <c r="I174" s="24"/>
      <c r="J174" s="24"/>
      <c r="K174" s="24"/>
      <c r="L174" s="24"/>
      <c r="M174" s="24"/>
      <c r="N174" s="37" t="s">
        <v>2343</v>
      </c>
      <c r="O174" s="37"/>
      <c r="P174" s="37"/>
      <c r="Q174" s="37" t="s">
        <v>71</v>
      </c>
      <c r="R174" s="37" t="s">
        <v>71</v>
      </c>
      <c r="S174" s="37" t="s">
        <v>2344</v>
      </c>
      <c r="T174" s="40" t="s">
        <v>2345</v>
      </c>
    </row>
    <row r="175" spans="1:20" ht="42" customHeight="1">
      <c r="A175" s="19" t="s">
        <v>762</v>
      </c>
      <c r="B175" s="19" t="s">
        <v>763</v>
      </c>
      <c r="C175" s="19" t="s">
        <v>764</v>
      </c>
      <c r="D175" s="19" t="s">
        <v>92</v>
      </c>
      <c r="E175" s="19" t="s">
        <v>2369</v>
      </c>
      <c r="F175" s="32" t="s">
        <v>2356</v>
      </c>
      <c r="G175" s="32" t="s">
        <v>2370</v>
      </c>
      <c r="H175" s="32" t="s">
        <v>2349</v>
      </c>
      <c r="I175" s="24"/>
      <c r="J175" s="24"/>
      <c r="K175" s="24"/>
      <c r="L175" s="24"/>
      <c r="M175" s="24"/>
      <c r="N175" s="37" t="s">
        <v>2343</v>
      </c>
      <c r="O175" s="37"/>
      <c r="P175" s="37"/>
      <c r="Q175" s="37" t="s">
        <v>71</v>
      </c>
      <c r="R175" s="37" t="s">
        <v>71</v>
      </c>
      <c r="S175" s="37" t="s">
        <v>2344</v>
      </c>
      <c r="T175" s="40" t="s">
        <v>2345</v>
      </c>
    </row>
    <row r="176" spans="1:20" ht="42" customHeight="1">
      <c r="A176" s="19" t="s">
        <v>765</v>
      </c>
      <c r="B176" s="19" t="s">
        <v>766</v>
      </c>
      <c r="C176" s="19" t="s">
        <v>767</v>
      </c>
      <c r="D176" s="19" t="s">
        <v>88</v>
      </c>
      <c r="E176" s="19" t="s">
        <v>2519</v>
      </c>
      <c r="F176" s="32" t="s">
        <v>2356</v>
      </c>
      <c r="G176" s="32" t="s">
        <v>2520</v>
      </c>
      <c r="H176" s="32" t="s">
        <v>2521</v>
      </c>
      <c r="I176" s="24"/>
      <c r="J176" s="24"/>
      <c r="K176" s="24"/>
      <c r="L176" s="24"/>
      <c r="M176" s="24"/>
      <c r="N176" s="37" t="s">
        <v>2343</v>
      </c>
      <c r="O176" s="37"/>
      <c r="P176" s="37"/>
      <c r="Q176" s="37" t="s">
        <v>71</v>
      </c>
      <c r="R176" s="37" t="s">
        <v>71</v>
      </c>
      <c r="S176" s="37" t="s">
        <v>2344</v>
      </c>
      <c r="T176" s="40" t="s">
        <v>2345</v>
      </c>
    </row>
    <row r="177" spans="1:20" ht="42" customHeight="1">
      <c r="A177" s="19" t="s">
        <v>768</v>
      </c>
      <c r="B177" s="19" t="s">
        <v>769</v>
      </c>
      <c r="C177" s="19" t="s">
        <v>770</v>
      </c>
      <c r="D177" s="19" t="s">
        <v>88</v>
      </c>
      <c r="E177" s="19" t="s">
        <v>2522</v>
      </c>
      <c r="F177" s="32"/>
      <c r="G177" s="32" t="s">
        <v>2523</v>
      </c>
      <c r="H177" s="32" t="s">
        <v>2366</v>
      </c>
      <c r="I177" s="24"/>
      <c r="J177" s="24"/>
      <c r="K177" s="24"/>
      <c r="L177" s="24"/>
      <c r="M177" s="24"/>
      <c r="N177" s="37" t="s">
        <v>2343</v>
      </c>
      <c r="O177" s="37"/>
      <c r="P177" s="37"/>
      <c r="Q177" s="37" t="s">
        <v>71</v>
      </c>
      <c r="R177" s="37" t="s">
        <v>71</v>
      </c>
      <c r="S177" s="37" t="s">
        <v>2344</v>
      </c>
      <c r="T177" s="40" t="s">
        <v>2345</v>
      </c>
    </row>
    <row r="178" spans="1:20" ht="42" customHeight="1">
      <c r="A178" s="19" t="s">
        <v>771</v>
      </c>
      <c r="B178" s="19" t="s">
        <v>772</v>
      </c>
      <c r="C178" s="19" t="s">
        <v>773</v>
      </c>
      <c r="D178" s="19" t="s">
        <v>69</v>
      </c>
      <c r="E178" s="19" t="s">
        <v>2420</v>
      </c>
      <c r="F178" s="32" t="s">
        <v>2340</v>
      </c>
      <c r="G178" s="32" t="s">
        <v>2421</v>
      </c>
      <c r="H178" s="32" t="s">
        <v>2352</v>
      </c>
      <c r="I178" s="24"/>
      <c r="J178" s="24"/>
      <c r="K178" s="24"/>
      <c r="L178" s="24"/>
      <c r="M178" s="24"/>
      <c r="N178" s="37" t="s">
        <v>2343</v>
      </c>
      <c r="O178" s="37"/>
      <c r="P178" s="37"/>
      <c r="Q178" s="37" t="s">
        <v>71</v>
      </c>
      <c r="R178" s="37" t="s">
        <v>71</v>
      </c>
      <c r="S178" s="37" t="s">
        <v>2344</v>
      </c>
      <c r="T178" s="40" t="s">
        <v>2345</v>
      </c>
    </row>
    <row r="179" spans="1:20" ht="42" customHeight="1">
      <c r="A179" s="19" t="s">
        <v>774</v>
      </c>
      <c r="B179" s="19" t="s">
        <v>775</v>
      </c>
      <c r="C179" s="19" t="s">
        <v>776</v>
      </c>
      <c r="D179" s="19" t="s">
        <v>75</v>
      </c>
      <c r="E179" s="19" t="s">
        <v>2524</v>
      </c>
      <c r="F179" s="32" t="s">
        <v>2340</v>
      </c>
      <c r="G179" s="32" t="s">
        <v>2525</v>
      </c>
      <c r="H179" s="32" t="s">
        <v>2456</v>
      </c>
      <c r="I179" s="24"/>
      <c r="J179" s="24"/>
      <c r="K179" s="24"/>
      <c r="L179" s="24"/>
      <c r="M179" s="24"/>
      <c r="N179" s="37" t="s">
        <v>2343</v>
      </c>
      <c r="O179" s="37"/>
      <c r="P179" s="37"/>
      <c r="Q179" s="37" t="s">
        <v>71</v>
      </c>
      <c r="R179" s="37" t="s">
        <v>71</v>
      </c>
      <c r="S179" s="37" t="s">
        <v>2344</v>
      </c>
      <c r="T179" s="40" t="s">
        <v>2345</v>
      </c>
    </row>
    <row r="180" spans="1:20" ht="42" customHeight="1">
      <c r="A180" s="19" t="s">
        <v>777</v>
      </c>
      <c r="B180" s="19" t="s">
        <v>778</v>
      </c>
      <c r="C180" s="19" t="s">
        <v>779</v>
      </c>
      <c r="D180" s="19" t="s">
        <v>90</v>
      </c>
      <c r="E180" s="19" t="s">
        <v>2525</v>
      </c>
      <c r="F180" s="32"/>
      <c r="G180" s="32"/>
      <c r="H180" s="32" t="s">
        <v>2526</v>
      </c>
      <c r="I180" s="24"/>
      <c r="J180" s="24"/>
      <c r="K180" s="24"/>
      <c r="L180" s="24"/>
      <c r="M180" s="24"/>
      <c r="N180" s="37" t="s">
        <v>2343</v>
      </c>
      <c r="O180" s="37"/>
      <c r="P180" s="37"/>
      <c r="Q180" s="37" t="s">
        <v>71</v>
      </c>
      <c r="R180" s="37" t="s">
        <v>71</v>
      </c>
      <c r="S180" s="37" t="s">
        <v>2344</v>
      </c>
      <c r="T180" s="40" t="s">
        <v>2345</v>
      </c>
    </row>
    <row r="181" spans="1:20" ht="42" customHeight="1">
      <c r="A181" s="19" t="s">
        <v>780</v>
      </c>
      <c r="B181" s="19" t="s">
        <v>781</v>
      </c>
      <c r="C181" s="19" t="s">
        <v>782</v>
      </c>
      <c r="D181" s="19" t="s">
        <v>90</v>
      </c>
      <c r="E181" s="19" t="s">
        <v>2527</v>
      </c>
      <c r="F181" s="32" t="s">
        <v>2356</v>
      </c>
      <c r="G181" s="32" t="s">
        <v>2528</v>
      </c>
      <c r="H181" s="32" t="s">
        <v>2352</v>
      </c>
      <c r="I181" s="24"/>
      <c r="J181" s="24"/>
      <c r="K181" s="24"/>
      <c r="L181" s="24"/>
      <c r="M181" s="24"/>
      <c r="N181" s="37" t="s">
        <v>2343</v>
      </c>
      <c r="O181" s="37"/>
      <c r="P181" s="37"/>
      <c r="Q181" s="37" t="s">
        <v>71</v>
      </c>
      <c r="R181" s="37" t="s">
        <v>71</v>
      </c>
      <c r="S181" s="37" t="s">
        <v>2344</v>
      </c>
      <c r="T181" s="40" t="s">
        <v>2345</v>
      </c>
    </row>
    <row r="182" spans="1:20" ht="42" customHeight="1">
      <c r="A182" s="19" t="s">
        <v>783</v>
      </c>
      <c r="B182" s="19" t="s">
        <v>784</v>
      </c>
      <c r="C182" s="19" t="s">
        <v>785</v>
      </c>
      <c r="D182" s="19" t="s">
        <v>69</v>
      </c>
      <c r="E182" s="19" t="s">
        <v>2529</v>
      </c>
      <c r="F182" s="32" t="s">
        <v>2356</v>
      </c>
      <c r="G182" s="32" t="s">
        <v>2530</v>
      </c>
      <c r="H182" s="32" t="s">
        <v>2349</v>
      </c>
      <c r="I182" s="24"/>
      <c r="J182" s="24"/>
      <c r="K182" s="24"/>
      <c r="L182" s="24"/>
      <c r="M182" s="24"/>
      <c r="N182" s="37" t="s">
        <v>2343</v>
      </c>
      <c r="O182" s="37"/>
      <c r="P182" s="37"/>
      <c r="Q182" s="37" t="s">
        <v>71</v>
      </c>
      <c r="R182" s="37" t="s">
        <v>71</v>
      </c>
      <c r="S182" s="37" t="s">
        <v>2344</v>
      </c>
      <c r="T182" s="40" t="s">
        <v>2345</v>
      </c>
    </row>
    <row r="183" spans="1:20" ht="42" customHeight="1">
      <c r="A183" s="19" t="s">
        <v>787</v>
      </c>
      <c r="B183" s="19" t="s">
        <v>788</v>
      </c>
      <c r="C183" s="19" t="s">
        <v>789</v>
      </c>
      <c r="D183" s="19" t="s">
        <v>61</v>
      </c>
      <c r="E183" s="19" t="s">
        <v>2531</v>
      </c>
      <c r="F183" s="32"/>
      <c r="G183" s="32" t="s">
        <v>2532</v>
      </c>
      <c r="H183" s="32" t="s">
        <v>2533</v>
      </c>
      <c r="I183" s="24"/>
      <c r="J183" s="24"/>
      <c r="K183" s="24"/>
      <c r="L183" s="24"/>
      <c r="M183" s="24"/>
      <c r="N183" s="37" t="s">
        <v>2343</v>
      </c>
      <c r="O183" s="37"/>
      <c r="P183" s="37"/>
      <c r="Q183" s="37" t="s">
        <v>71</v>
      </c>
      <c r="R183" s="37" t="s">
        <v>71</v>
      </c>
      <c r="S183" s="37" t="s">
        <v>2344</v>
      </c>
      <c r="T183" s="40" t="s">
        <v>2345</v>
      </c>
    </row>
    <row r="184" spans="1:20" ht="42" customHeight="1">
      <c r="A184" s="19" t="s">
        <v>790</v>
      </c>
      <c r="B184" s="19" t="s">
        <v>791</v>
      </c>
      <c r="C184" s="19" t="s">
        <v>792</v>
      </c>
      <c r="D184" s="19" t="s">
        <v>88</v>
      </c>
      <c r="E184" s="19" t="s">
        <v>2524</v>
      </c>
      <c r="F184" s="32" t="s">
        <v>2340</v>
      </c>
      <c r="G184" s="32" t="s">
        <v>2525</v>
      </c>
      <c r="H184" s="32" t="s">
        <v>2456</v>
      </c>
      <c r="I184" s="24"/>
      <c r="J184" s="24"/>
      <c r="K184" s="24"/>
      <c r="L184" s="24"/>
      <c r="M184" s="24"/>
      <c r="N184" s="37" t="s">
        <v>2343</v>
      </c>
      <c r="O184" s="37"/>
      <c r="P184" s="37"/>
      <c r="Q184" s="37" t="s">
        <v>71</v>
      </c>
      <c r="R184" s="37" t="s">
        <v>71</v>
      </c>
      <c r="S184" s="37" t="s">
        <v>2344</v>
      </c>
      <c r="T184" s="40" t="s">
        <v>2345</v>
      </c>
    </row>
    <row r="185" spans="1:20" ht="42" customHeight="1">
      <c r="A185" s="19" t="s">
        <v>793</v>
      </c>
      <c r="B185" s="19" t="s">
        <v>794</v>
      </c>
      <c r="C185" s="19" t="s">
        <v>795</v>
      </c>
      <c r="D185" s="19" t="s">
        <v>79</v>
      </c>
      <c r="E185" s="19" t="s">
        <v>2534</v>
      </c>
      <c r="F185" s="32"/>
      <c r="G185" s="32" t="s">
        <v>2535</v>
      </c>
      <c r="H185" s="32" t="s">
        <v>2366</v>
      </c>
      <c r="I185" s="24"/>
      <c r="J185" s="24"/>
      <c r="K185" s="24"/>
      <c r="L185" s="24"/>
      <c r="M185" s="24"/>
      <c r="N185" s="37" t="s">
        <v>2343</v>
      </c>
      <c r="O185" s="37"/>
      <c r="P185" s="37"/>
      <c r="Q185" s="37" t="s">
        <v>71</v>
      </c>
      <c r="R185" s="37" t="s">
        <v>71</v>
      </c>
      <c r="S185" s="37" t="s">
        <v>2344</v>
      </c>
      <c r="T185" s="40" t="s">
        <v>2345</v>
      </c>
    </row>
    <row r="186" spans="1:20" ht="42" customHeight="1">
      <c r="A186" s="19" t="s">
        <v>796</v>
      </c>
      <c r="B186" s="19" t="s">
        <v>797</v>
      </c>
      <c r="C186" s="19" t="s">
        <v>798</v>
      </c>
      <c r="D186" s="19" t="s">
        <v>79</v>
      </c>
      <c r="E186" s="19" t="s">
        <v>2536</v>
      </c>
      <c r="F186" s="32" t="s">
        <v>2340</v>
      </c>
      <c r="G186" s="32" t="s">
        <v>2537</v>
      </c>
      <c r="H186" s="32" t="s">
        <v>2352</v>
      </c>
      <c r="I186" s="24"/>
      <c r="J186" s="24"/>
      <c r="K186" s="24"/>
      <c r="L186" s="24"/>
      <c r="M186" s="24"/>
      <c r="N186" s="37" t="s">
        <v>2343</v>
      </c>
      <c r="O186" s="37"/>
      <c r="P186" s="37"/>
      <c r="Q186" s="37" t="s">
        <v>71</v>
      </c>
      <c r="R186" s="37" t="s">
        <v>71</v>
      </c>
      <c r="S186" s="37" t="s">
        <v>2344</v>
      </c>
      <c r="T186" s="40" t="s">
        <v>2345</v>
      </c>
    </row>
    <row r="187" spans="1:20" ht="42" customHeight="1">
      <c r="A187" s="19" t="s">
        <v>799</v>
      </c>
      <c r="B187" s="19" t="s">
        <v>800</v>
      </c>
      <c r="C187" s="19" t="s">
        <v>801</v>
      </c>
      <c r="D187" s="19" t="s">
        <v>79</v>
      </c>
      <c r="E187" s="19" t="s">
        <v>2355</v>
      </c>
      <c r="F187" s="32" t="s">
        <v>2356</v>
      </c>
      <c r="G187" s="32" t="s">
        <v>2357</v>
      </c>
      <c r="H187" s="32" t="s">
        <v>2349</v>
      </c>
      <c r="I187" s="24"/>
      <c r="J187" s="24"/>
      <c r="K187" s="24"/>
      <c r="L187" s="24"/>
      <c r="M187" s="24"/>
      <c r="N187" s="37" t="s">
        <v>2343</v>
      </c>
      <c r="O187" s="37"/>
      <c r="P187" s="37"/>
      <c r="Q187" s="37" t="s">
        <v>71</v>
      </c>
      <c r="R187" s="37" t="s">
        <v>71</v>
      </c>
      <c r="S187" s="37" t="s">
        <v>2344</v>
      </c>
      <c r="T187" s="40" t="s">
        <v>2345</v>
      </c>
    </row>
    <row r="188" spans="1:20" ht="42" customHeight="1">
      <c r="A188" s="19" t="s">
        <v>802</v>
      </c>
      <c r="B188" s="19" t="s">
        <v>803</v>
      </c>
      <c r="C188" s="19" t="s">
        <v>804</v>
      </c>
      <c r="D188" s="19" t="s">
        <v>88</v>
      </c>
      <c r="E188" s="19" t="s">
        <v>2525</v>
      </c>
      <c r="F188" s="32"/>
      <c r="G188" s="32"/>
      <c r="H188" s="32" t="s">
        <v>2526</v>
      </c>
      <c r="I188" s="24"/>
      <c r="J188" s="24"/>
      <c r="K188" s="24"/>
      <c r="L188" s="24"/>
      <c r="M188" s="24"/>
      <c r="N188" s="37" t="s">
        <v>2343</v>
      </c>
      <c r="O188" s="37"/>
      <c r="P188" s="37"/>
      <c r="Q188" s="37" t="s">
        <v>71</v>
      </c>
      <c r="R188" s="37" t="s">
        <v>71</v>
      </c>
      <c r="S188" s="37" t="s">
        <v>2344</v>
      </c>
      <c r="T188" s="40" t="s">
        <v>2345</v>
      </c>
    </row>
    <row r="189" spans="1:20" ht="42" customHeight="1">
      <c r="A189" s="19" t="s">
        <v>805</v>
      </c>
      <c r="B189" s="19" t="s">
        <v>806</v>
      </c>
      <c r="C189" s="19" t="s">
        <v>807</v>
      </c>
      <c r="D189" s="19" t="s">
        <v>83</v>
      </c>
      <c r="E189" s="19" t="s">
        <v>2538</v>
      </c>
      <c r="F189" s="32"/>
      <c r="G189" s="32" t="s">
        <v>2539</v>
      </c>
      <c r="H189" s="32" t="s">
        <v>2366</v>
      </c>
      <c r="I189" s="24"/>
      <c r="J189" s="24"/>
      <c r="K189" s="24"/>
      <c r="L189" s="24"/>
      <c r="M189" s="24"/>
      <c r="N189" s="37" t="s">
        <v>2343</v>
      </c>
      <c r="O189" s="37"/>
      <c r="P189" s="37"/>
      <c r="Q189" s="37" t="s">
        <v>71</v>
      </c>
      <c r="R189" s="37" t="s">
        <v>71</v>
      </c>
      <c r="S189" s="37" t="s">
        <v>2344</v>
      </c>
      <c r="T189" s="40" t="s">
        <v>2345</v>
      </c>
    </row>
    <row r="190" spans="1:20" ht="42" customHeight="1">
      <c r="A190" s="19" t="s">
        <v>808</v>
      </c>
      <c r="B190" s="19" t="s">
        <v>809</v>
      </c>
      <c r="C190" s="19" t="s">
        <v>810</v>
      </c>
      <c r="D190" s="19" t="s">
        <v>88</v>
      </c>
      <c r="E190" s="19" t="s">
        <v>2540</v>
      </c>
      <c r="F190" s="32" t="s">
        <v>2340</v>
      </c>
      <c r="G190" s="32" t="s">
        <v>2541</v>
      </c>
      <c r="H190" s="32" t="s">
        <v>2352</v>
      </c>
      <c r="I190" s="24"/>
      <c r="J190" s="24"/>
      <c r="K190" s="24"/>
      <c r="L190" s="24"/>
      <c r="M190" s="24"/>
      <c r="N190" s="37" t="s">
        <v>2343</v>
      </c>
      <c r="O190" s="37"/>
      <c r="P190" s="37"/>
      <c r="Q190" s="37" t="s">
        <v>71</v>
      </c>
      <c r="R190" s="37" t="s">
        <v>71</v>
      </c>
      <c r="S190" s="37" t="s">
        <v>2344</v>
      </c>
      <c r="T190" s="40" t="s">
        <v>2345</v>
      </c>
    </row>
    <row r="191" spans="1:20" ht="42" customHeight="1">
      <c r="A191" s="19" t="s">
        <v>811</v>
      </c>
      <c r="B191" s="19" t="s">
        <v>812</v>
      </c>
      <c r="C191" s="19" t="s">
        <v>813</v>
      </c>
      <c r="D191" s="19" t="s">
        <v>58</v>
      </c>
      <c r="E191" s="19" t="s">
        <v>2339</v>
      </c>
      <c r="F191" s="32" t="s">
        <v>2340</v>
      </c>
      <c r="G191" s="32" t="s">
        <v>2341</v>
      </c>
      <c r="H191" s="32" t="s">
        <v>2342</v>
      </c>
      <c r="I191" s="24"/>
      <c r="J191" s="24"/>
      <c r="K191" s="24"/>
      <c r="L191" s="24"/>
      <c r="M191" s="24"/>
      <c r="N191" s="37" t="s">
        <v>2343</v>
      </c>
      <c r="O191" s="37"/>
      <c r="P191" s="37"/>
      <c r="Q191" s="37" t="s">
        <v>71</v>
      </c>
      <c r="R191" s="37" t="s">
        <v>71</v>
      </c>
      <c r="S191" s="37" t="s">
        <v>2344</v>
      </c>
      <c r="T191" s="40" t="s">
        <v>2345</v>
      </c>
    </row>
    <row r="192" spans="1:20" ht="42" customHeight="1">
      <c r="A192" s="19" t="s">
        <v>814</v>
      </c>
      <c r="B192" s="19" t="s">
        <v>815</v>
      </c>
      <c r="C192" s="19" t="s">
        <v>816</v>
      </c>
      <c r="D192" s="19" t="s">
        <v>86</v>
      </c>
      <c r="E192" s="19" t="s">
        <v>2339</v>
      </c>
      <c r="F192" s="32" t="s">
        <v>2340</v>
      </c>
      <c r="G192" s="32" t="s">
        <v>2341</v>
      </c>
      <c r="H192" s="32" t="s">
        <v>2342</v>
      </c>
      <c r="I192" s="24"/>
      <c r="J192" s="24"/>
      <c r="K192" s="24"/>
      <c r="L192" s="24"/>
      <c r="M192" s="24"/>
      <c r="N192" s="37" t="s">
        <v>2343</v>
      </c>
      <c r="O192" s="37"/>
      <c r="P192" s="37"/>
      <c r="Q192" s="37" t="s">
        <v>71</v>
      </c>
      <c r="R192" s="37" t="s">
        <v>71</v>
      </c>
      <c r="S192" s="37" t="s">
        <v>2344</v>
      </c>
      <c r="T192" s="40" t="s">
        <v>2345</v>
      </c>
    </row>
    <row r="193" spans="1:20" ht="42" customHeight="1">
      <c r="A193" s="19" t="s">
        <v>817</v>
      </c>
      <c r="B193" s="19" t="s">
        <v>818</v>
      </c>
      <c r="C193" s="19" t="s">
        <v>819</v>
      </c>
      <c r="D193" s="19" t="s">
        <v>86</v>
      </c>
      <c r="E193" s="19" t="s">
        <v>2339</v>
      </c>
      <c r="F193" s="32" t="s">
        <v>2340</v>
      </c>
      <c r="G193" s="32" t="s">
        <v>2341</v>
      </c>
      <c r="H193" s="32" t="s">
        <v>2342</v>
      </c>
      <c r="I193" s="24"/>
      <c r="J193" s="24"/>
      <c r="K193" s="24"/>
      <c r="L193" s="24"/>
      <c r="M193" s="24"/>
      <c r="N193" s="37" t="s">
        <v>2343</v>
      </c>
      <c r="O193" s="37"/>
      <c r="P193" s="37"/>
      <c r="Q193" s="37" t="s">
        <v>71</v>
      </c>
      <c r="R193" s="37" t="s">
        <v>71</v>
      </c>
      <c r="S193" s="37" t="s">
        <v>2344</v>
      </c>
      <c r="T193" s="40" t="s">
        <v>2345</v>
      </c>
    </row>
    <row r="194" spans="1:20" ht="42" customHeight="1">
      <c r="A194" s="19" t="s">
        <v>820</v>
      </c>
      <c r="B194" s="19" t="s">
        <v>821</v>
      </c>
      <c r="C194" s="19" t="s">
        <v>822</v>
      </c>
      <c r="D194" s="19" t="s">
        <v>88</v>
      </c>
      <c r="E194" s="19" t="s">
        <v>2339</v>
      </c>
      <c r="F194" s="32" t="s">
        <v>2340</v>
      </c>
      <c r="G194" s="32" t="s">
        <v>2341</v>
      </c>
      <c r="H194" s="32" t="s">
        <v>2342</v>
      </c>
      <c r="I194" s="24"/>
      <c r="J194" s="24"/>
      <c r="K194" s="24"/>
      <c r="L194" s="24"/>
      <c r="M194" s="24"/>
      <c r="N194" s="37" t="s">
        <v>2343</v>
      </c>
      <c r="O194" s="37"/>
      <c r="P194" s="37"/>
      <c r="Q194" s="37" t="s">
        <v>71</v>
      </c>
      <c r="R194" s="37" t="s">
        <v>71</v>
      </c>
      <c r="S194" s="37" t="s">
        <v>2344</v>
      </c>
      <c r="T194" s="40" t="s">
        <v>2345</v>
      </c>
    </row>
    <row r="195" spans="1:20" ht="42" customHeight="1">
      <c r="A195" s="19" t="s">
        <v>823</v>
      </c>
      <c r="B195" s="19" t="s">
        <v>824</v>
      </c>
      <c r="C195" s="19" t="s">
        <v>825</v>
      </c>
      <c r="D195" s="19" t="s">
        <v>88</v>
      </c>
      <c r="E195" s="19" t="s">
        <v>2339</v>
      </c>
      <c r="F195" s="32" t="s">
        <v>2340</v>
      </c>
      <c r="G195" s="32" t="s">
        <v>2341</v>
      </c>
      <c r="H195" s="32" t="s">
        <v>2342</v>
      </c>
      <c r="I195" s="24"/>
      <c r="J195" s="24"/>
      <c r="K195" s="24"/>
      <c r="L195" s="24"/>
      <c r="M195" s="24"/>
      <c r="N195" s="37" t="s">
        <v>2343</v>
      </c>
      <c r="O195" s="37"/>
      <c r="P195" s="37"/>
      <c r="Q195" s="37" t="s">
        <v>71</v>
      </c>
      <c r="R195" s="37" t="s">
        <v>71</v>
      </c>
      <c r="S195" s="37" t="s">
        <v>2344</v>
      </c>
      <c r="T195" s="40" t="s">
        <v>2345</v>
      </c>
    </row>
    <row r="196" spans="1:20" ht="42" customHeight="1">
      <c r="A196" s="19" t="s">
        <v>826</v>
      </c>
      <c r="B196" s="19" t="s">
        <v>827</v>
      </c>
      <c r="C196" s="19" t="s">
        <v>828</v>
      </c>
      <c r="D196" s="19" t="s">
        <v>58</v>
      </c>
      <c r="E196" s="19" t="s">
        <v>2339</v>
      </c>
      <c r="F196" s="32" t="s">
        <v>2340</v>
      </c>
      <c r="G196" s="32" t="s">
        <v>2341</v>
      </c>
      <c r="H196" s="32" t="s">
        <v>2342</v>
      </c>
      <c r="I196" s="24"/>
      <c r="J196" s="24"/>
      <c r="K196" s="24"/>
      <c r="L196" s="24"/>
      <c r="M196" s="24"/>
      <c r="N196" s="37" t="s">
        <v>2343</v>
      </c>
      <c r="O196" s="37"/>
      <c r="P196" s="37"/>
      <c r="Q196" s="37" t="s">
        <v>71</v>
      </c>
      <c r="R196" s="37" t="s">
        <v>71</v>
      </c>
      <c r="S196" s="37" t="s">
        <v>2344</v>
      </c>
      <c r="T196" s="40" t="s">
        <v>2345</v>
      </c>
    </row>
    <row r="197" spans="1:20" ht="42" customHeight="1">
      <c r="A197" s="19" t="s">
        <v>829</v>
      </c>
      <c r="B197" s="19" t="s">
        <v>830</v>
      </c>
      <c r="C197" s="19" t="s">
        <v>831</v>
      </c>
      <c r="D197" s="19" t="s">
        <v>79</v>
      </c>
      <c r="E197" s="19" t="s">
        <v>2339</v>
      </c>
      <c r="F197" s="32" t="s">
        <v>2340</v>
      </c>
      <c r="G197" s="32" t="s">
        <v>2341</v>
      </c>
      <c r="H197" s="32" t="s">
        <v>2342</v>
      </c>
      <c r="I197" s="24"/>
      <c r="J197" s="24"/>
      <c r="K197" s="24"/>
      <c r="L197" s="24"/>
      <c r="M197" s="24"/>
      <c r="N197" s="37" t="s">
        <v>2343</v>
      </c>
      <c r="O197" s="37"/>
      <c r="P197" s="37"/>
      <c r="Q197" s="37" t="s">
        <v>71</v>
      </c>
      <c r="R197" s="37" t="s">
        <v>71</v>
      </c>
      <c r="S197" s="37" t="s">
        <v>2344</v>
      </c>
      <c r="T197" s="40" t="s">
        <v>2345</v>
      </c>
    </row>
    <row r="198" spans="1:20" ht="42" customHeight="1">
      <c r="A198" s="19" t="s">
        <v>832</v>
      </c>
      <c r="B198" s="19" t="s">
        <v>833</v>
      </c>
      <c r="C198" s="19" t="s">
        <v>834</v>
      </c>
      <c r="D198" s="19" t="s">
        <v>58</v>
      </c>
      <c r="E198" s="19" t="s">
        <v>2339</v>
      </c>
      <c r="F198" s="32" t="s">
        <v>2340</v>
      </c>
      <c r="G198" s="32" t="s">
        <v>2341</v>
      </c>
      <c r="H198" s="32" t="s">
        <v>2342</v>
      </c>
      <c r="I198" s="24"/>
      <c r="J198" s="24"/>
      <c r="K198" s="24"/>
      <c r="L198" s="24"/>
      <c r="M198" s="24"/>
      <c r="N198" s="37" t="s">
        <v>2343</v>
      </c>
      <c r="O198" s="37"/>
      <c r="P198" s="37"/>
      <c r="Q198" s="37" t="s">
        <v>71</v>
      </c>
      <c r="R198" s="37" t="s">
        <v>71</v>
      </c>
      <c r="S198" s="37" t="s">
        <v>2344</v>
      </c>
      <c r="T198" s="40" t="s">
        <v>2345</v>
      </c>
    </row>
    <row r="199" spans="1:20" ht="42" customHeight="1">
      <c r="A199" s="19" t="s">
        <v>835</v>
      </c>
      <c r="B199" s="19" t="s">
        <v>836</v>
      </c>
      <c r="C199" s="19" t="s">
        <v>837</v>
      </c>
      <c r="D199" s="19" t="s">
        <v>88</v>
      </c>
      <c r="E199" s="19" t="s">
        <v>2339</v>
      </c>
      <c r="F199" s="32" t="s">
        <v>2340</v>
      </c>
      <c r="G199" s="32" t="s">
        <v>2341</v>
      </c>
      <c r="H199" s="32" t="s">
        <v>2342</v>
      </c>
      <c r="I199" s="24"/>
      <c r="J199" s="24"/>
      <c r="K199" s="24"/>
      <c r="L199" s="24"/>
      <c r="M199" s="24"/>
      <c r="N199" s="37" t="s">
        <v>2343</v>
      </c>
      <c r="O199" s="37"/>
      <c r="P199" s="37"/>
      <c r="Q199" s="37" t="s">
        <v>71</v>
      </c>
      <c r="R199" s="37" t="s">
        <v>71</v>
      </c>
      <c r="S199" s="37" t="s">
        <v>2344</v>
      </c>
      <c r="T199" s="40" t="s">
        <v>2345</v>
      </c>
    </row>
    <row r="200" spans="1:20" ht="42" customHeight="1">
      <c r="A200" s="19" t="s">
        <v>838</v>
      </c>
      <c r="B200" s="19" t="s">
        <v>839</v>
      </c>
      <c r="C200" s="19" t="s">
        <v>840</v>
      </c>
      <c r="D200" s="19" t="s">
        <v>86</v>
      </c>
      <c r="E200" s="19" t="s">
        <v>2339</v>
      </c>
      <c r="F200" s="32" t="s">
        <v>2340</v>
      </c>
      <c r="G200" s="32" t="s">
        <v>2341</v>
      </c>
      <c r="H200" s="32" t="s">
        <v>2342</v>
      </c>
      <c r="I200" s="24"/>
      <c r="J200" s="24"/>
      <c r="K200" s="24"/>
      <c r="L200" s="24"/>
      <c r="M200" s="24"/>
      <c r="N200" s="37" t="s">
        <v>2343</v>
      </c>
      <c r="O200" s="37"/>
      <c r="P200" s="37"/>
      <c r="Q200" s="37" t="s">
        <v>71</v>
      </c>
      <c r="R200" s="37" t="s">
        <v>71</v>
      </c>
      <c r="S200" s="37" t="s">
        <v>2344</v>
      </c>
      <c r="T200" s="40" t="s">
        <v>2345</v>
      </c>
    </row>
    <row r="201" spans="1:20" ht="42" customHeight="1">
      <c r="A201" s="19" t="s">
        <v>841</v>
      </c>
      <c r="B201" s="19" t="s">
        <v>842</v>
      </c>
      <c r="C201" s="19" t="s">
        <v>843</v>
      </c>
      <c r="D201" s="19" t="s">
        <v>81</v>
      </c>
      <c r="E201" s="19" t="s">
        <v>2339</v>
      </c>
      <c r="F201" s="32" t="s">
        <v>2340</v>
      </c>
      <c r="G201" s="32" t="s">
        <v>2341</v>
      </c>
      <c r="H201" s="32" t="s">
        <v>2342</v>
      </c>
      <c r="I201" s="24"/>
      <c r="J201" s="24"/>
      <c r="K201" s="24"/>
      <c r="L201" s="24"/>
      <c r="M201" s="24"/>
      <c r="N201" s="37" t="s">
        <v>2343</v>
      </c>
      <c r="O201" s="37"/>
      <c r="P201" s="37"/>
      <c r="Q201" s="37" t="s">
        <v>71</v>
      </c>
      <c r="R201" s="37" t="s">
        <v>71</v>
      </c>
      <c r="S201" s="37" t="s">
        <v>2344</v>
      </c>
      <c r="T201" s="40" t="s">
        <v>2345</v>
      </c>
    </row>
    <row r="202" spans="1:20" ht="42" customHeight="1">
      <c r="A202" s="19" t="s">
        <v>844</v>
      </c>
      <c r="B202" s="19" t="s">
        <v>845</v>
      </c>
      <c r="C202" s="19" t="s">
        <v>846</v>
      </c>
      <c r="D202" s="19" t="s">
        <v>55</v>
      </c>
      <c r="E202" s="19" t="s">
        <v>2542</v>
      </c>
      <c r="F202" s="32" t="s">
        <v>2356</v>
      </c>
      <c r="G202" s="32" t="s">
        <v>2357</v>
      </c>
      <c r="H202" s="32" t="s">
        <v>2349</v>
      </c>
      <c r="I202" s="24"/>
      <c r="J202" s="24"/>
      <c r="K202" s="24"/>
      <c r="L202" s="24"/>
      <c r="M202" s="24"/>
      <c r="N202" s="37" t="s">
        <v>2343</v>
      </c>
      <c r="O202" s="37"/>
      <c r="P202" s="37"/>
      <c r="Q202" s="37" t="s">
        <v>71</v>
      </c>
      <c r="R202" s="37" t="s">
        <v>71</v>
      </c>
      <c r="S202" s="37" t="s">
        <v>2344</v>
      </c>
      <c r="T202" s="40" t="s">
        <v>2345</v>
      </c>
    </row>
    <row r="203" spans="1:20" ht="42" customHeight="1">
      <c r="A203" s="19" t="s">
        <v>848</v>
      </c>
      <c r="B203" s="19" t="s">
        <v>849</v>
      </c>
      <c r="C203" s="19" t="s">
        <v>850</v>
      </c>
      <c r="D203" s="19" t="s">
        <v>55</v>
      </c>
      <c r="E203" s="19" t="s">
        <v>2542</v>
      </c>
      <c r="F203" s="32" t="s">
        <v>2356</v>
      </c>
      <c r="G203" s="32" t="s">
        <v>2357</v>
      </c>
      <c r="H203" s="32" t="s">
        <v>2349</v>
      </c>
      <c r="I203" s="24"/>
      <c r="J203" s="24"/>
      <c r="K203" s="24"/>
      <c r="L203" s="24"/>
      <c r="M203" s="24"/>
      <c r="N203" s="37" t="s">
        <v>2343</v>
      </c>
      <c r="O203" s="37"/>
      <c r="P203" s="37"/>
      <c r="Q203" s="37" t="s">
        <v>71</v>
      </c>
      <c r="R203" s="37" t="s">
        <v>71</v>
      </c>
      <c r="S203" s="37" t="s">
        <v>2344</v>
      </c>
      <c r="T203" s="40" t="s">
        <v>2345</v>
      </c>
    </row>
    <row r="204" spans="1:20" ht="42" customHeight="1">
      <c r="A204" s="19" t="s">
        <v>851</v>
      </c>
      <c r="B204" s="19" t="s">
        <v>852</v>
      </c>
      <c r="C204" s="19" t="s">
        <v>853</v>
      </c>
      <c r="D204" s="19" t="s">
        <v>77</v>
      </c>
      <c r="E204" s="19" t="s">
        <v>2339</v>
      </c>
      <c r="F204" s="32" t="s">
        <v>2340</v>
      </c>
      <c r="G204" s="32" t="s">
        <v>2341</v>
      </c>
      <c r="H204" s="32" t="s">
        <v>2342</v>
      </c>
      <c r="I204" s="24"/>
      <c r="J204" s="24"/>
      <c r="K204" s="24"/>
      <c r="L204" s="24"/>
      <c r="M204" s="24"/>
      <c r="N204" s="37" t="s">
        <v>2343</v>
      </c>
      <c r="O204" s="37"/>
      <c r="P204" s="37"/>
      <c r="Q204" s="37" t="s">
        <v>71</v>
      </c>
      <c r="R204" s="37" t="s">
        <v>71</v>
      </c>
      <c r="S204" s="37" t="s">
        <v>2344</v>
      </c>
      <c r="T204" s="40" t="s">
        <v>2345</v>
      </c>
    </row>
    <row r="205" spans="1:20" ht="42" customHeight="1">
      <c r="A205" s="19" t="s">
        <v>855</v>
      </c>
      <c r="B205" s="19" t="s">
        <v>288</v>
      </c>
      <c r="C205" s="19" t="s">
        <v>856</v>
      </c>
      <c r="D205" s="19" t="s">
        <v>48</v>
      </c>
      <c r="E205" s="19" t="s">
        <v>2339</v>
      </c>
      <c r="F205" s="32" t="s">
        <v>2340</v>
      </c>
      <c r="G205" s="32" t="s">
        <v>2341</v>
      </c>
      <c r="H205" s="32" t="s">
        <v>2342</v>
      </c>
      <c r="I205" s="24"/>
      <c r="J205" s="24"/>
      <c r="K205" s="24"/>
      <c r="L205" s="24"/>
      <c r="M205" s="24"/>
      <c r="N205" s="37" t="s">
        <v>2343</v>
      </c>
      <c r="O205" s="37"/>
      <c r="P205" s="37"/>
      <c r="Q205" s="37" t="s">
        <v>71</v>
      </c>
      <c r="R205" s="37" t="s">
        <v>71</v>
      </c>
      <c r="S205" s="37" t="s">
        <v>2344</v>
      </c>
      <c r="T205" s="40" t="s">
        <v>2345</v>
      </c>
    </row>
    <row r="206" spans="1:20" ht="42" customHeight="1">
      <c r="A206" s="19" t="s">
        <v>861</v>
      </c>
      <c r="B206" s="19" t="s">
        <v>862</v>
      </c>
      <c r="C206" s="19" t="s">
        <v>863</v>
      </c>
      <c r="D206" s="19" t="s">
        <v>92</v>
      </c>
      <c r="E206" s="19" t="s">
        <v>2543</v>
      </c>
      <c r="F206" s="32" t="s">
        <v>2340</v>
      </c>
      <c r="G206" s="32" t="s">
        <v>2544</v>
      </c>
      <c r="H206" s="32" t="s">
        <v>2352</v>
      </c>
      <c r="I206" s="24"/>
      <c r="J206" s="24"/>
      <c r="K206" s="24"/>
      <c r="L206" s="24"/>
      <c r="M206" s="24"/>
      <c r="N206" s="37" t="s">
        <v>2343</v>
      </c>
      <c r="O206" s="37"/>
      <c r="P206" s="37"/>
      <c r="Q206" s="37" t="s">
        <v>71</v>
      </c>
      <c r="R206" s="37" t="s">
        <v>71</v>
      </c>
      <c r="S206" s="37" t="s">
        <v>2344</v>
      </c>
      <c r="T206" s="40" t="s">
        <v>2345</v>
      </c>
    </row>
    <row r="207" spans="1:20" ht="42" customHeight="1">
      <c r="A207" s="19" t="s">
        <v>864</v>
      </c>
      <c r="B207" s="19" t="s">
        <v>865</v>
      </c>
      <c r="C207" s="19" t="s">
        <v>866</v>
      </c>
      <c r="D207" s="19" t="s">
        <v>72</v>
      </c>
      <c r="E207" s="19" t="s">
        <v>2339</v>
      </c>
      <c r="F207" s="32" t="s">
        <v>2340</v>
      </c>
      <c r="G207" s="32" t="s">
        <v>2341</v>
      </c>
      <c r="H207" s="32" t="s">
        <v>2342</v>
      </c>
      <c r="I207" s="24"/>
      <c r="J207" s="24"/>
      <c r="K207" s="24"/>
      <c r="L207" s="24"/>
      <c r="M207" s="24"/>
      <c r="N207" s="37" t="s">
        <v>2343</v>
      </c>
      <c r="O207" s="37"/>
      <c r="P207" s="37"/>
      <c r="Q207" s="37" t="s">
        <v>71</v>
      </c>
      <c r="R207" s="37" t="s">
        <v>71</v>
      </c>
      <c r="S207" s="37" t="s">
        <v>2344</v>
      </c>
      <c r="T207" s="40" t="s">
        <v>2345</v>
      </c>
    </row>
    <row r="208" spans="1:20" ht="42" customHeight="1">
      <c r="A208" s="19" t="s">
        <v>867</v>
      </c>
      <c r="B208" s="19" t="s">
        <v>868</v>
      </c>
      <c r="C208" s="19" t="s">
        <v>869</v>
      </c>
      <c r="D208" s="19" t="s">
        <v>48</v>
      </c>
      <c r="E208" s="19" t="s">
        <v>2399</v>
      </c>
      <c r="F208" s="32" t="s">
        <v>2340</v>
      </c>
      <c r="G208" s="32" t="s">
        <v>2400</v>
      </c>
      <c r="H208" s="32" t="s">
        <v>2349</v>
      </c>
      <c r="I208" s="24"/>
      <c r="J208" s="24"/>
      <c r="K208" s="24"/>
      <c r="L208" s="24"/>
      <c r="M208" s="24"/>
      <c r="N208" s="37" t="s">
        <v>2343</v>
      </c>
      <c r="O208" s="37"/>
      <c r="P208" s="37"/>
      <c r="Q208" s="37" t="s">
        <v>71</v>
      </c>
      <c r="R208" s="37" t="s">
        <v>71</v>
      </c>
      <c r="S208" s="37" t="s">
        <v>2344</v>
      </c>
      <c r="T208" s="40" t="s">
        <v>2545</v>
      </c>
    </row>
    <row r="209" spans="1:20" ht="42" customHeight="1">
      <c r="A209" s="19" t="s">
        <v>877</v>
      </c>
      <c r="B209" s="19" t="s">
        <v>878</v>
      </c>
      <c r="C209" s="19" t="s">
        <v>879</v>
      </c>
      <c r="D209" s="19" t="s">
        <v>79</v>
      </c>
      <c r="E209" s="19" t="s">
        <v>2403</v>
      </c>
      <c r="F209" s="32" t="s">
        <v>2340</v>
      </c>
      <c r="G209" s="32" t="s">
        <v>2404</v>
      </c>
      <c r="H209" s="32" t="s">
        <v>2349</v>
      </c>
      <c r="I209" s="24"/>
      <c r="J209" s="24"/>
      <c r="K209" s="24"/>
      <c r="L209" s="24"/>
      <c r="M209" s="24"/>
      <c r="N209" s="37" t="s">
        <v>2343</v>
      </c>
      <c r="O209" s="37"/>
      <c r="P209" s="37"/>
      <c r="Q209" s="37" t="s">
        <v>71</v>
      </c>
      <c r="R209" s="37" t="s">
        <v>71</v>
      </c>
      <c r="S209" s="37" t="s">
        <v>2344</v>
      </c>
      <c r="T209" s="40" t="s">
        <v>2545</v>
      </c>
    </row>
    <row r="210" spans="1:20" ht="42" customHeight="1">
      <c r="A210" s="19" t="s">
        <v>881</v>
      </c>
      <c r="B210" s="19" t="s">
        <v>882</v>
      </c>
      <c r="C210" s="19" t="s">
        <v>883</v>
      </c>
      <c r="D210" s="19" t="s">
        <v>88</v>
      </c>
      <c r="E210" s="19" t="s">
        <v>2403</v>
      </c>
      <c r="F210" s="32" t="s">
        <v>2340</v>
      </c>
      <c r="G210" s="32" t="s">
        <v>2404</v>
      </c>
      <c r="H210" s="32" t="s">
        <v>2349</v>
      </c>
      <c r="I210" s="24"/>
      <c r="J210" s="24"/>
      <c r="K210" s="24"/>
      <c r="L210" s="24"/>
      <c r="M210" s="24"/>
      <c r="N210" s="37" t="s">
        <v>2343</v>
      </c>
      <c r="O210" s="37"/>
      <c r="P210" s="37"/>
      <c r="Q210" s="37" t="s">
        <v>71</v>
      </c>
      <c r="R210" s="37" t="s">
        <v>71</v>
      </c>
      <c r="S210" s="37" t="s">
        <v>2344</v>
      </c>
      <c r="T210" s="40" t="s">
        <v>2545</v>
      </c>
    </row>
    <row r="211" spans="1:20" ht="42" customHeight="1">
      <c r="A211" s="19" t="s">
        <v>885</v>
      </c>
      <c r="B211" s="19" t="s">
        <v>886</v>
      </c>
      <c r="C211" s="19" t="s">
        <v>887</v>
      </c>
      <c r="D211" s="19" t="s">
        <v>72</v>
      </c>
      <c r="E211" s="19" t="s">
        <v>2546</v>
      </c>
      <c r="F211" s="32" t="s">
        <v>2340</v>
      </c>
      <c r="G211" s="32" t="s">
        <v>2547</v>
      </c>
      <c r="H211" s="32" t="s">
        <v>2352</v>
      </c>
      <c r="I211" s="24"/>
      <c r="J211" s="24"/>
      <c r="K211" s="24"/>
      <c r="L211" s="24"/>
      <c r="M211" s="24"/>
      <c r="N211" s="37" t="s">
        <v>2343</v>
      </c>
      <c r="O211" s="37"/>
      <c r="P211" s="37"/>
      <c r="Q211" s="37" t="s">
        <v>71</v>
      </c>
      <c r="R211" s="37" t="s">
        <v>71</v>
      </c>
      <c r="S211" s="37" t="s">
        <v>2344</v>
      </c>
      <c r="T211" s="40" t="s">
        <v>2545</v>
      </c>
    </row>
    <row r="212" spans="1:20" ht="42" customHeight="1">
      <c r="A212" s="19" t="s">
        <v>889</v>
      </c>
      <c r="B212" s="19" t="s">
        <v>890</v>
      </c>
      <c r="C212" s="19" t="s">
        <v>891</v>
      </c>
      <c r="D212" s="19" t="s">
        <v>72</v>
      </c>
      <c r="E212" s="19" t="s">
        <v>2403</v>
      </c>
      <c r="F212" s="32" t="s">
        <v>2340</v>
      </c>
      <c r="G212" s="32" t="s">
        <v>2404</v>
      </c>
      <c r="H212" s="32" t="s">
        <v>2349</v>
      </c>
      <c r="I212" s="24"/>
      <c r="J212" s="24"/>
      <c r="K212" s="24"/>
      <c r="L212" s="24"/>
      <c r="M212" s="24"/>
      <c r="N212" s="37" t="s">
        <v>2343</v>
      </c>
      <c r="O212" s="37"/>
      <c r="P212" s="37"/>
      <c r="Q212" s="37" t="s">
        <v>71</v>
      </c>
      <c r="R212" s="37" t="s">
        <v>71</v>
      </c>
      <c r="S212" s="37" t="s">
        <v>2344</v>
      </c>
      <c r="T212" s="40" t="s">
        <v>2545</v>
      </c>
    </row>
    <row r="213" spans="1:20" ht="42" customHeight="1">
      <c r="A213" s="19" t="s">
        <v>894</v>
      </c>
      <c r="B213" s="19" t="s">
        <v>895</v>
      </c>
      <c r="C213" s="19" t="s">
        <v>896</v>
      </c>
      <c r="D213" s="19" t="s">
        <v>72</v>
      </c>
      <c r="E213" s="19" t="s">
        <v>2362</v>
      </c>
      <c r="F213" s="32" t="s">
        <v>2340</v>
      </c>
      <c r="G213" s="32" t="s">
        <v>2363</v>
      </c>
      <c r="H213" s="32" t="s">
        <v>2349</v>
      </c>
      <c r="I213" s="24"/>
      <c r="J213" s="24"/>
      <c r="K213" s="24"/>
      <c r="L213" s="24"/>
      <c r="M213" s="24"/>
      <c r="N213" s="37" t="s">
        <v>2343</v>
      </c>
      <c r="O213" s="37"/>
      <c r="P213" s="37"/>
      <c r="Q213" s="37" t="s">
        <v>71</v>
      </c>
      <c r="R213" s="37" t="s">
        <v>71</v>
      </c>
      <c r="S213" s="37" t="s">
        <v>2344</v>
      </c>
      <c r="T213" s="40" t="s">
        <v>2545</v>
      </c>
    </row>
    <row r="214" spans="1:20" ht="42" customHeight="1">
      <c r="A214" s="19" t="s">
        <v>897</v>
      </c>
      <c r="B214" s="19" t="s">
        <v>898</v>
      </c>
      <c r="C214" s="19" t="s">
        <v>899</v>
      </c>
      <c r="D214" s="19" t="s">
        <v>79</v>
      </c>
      <c r="E214" s="19" t="s">
        <v>2339</v>
      </c>
      <c r="F214" s="32" t="s">
        <v>2340</v>
      </c>
      <c r="G214" s="32" t="s">
        <v>2341</v>
      </c>
      <c r="H214" s="32" t="s">
        <v>2342</v>
      </c>
      <c r="I214" s="24"/>
      <c r="J214" s="24"/>
      <c r="K214" s="24"/>
      <c r="L214" s="24"/>
      <c r="M214" s="24"/>
      <c r="N214" s="37" t="s">
        <v>2343</v>
      </c>
      <c r="O214" s="37"/>
      <c r="P214" s="37"/>
      <c r="Q214" s="37" t="s">
        <v>71</v>
      </c>
      <c r="R214" s="37" t="s">
        <v>71</v>
      </c>
      <c r="S214" s="37" t="s">
        <v>2344</v>
      </c>
      <c r="T214" s="40" t="s">
        <v>2545</v>
      </c>
    </row>
    <row r="215" spans="1:20" ht="42" customHeight="1">
      <c r="A215" s="19" t="s">
        <v>901</v>
      </c>
      <c r="B215" s="19" t="s">
        <v>902</v>
      </c>
      <c r="C215" s="19" t="s">
        <v>137</v>
      </c>
      <c r="D215" s="19" t="s">
        <v>90</v>
      </c>
      <c r="E215" s="19" t="s">
        <v>2491</v>
      </c>
      <c r="F215" s="32" t="s">
        <v>2377</v>
      </c>
      <c r="G215" s="32" t="s">
        <v>2348</v>
      </c>
      <c r="H215" s="32" t="s">
        <v>2468</v>
      </c>
      <c r="I215" s="24"/>
      <c r="J215" s="24"/>
      <c r="K215" s="24"/>
      <c r="L215" s="24"/>
      <c r="M215" s="24"/>
      <c r="N215" s="37" t="s">
        <v>2343</v>
      </c>
      <c r="O215" s="37"/>
      <c r="P215" s="37"/>
      <c r="Q215" s="37" t="s">
        <v>71</v>
      </c>
      <c r="R215" s="37" t="s">
        <v>71</v>
      </c>
      <c r="S215" s="37" t="s">
        <v>2344</v>
      </c>
      <c r="T215" s="40" t="s">
        <v>2545</v>
      </c>
    </row>
    <row r="216" spans="1:20" ht="42" customHeight="1">
      <c r="A216" s="19" t="s">
        <v>904</v>
      </c>
      <c r="B216" s="19" t="s">
        <v>905</v>
      </c>
      <c r="C216" s="19" t="s">
        <v>906</v>
      </c>
      <c r="D216" s="19" t="s">
        <v>58</v>
      </c>
      <c r="E216" s="19" t="s">
        <v>2358</v>
      </c>
      <c r="F216" s="32" t="s">
        <v>2356</v>
      </c>
      <c r="G216" s="32" t="s">
        <v>2359</v>
      </c>
      <c r="H216" s="32" t="s">
        <v>2349</v>
      </c>
      <c r="I216" s="24"/>
      <c r="J216" s="24"/>
      <c r="K216" s="24"/>
      <c r="L216" s="24"/>
      <c r="M216" s="24"/>
      <c r="N216" s="37" t="s">
        <v>2343</v>
      </c>
      <c r="O216" s="37"/>
      <c r="P216" s="37"/>
      <c r="Q216" s="37" t="s">
        <v>71</v>
      </c>
      <c r="R216" s="37" t="s">
        <v>71</v>
      </c>
      <c r="S216" s="37" t="s">
        <v>2344</v>
      </c>
      <c r="T216" s="40" t="s">
        <v>2545</v>
      </c>
    </row>
    <row r="217" spans="1:20" ht="42" customHeight="1">
      <c r="A217" s="19" t="s">
        <v>908</v>
      </c>
      <c r="B217" s="19" t="s">
        <v>909</v>
      </c>
      <c r="C217" s="19" t="s">
        <v>910</v>
      </c>
      <c r="D217" s="19" t="s">
        <v>77</v>
      </c>
      <c r="E217" s="19" t="s">
        <v>2403</v>
      </c>
      <c r="F217" s="32" t="s">
        <v>2340</v>
      </c>
      <c r="G217" s="32" t="s">
        <v>2404</v>
      </c>
      <c r="H217" s="32" t="s">
        <v>2349</v>
      </c>
      <c r="I217" s="24"/>
      <c r="J217" s="24"/>
      <c r="K217" s="24"/>
      <c r="L217" s="24"/>
      <c r="M217" s="24"/>
      <c r="N217" s="37" t="s">
        <v>2343</v>
      </c>
      <c r="O217" s="37"/>
      <c r="P217" s="37"/>
      <c r="Q217" s="37" t="s">
        <v>71</v>
      </c>
      <c r="R217" s="37" t="s">
        <v>71</v>
      </c>
      <c r="S217" s="37" t="s">
        <v>2344</v>
      </c>
      <c r="T217" s="40" t="s">
        <v>2545</v>
      </c>
    </row>
    <row r="218" spans="1:20" ht="42" customHeight="1">
      <c r="A218" s="19" t="s">
        <v>911</v>
      </c>
      <c r="B218" s="19" t="s">
        <v>912</v>
      </c>
      <c r="C218" s="19" t="s">
        <v>913</v>
      </c>
      <c r="D218" s="19" t="s">
        <v>86</v>
      </c>
      <c r="E218" s="19" t="s">
        <v>2548</v>
      </c>
      <c r="F218" s="32" t="s">
        <v>2374</v>
      </c>
      <c r="G218" s="32" t="s">
        <v>2549</v>
      </c>
      <c r="H218" s="32" t="s">
        <v>2417</v>
      </c>
      <c r="I218" s="24"/>
      <c r="J218" s="24"/>
      <c r="K218" s="24"/>
      <c r="L218" s="24"/>
      <c r="M218" s="24"/>
      <c r="N218" s="37" t="s">
        <v>2343</v>
      </c>
      <c r="O218" s="37"/>
      <c r="P218" s="37"/>
      <c r="Q218" s="37" t="s">
        <v>71</v>
      </c>
      <c r="R218" s="37" t="s">
        <v>71</v>
      </c>
      <c r="S218" s="37" t="s">
        <v>2344</v>
      </c>
      <c r="T218" s="40" t="s">
        <v>2545</v>
      </c>
    </row>
    <row r="219" spans="1:20" ht="42" customHeight="1">
      <c r="A219" s="19" t="s">
        <v>914</v>
      </c>
      <c r="B219" s="19" t="s">
        <v>915</v>
      </c>
      <c r="C219" s="19" t="s">
        <v>916</v>
      </c>
      <c r="D219" s="19" t="s">
        <v>92</v>
      </c>
      <c r="E219" s="19" t="s">
        <v>2548</v>
      </c>
      <c r="F219" s="32" t="s">
        <v>2374</v>
      </c>
      <c r="G219" s="32" t="s">
        <v>2549</v>
      </c>
      <c r="H219" s="32" t="s">
        <v>2417</v>
      </c>
      <c r="I219" s="24"/>
      <c r="J219" s="24"/>
      <c r="K219" s="24"/>
      <c r="L219" s="24"/>
      <c r="M219" s="24"/>
      <c r="N219" s="37" t="s">
        <v>2343</v>
      </c>
      <c r="O219" s="37"/>
      <c r="P219" s="37"/>
      <c r="Q219" s="37" t="s">
        <v>71</v>
      </c>
      <c r="R219" s="37" t="s">
        <v>71</v>
      </c>
      <c r="S219" s="37" t="s">
        <v>2344</v>
      </c>
      <c r="T219" s="40" t="s">
        <v>2545</v>
      </c>
    </row>
    <row r="220" spans="1:20" ht="42" customHeight="1">
      <c r="A220" s="19" t="s">
        <v>917</v>
      </c>
      <c r="B220" s="19" t="s">
        <v>918</v>
      </c>
      <c r="C220" s="19" t="s">
        <v>919</v>
      </c>
      <c r="D220" s="19" t="s">
        <v>75</v>
      </c>
      <c r="E220" s="19" t="s">
        <v>2550</v>
      </c>
      <c r="F220" s="32" t="s">
        <v>2374</v>
      </c>
      <c r="G220" s="32" t="s">
        <v>2551</v>
      </c>
      <c r="H220" s="32" t="s">
        <v>2417</v>
      </c>
      <c r="I220" s="24"/>
      <c r="J220" s="24"/>
      <c r="K220" s="24"/>
      <c r="L220" s="24"/>
      <c r="M220" s="24"/>
      <c r="N220" s="37" t="s">
        <v>2343</v>
      </c>
      <c r="O220" s="37"/>
      <c r="P220" s="37"/>
      <c r="Q220" s="37" t="s">
        <v>71</v>
      </c>
      <c r="R220" s="37" t="s">
        <v>71</v>
      </c>
      <c r="S220" s="37" t="s">
        <v>2344</v>
      </c>
      <c r="T220" s="40" t="s">
        <v>2545</v>
      </c>
    </row>
    <row r="221" spans="1:20" ht="42" customHeight="1">
      <c r="A221" s="19" t="s">
        <v>920</v>
      </c>
      <c r="B221" s="19" t="s">
        <v>921</v>
      </c>
      <c r="C221" s="19" t="s">
        <v>922</v>
      </c>
      <c r="D221" s="19" t="s">
        <v>86</v>
      </c>
      <c r="E221" s="19" t="s">
        <v>2552</v>
      </c>
      <c r="F221" s="32"/>
      <c r="G221" s="32" t="s">
        <v>2553</v>
      </c>
      <c r="H221" s="32" t="s">
        <v>2554</v>
      </c>
      <c r="I221" s="24"/>
      <c r="J221" s="24"/>
      <c r="K221" s="24"/>
      <c r="L221" s="24"/>
      <c r="M221" s="24"/>
      <c r="N221" s="37" t="s">
        <v>2343</v>
      </c>
      <c r="O221" s="37"/>
      <c r="P221" s="37"/>
      <c r="Q221" s="37" t="s">
        <v>71</v>
      </c>
      <c r="R221" s="37" t="s">
        <v>71</v>
      </c>
      <c r="S221" s="37" t="s">
        <v>2344</v>
      </c>
      <c r="T221" s="40" t="s">
        <v>2545</v>
      </c>
    </row>
    <row r="222" spans="1:20" ht="42" customHeight="1">
      <c r="A222" s="19" t="s">
        <v>923</v>
      </c>
      <c r="B222" s="19" t="s">
        <v>924</v>
      </c>
      <c r="C222" s="19" t="s">
        <v>925</v>
      </c>
      <c r="D222" s="19" t="s">
        <v>58</v>
      </c>
      <c r="E222" s="19" t="s">
        <v>2459</v>
      </c>
      <c r="F222" s="32" t="s">
        <v>2340</v>
      </c>
      <c r="G222" s="32" t="s">
        <v>2460</v>
      </c>
      <c r="H222" s="32" t="s">
        <v>2417</v>
      </c>
      <c r="I222" s="24"/>
      <c r="J222" s="24"/>
      <c r="K222" s="24"/>
      <c r="L222" s="24"/>
      <c r="M222" s="24"/>
      <c r="N222" s="37" t="s">
        <v>2343</v>
      </c>
      <c r="O222" s="37"/>
      <c r="P222" s="37"/>
      <c r="Q222" s="37" t="s">
        <v>71</v>
      </c>
      <c r="R222" s="37" t="s">
        <v>71</v>
      </c>
      <c r="S222" s="37" t="s">
        <v>2344</v>
      </c>
      <c r="T222" s="40" t="s">
        <v>2545</v>
      </c>
    </row>
    <row r="223" spans="1:20" ht="42" customHeight="1">
      <c r="A223" s="19" t="s">
        <v>926</v>
      </c>
      <c r="B223" s="19" t="s">
        <v>927</v>
      </c>
      <c r="C223" s="19" t="s">
        <v>928</v>
      </c>
      <c r="D223" s="19" t="s">
        <v>77</v>
      </c>
      <c r="E223" s="19" t="s">
        <v>2339</v>
      </c>
      <c r="F223" s="32" t="s">
        <v>2340</v>
      </c>
      <c r="G223" s="32" t="s">
        <v>2341</v>
      </c>
      <c r="H223" s="32" t="s">
        <v>2342</v>
      </c>
      <c r="I223" s="24"/>
      <c r="J223" s="24"/>
      <c r="K223" s="24"/>
      <c r="L223" s="24"/>
      <c r="M223" s="24"/>
      <c r="N223" s="37" t="s">
        <v>2343</v>
      </c>
      <c r="O223" s="37"/>
      <c r="P223" s="37"/>
      <c r="Q223" s="37" t="s">
        <v>71</v>
      </c>
      <c r="R223" s="37" t="s">
        <v>71</v>
      </c>
      <c r="S223" s="37" t="s">
        <v>2344</v>
      </c>
      <c r="T223" s="40" t="s">
        <v>2545</v>
      </c>
    </row>
    <row r="224" spans="1:20" ht="42" customHeight="1">
      <c r="A224" s="19" t="s">
        <v>930</v>
      </c>
      <c r="B224" s="19" t="s">
        <v>931</v>
      </c>
      <c r="C224" s="19" t="s">
        <v>932</v>
      </c>
      <c r="D224" s="19" t="s">
        <v>77</v>
      </c>
      <c r="E224" s="19" t="s">
        <v>2555</v>
      </c>
      <c r="F224" s="32" t="s">
        <v>2340</v>
      </c>
      <c r="G224" s="32" t="s">
        <v>2556</v>
      </c>
      <c r="H224" s="32" t="s">
        <v>2417</v>
      </c>
      <c r="I224" s="24"/>
      <c r="J224" s="24"/>
      <c r="K224" s="24"/>
      <c r="L224" s="24"/>
      <c r="M224" s="24"/>
      <c r="N224" s="37" t="s">
        <v>2343</v>
      </c>
      <c r="O224" s="37"/>
      <c r="P224" s="37"/>
      <c r="Q224" s="37" t="s">
        <v>71</v>
      </c>
      <c r="R224" s="37" t="s">
        <v>71</v>
      </c>
      <c r="S224" s="37" t="s">
        <v>2344</v>
      </c>
      <c r="T224" s="40" t="s">
        <v>2545</v>
      </c>
    </row>
    <row r="225" spans="1:20" ht="42" customHeight="1">
      <c r="A225" s="19" t="s">
        <v>933</v>
      </c>
      <c r="B225" s="19" t="s">
        <v>934</v>
      </c>
      <c r="C225" s="19" t="s">
        <v>935</v>
      </c>
      <c r="D225" s="19" t="s">
        <v>77</v>
      </c>
      <c r="E225" s="19" t="s">
        <v>2454</v>
      </c>
      <c r="F225" s="32" t="s">
        <v>2340</v>
      </c>
      <c r="G225" s="32" t="s">
        <v>2455</v>
      </c>
      <c r="H225" s="32" t="s">
        <v>2456</v>
      </c>
      <c r="I225" s="24"/>
      <c r="J225" s="24"/>
      <c r="K225" s="24"/>
      <c r="L225" s="24"/>
      <c r="M225" s="24"/>
      <c r="N225" s="37" t="s">
        <v>2343</v>
      </c>
      <c r="O225" s="37"/>
      <c r="P225" s="37"/>
      <c r="Q225" s="37" t="s">
        <v>71</v>
      </c>
      <c r="R225" s="37" t="s">
        <v>71</v>
      </c>
      <c r="S225" s="37" t="s">
        <v>2344</v>
      </c>
      <c r="T225" s="40" t="s">
        <v>2545</v>
      </c>
    </row>
    <row r="226" spans="1:20" ht="42" customHeight="1">
      <c r="A226" s="19" t="s">
        <v>936</v>
      </c>
      <c r="B226" s="19" t="s">
        <v>937</v>
      </c>
      <c r="C226" s="19" t="s">
        <v>938</v>
      </c>
      <c r="D226" s="19" t="s">
        <v>69</v>
      </c>
      <c r="E226" s="19" t="s">
        <v>2557</v>
      </c>
      <c r="F226" s="32" t="s">
        <v>2340</v>
      </c>
      <c r="G226" s="32" t="s">
        <v>2558</v>
      </c>
      <c r="H226" s="32" t="s">
        <v>2417</v>
      </c>
      <c r="I226" s="24"/>
      <c r="J226" s="24"/>
      <c r="K226" s="24"/>
      <c r="L226" s="24"/>
      <c r="M226" s="24"/>
      <c r="N226" s="37" t="s">
        <v>2343</v>
      </c>
      <c r="O226" s="37"/>
      <c r="P226" s="37"/>
      <c r="Q226" s="37" t="s">
        <v>71</v>
      </c>
      <c r="R226" s="37" t="s">
        <v>71</v>
      </c>
      <c r="S226" s="37" t="s">
        <v>2344</v>
      </c>
      <c r="T226" s="40" t="s">
        <v>2545</v>
      </c>
    </row>
    <row r="227" spans="1:20" ht="42" customHeight="1">
      <c r="A227" s="19" t="s">
        <v>939</v>
      </c>
      <c r="B227" s="19" t="s">
        <v>940</v>
      </c>
      <c r="C227" s="19" t="s">
        <v>941</v>
      </c>
      <c r="D227" s="19" t="s">
        <v>69</v>
      </c>
      <c r="E227" s="19" t="s">
        <v>2559</v>
      </c>
      <c r="F227" s="32" t="s">
        <v>2340</v>
      </c>
      <c r="G227" s="32" t="s">
        <v>2560</v>
      </c>
      <c r="H227" s="32" t="s">
        <v>2417</v>
      </c>
      <c r="I227" s="24"/>
      <c r="J227" s="24"/>
      <c r="K227" s="24"/>
      <c r="L227" s="24"/>
      <c r="M227" s="24"/>
      <c r="N227" s="37" t="s">
        <v>2343</v>
      </c>
      <c r="O227" s="37"/>
      <c r="P227" s="37"/>
      <c r="Q227" s="37" t="s">
        <v>71</v>
      </c>
      <c r="R227" s="37" t="s">
        <v>71</v>
      </c>
      <c r="S227" s="37" t="s">
        <v>2344</v>
      </c>
      <c r="T227" s="40" t="s">
        <v>2545</v>
      </c>
    </row>
    <row r="228" spans="1:20" ht="42" customHeight="1">
      <c r="A228" s="19" t="s">
        <v>942</v>
      </c>
      <c r="B228" s="19" t="s">
        <v>943</v>
      </c>
      <c r="C228" s="19" t="s">
        <v>944</v>
      </c>
      <c r="D228" s="19" t="s">
        <v>69</v>
      </c>
      <c r="E228" s="19" t="s">
        <v>2503</v>
      </c>
      <c r="F228" s="32" t="s">
        <v>2340</v>
      </c>
      <c r="G228" s="32" t="s">
        <v>2504</v>
      </c>
      <c r="H228" s="32" t="s">
        <v>2417</v>
      </c>
      <c r="I228" s="24"/>
      <c r="J228" s="24"/>
      <c r="K228" s="24"/>
      <c r="L228" s="24"/>
      <c r="M228" s="24"/>
      <c r="N228" s="37" t="s">
        <v>2343</v>
      </c>
      <c r="O228" s="37"/>
      <c r="P228" s="37"/>
      <c r="Q228" s="37" t="s">
        <v>71</v>
      </c>
      <c r="R228" s="37" t="s">
        <v>71</v>
      </c>
      <c r="S228" s="37" t="s">
        <v>2344</v>
      </c>
      <c r="T228" s="40" t="s">
        <v>2545</v>
      </c>
    </row>
    <row r="229" spans="1:20" ht="42" customHeight="1">
      <c r="A229" s="19" t="s">
        <v>945</v>
      </c>
      <c r="B229" s="19" t="s">
        <v>946</v>
      </c>
      <c r="C229" s="19" t="s">
        <v>947</v>
      </c>
      <c r="D229" s="19" t="s">
        <v>92</v>
      </c>
      <c r="E229" s="19" t="s">
        <v>2561</v>
      </c>
      <c r="F229" s="32" t="s">
        <v>2340</v>
      </c>
      <c r="G229" s="32" t="s">
        <v>2562</v>
      </c>
      <c r="H229" s="32" t="s">
        <v>2352</v>
      </c>
      <c r="I229" s="24"/>
      <c r="J229" s="24"/>
      <c r="K229" s="24"/>
      <c r="L229" s="24"/>
      <c r="M229" s="24"/>
      <c r="N229" s="37" t="s">
        <v>2343</v>
      </c>
      <c r="O229" s="37"/>
      <c r="P229" s="37"/>
      <c r="Q229" s="37" t="s">
        <v>71</v>
      </c>
      <c r="R229" s="37" t="s">
        <v>71</v>
      </c>
      <c r="S229" s="37" t="s">
        <v>2344</v>
      </c>
      <c r="T229" s="40" t="s">
        <v>2545</v>
      </c>
    </row>
    <row r="230" spans="1:20" ht="42" customHeight="1">
      <c r="A230" s="19" t="s">
        <v>948</v>
      </c>
      <c r="B230" s="19" t="s">
        <v>949</v>
      </c>
      <c r="C230" s="19" t="s">
        <v>950</v>
      </c>
      <c r="D230" s="19" t="s">
        <v>58</v>
      </c>
      <c r="E230" s="19" t="s">
        <v>2403</v>
      </c>
      <c r="F230" s="32" t="s">
        <v>2340</v>
      </c>
      <c r="G230" s="32" t="s">
        <v>2404</v>
      </c>
      <c r="H230" s="32" t="s">
        <v>2349</v>
      </c>
      <c r="I230" s="24"/>
      <c r="J230" s="24"/>
      <c r="K230" s="24"/>
      <c r="L230" s="24"/>
      <c r="M230" s="24"/>
      <c r="N230" s="37" t="s">
        <v>2343</v>
      </c>
      <c r="O230" s="37"/>
      <c r="P230" s="37"/>
      <c r="Q230" s="37" t="s">
        <v>71</v>
      </c>
      <c r="R230" s="37" t="s">
        <v>71</v>
      </c>
      <c r="S230" s="37" t="s">
        <v>2344</v>
      </c>
      <c r="T230" s="40" t="s">
        <v>2545</v>
      </c>
    </row>
    <row r="231" spans="1:20" ht="42" customHeight="1">
      <c r="A231" s="19" t="s">
        <v>951</v>
      </c>
      <c r="B231" s="19" t="s">
        <v>952</v>
      </c>
      <c r="C231" s="19" t="s">
        <v>953</v>
      </c>
      <c r="D231" s="19" t="s">
        <v>69</v>
      </c>
      <c r="E231" s="19" t="s">
        <v>2399</v>
      </c>
      <c r="F231" s="32" t="s">
        <v>2340</v>
      </c>
      <c r="G231" s="32" t="s">
        <v>2400</v>
      </c>
      <c r="H231" s="32" t="s">
        <v>2349</v>
      </c>
      <c r="I231" s="24"/>
      <c r="J231" s="24"/>
      <c r="K231" s="24"/>
      <c r="L231" s="24"/>
      <c r="M231" s="24"/>
      <c r="N231" s="37" t="s">
        <v>2343</v>
      </c>
      <c r="O231" s="37"/>
      <c r="P231" s="37"/>
      <c r="Q231" s="37" t="s">
        <v>71</v>
      </c>
      <c r="R231" s="37" t="s">
        <v>71</v>
      </c>
      <c r="S231" s="37" t="s">
        <v>2344</v>
      </c>
      <c r="T231" s="40" t="s">
        <v>2545</v>
      </c>
    </row>
    <row r="232" spans="1:20" ht="42" customHeight="1">
      <c r="A232" s="19" t="s">
        <v>954</v>
      </c>
      <c r="B232" s="19" t="s">
        <v>955</v>
      </c>
      <c r="C232" s="19" t="s">
        <v>956</v>
      </c>
      <c r="D232" s="19" t="s">
        <v>61</v>
      </c>
      <c r="E232" s="19" t="s">
        <v>2339</v>
      </c>
      <c r="F232" s="32" t="s">
        <v>2340</v>
      </c>
      <c r="G232" s="32" t="s">
        <v>2341</v>
      </c>
      <c r="H232" s="32" t="s">
        <v>2342</v>
      </c>
      <c r="I232" s="24"/>
      <c r="J232" s="24"/>
      <c r="K232" s="24"/>
      <c r="L232" s="24"/>
      <c r="M232" s="24"/>
      <c r="N232" s="37" t="s">
        <v>2343</v>
      </c>
      <c r="O232" s="37"/>
      <c r="P232" s="37"/>
      <c r="Q232" s="37" t="s">
        <v>71</v>
      </c>
      <c r="R232" s="37" t="s">
        <v>71</v>
      </c>
      <c r="S232" s="37" t="s">
        <v>2344</v>
      </c>
      <c r="T232" s="40" t="s">
        <v>2545</v>
      </c>
    </row>
    <row r="233" spans="1:20" ht="42" customHeight="1">
      <c r="A233" s="19" t="s">
        <v>957</v>
      </c>
      <c r="B233" s="19" t="s">
        <v>958</v>
      </c>
      <c r="C233" s="19" t="s">
        <v>959</v>
      </c>
      <c r="D233" s="19" t="s">
        <v>61</v>
      </c>
      <c r="E233" s="19" t="s">
        <v>2563</v>
      </c>
      <c r="F233" s="32" t="s">
        <v>2340</v>
      </c>
      <c r="G233" s="32" t="s">
        <v>2564</v>
      </c>
      <c r="H233" s="32" t="s">
        <v>2417</v>
      </c>
      <c r="I233" s="24"/>
      <c r="J233" s="24"/>
      <c r="K233" s="24"/>
      <c r="L233" s="24"/>
      <c r="M233" s="24"/>
      <c r="N233" s="37" t="s">
        <v>2343</v>
      </c>
      <c r="O233" s="37"/>
      <c r="P233" s="37"/>
      <c r="Q233" s="37" t="s">
        <v>71</v>
      </c>
      <c r="R233" s="37" t="s">
        <v>71</v>
      </c>
      <c r="S233" s="37" t="s">
        <v>2344</v>
      </c>
      <c r="T233" s="40" t="s">
        <v>2545</v>
      </c>
    </row>
    <row r="234" spans="1:20" ht="42" customHeight="1">
      <c r="A234" s="19" t="s">
        <v>960</v>
      </c>
      <c r="B234" s="19" t="s">
        <v>961</v>
      </c>
      <c r="C234" s="19" t="s">
        <v>962</v>
      </c>
      <c r="D234" s="19" t="s">
        <v>48</v>
      </c>
      <c r="E234" s="19" t="s">
        <v>2565</v>
      </c>
      <c r="F234" s="32" t="s">
        <v>2340</v>
      </c>
      <c r="G234" s="32" t="s">
        <v>2566</v>
      </c>
      <c r="H234" s="32" t="s">
        <v>2352</v>
      </c>
      <c r="I234" s="24"/>
      <c r="J234" s="24"/>
      <c r="K234" s="24"/>
      <c r="L234" s="24"/>
      <c r="M234" s="24"/>
      <c r="N234" s="37" t="s">
        <v>2343</v>
      </c>
      <c r="O234" s="37"/>
      <c r="P234" s="37"/>
      <c r="Q234" s="37" t="s">
        <v>71</v>
      </c>
      <c r="R234" s="37" t="s">
        <v>71</v>
      </c>
      <c r="S234" s="37" t="s">
        <v>2344</v>
      </c>
      <c r="T234" s="40" t="s">
        <v>2545</v>
      </c>
    </row>
    <row r="235" spans="1:20" ht="42" customHeight="1">
      <c r="A235" s="19" t="s">
        <v>969</v>
      </c>
      <c r="B235" s="19" t="s">
        <v>970</v>
      </c>
      <c r="C235" s="19" t="s">
        <v>971</v>
      </c>
      <c r="D235" s="19" t="s">
        <v>92</v>
      </c>
      <c r="E235" s="19" t="s">
        <v>2567</v>
      </c>
      <c r="F235" s="32" t="s">
        <v>2340</v>
      </c>
      <c r="G235" s="32" t="s">
        <v>2568</v>
      </c>
      <c r="H235" s="32" t="s">
        <v>2417</v>
      </c>
      <c r="I235" s="24"/>
      <c r="J235" s="24"/>
      <c r="K235" s="24"/>
      <c r="L235" s="24"/>
      <c r="M235" s="24"/>
      <c r="N235" s="37" t="s">
        <v>2343</v>
      </c>
      <c r="O235" s="37"/>
      <c r="P235" s="37"/>
      <c r="Q235" s="37" t="s">
        <v>71</v>
      </c>
      <c r="R235" s="37" t="s">
        <v>71</v>
      </c>
      <c r="S235" s="37" t="s">
        <v>2344</v>
      </c>
      <c r="T235" s="40" t="s">
        <v>2545</v>
      </c>
    </row>
    <row r="236" spans="1:20" ht="42" customHeight="1">
      <c r="A236" s="19" t="s">
        <v>973</v>
      </c>
      <c r="B236" s="19" t="s">
        <v>974</v>
      </c>
      <c r="C236" s="19" t="s">
        <v>975</v>
      </c>
      <c r="D236" s="19" t="s">
        <v>48</v>
      </c>
      <c r="E236" s="19" t="s">
        <v>2569</v>
      </c>
      <c r="F236" s="32" t="s">
        <v>2340</v>
      </c>
      <c r="G236" s="32" t="s">
        <v>2570</v>
      </c>
      <c r="H236" s="32" t="s">
        <v>2352</v>
      </c>
      <c r="I236" s="24"/>
      <c r="J236" s="24"/>
      <c r="K236" s="24"/>
      <c r="L236" s="24"/>
      <c r="M236" s="24"/>
      <c r="N236" s="37" t="s">
        <v>2343</v>
      </c>
      <c r="O236" s="37"/>
      <c r="P236" s="37"/>
      <c r="Q236" s="37" t="s">
        <v>71</v>
      </c>
      <c r="R236" s="37" t="s">
        <v>71</v>
      </c>
      <c r="S236" s="37" t="s">
        <v>2344</v>
      </c>
      <c r="T236" s="40" t="s">
        <v>2545</v>
      </c>
    </row>
    <row r="237" spans="1:20" ht="42" customHeight="1">
      <c r="A237" s="30" t="s">
        <v>983</v>
      </c>
      <c r="B237" s="30" t="s">
        <v>984</v>
      </c>
      <c r="C237" s="30" t="s">
        <v>985</v>
      </c>
      <c r="D237" s="30" t="s">
        <v>90</v>
      </c>
      <c r="E237" s="30" t="s">
        <v>2403</v>
      </c>
      <c r="F237" s="33" t="s">
        <v>2340</v>
      </c>
      <c r="G237" s="33" t="s">
        <v>2404</v>
      </c>
      <c r="H237" s="33" t="s">
        <v>2349</v>
      </c>
      <c r="I237" s="35"/>
      <c r="J237" s="35"/>
      <c r="K237" s="35"/>
      <c r="L237" s="35"/>
      <c r="M237" s="35"/>
      <c r="N237" s="38" t="s">
        <v>2343</v>
      </c>
      <c r="O237" s="38"/>
      <c r="P237" s="38"/>
      <c r="Q237" s="38" t="s">
        <v>71</v>
      </c>
      <c r="R237" s="38" t="s">
        <v>71</v>
      </c>
      <c r="S237" s="38" t="s">
        <v>2344</v>
      </c>
      <c r="T237" s="41" t="s">
        <v>2545</v>
      </c>
    </row>
  </sheetData>
  <mergeCells count="2">
    <mergeCell ref="A1:T1"/>
    <mergeCell ref="A2:T2"/>
  </mergeCells>
  <conditionalFormatting sqref="N5:N237">
    <cfRule type="containsText" dxfId="10" priority="3" operator="containsText" text="revisada"/>
  </conditionalFormatting>
  <conditionalFormatting sqref="S5:S237">
    <cfRule type="containsText" dxfId="9" priority="1" operator="containsText" text="SI"/>
    <cfRule type="containsText" dxfId="8" priority="2" operator="containsText" text="NO"/>
  </conditionalFormatting>
  <dataValidations count="6">
    <dataValidation type="list" sqref="I5:I237" xr:uid="{00000000-0002-0000-0A00-000000000000}">
      <formula1>"inglés,español,francés,neerlandés,criollo (especificar),portugués,danés,otro,pendiente"</formula1>
    </dataValidation>
    <dataValidation type="list" sqref="L5:L237" xr:uid="{00000000-0002-0000-0A00-000001000000}">
      <formula1>"local,interinsular,regional,transnacional,transatlántico,cuenca completa,comparado,otro,pendiente"</formula1>
    </dataValidation>
    <dataValidation type="list" sqref="N5:N237" xr:uid="{00000000-0002-0000-0A00-000002000000}">
      <formula1>"pendiente_revision,en_revision,revisada,bloqueada"</formula1>
    </dataValidation>
    <dataValidation type="list" sqref="Q5:Q237" xr:uid="{00000000-0002-0000-0A00-000003000000}">
      <formula1>"pendiente,pasa,falla"</formula1>
    </dataValidation>
    <dataValidation type="list" sqref="R5:R237" xr:uid="{00000000-0002-0000-0A00-000004000000}">
      <formula1>"pendiente,aprobada,devuelta"</formula1>
    </dataValidation>
    <dataValidation type="list" sqref="S5:S237" xr:uid="{00000000-0002-0000-0A00-000005000000}">
      <formula1>"NO,SI"</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8"/>
  <sheetViews>
    <sheetView showGridLines="0" workbookViewId="0"/>
  </sheetViews>
  <sheetFormatPr baseColWidth="10" defaultColWidth="8.83203125" defaultRowHeight="14"/>
  <cols>
    <col min="1" max="1" width="42" customWidth="1"/>
    <col min="2" max="2" width="12" customWidth="1"/>
    <col min="3" max="3" width="24" customWidth="1"/>
    <col min="4" max="4" width="44" customWidth="1"/>
    <col min="5" max="5" width="48" customWidth="1"/>
  </cols>
  <sheetData>
    <row r="1" spans="1:5" ht="28" customHeight="1">
      <c r="A1" s="84" t="s">
        <v>2571</v>
      </c>
      <c r="B1" s="84"/>
      <c r="C1" s="84"/>
      <c r="D1" s="84"/>
      <c r="E1" s="84"/>
    </row>
    <row r="2" spans="1:5" ht="30" customHeight="1">
      <c r="A2" s="85" t="s">
        <v>2572</v>
      </c>
      <c r="B2" s="85"/>
      <c r="C2" s="85"/>
      <c r="D2" s="85"/>
      <c r="E2" s="85"/>
    </row>
    <row r="4" spans="1:5" ht="34" customHeight="1">
      <c r="A4" s="26" t="s">
        <v>2324</v>
      </c>
      <c r="B4" s="27" t="s">
        <v>2573</v>
      </c>
      <c r="C4" s="27" t="s">
        <v>2325</v>
      </c>
      <c r="D4" s="27" t="s">
        <v>2574</v>
      </c>
      <c r="E4" s="28" t="s">
        <v>2575</v>
      </c>
    </row>
    <row r="5" spans="1:5" ht="32" customHeight="1">
      <c r="A5" s="29" t="s">
        <v>2339</v>
      </c>
      <c r="B5" s="29">
        <v>38</v>
      </c>
      <c r="C5" s="31" t="s">
        <v>2340</v>
      </c>
      <c r="D5" s="29" t="s">
        <v>2576</v>
      </c>
      <c r="E5" s="36" t="s">
        <v>2342</v>
      </c>
    </row>
    <row r="6" spans="1:5" ht="32" customHeight="1">
      <c r="A6" s="19" t="s">
        <v>2355</v>
      </c>
      <c r="B6" s="19">
        <v>20</v>
      </c>
      <c r="C6" s="32" t="s">
        <v>2356</v>
      </c>
      <c r="D6" s="19" t="s">
        <v>2577</v>
      </c>
      <c r="E6" s="37" t="s">
        <v>2349</v>
      </c>
    </row>
    <row r="7" spans="1:5" ht="32" customHeight="1">
      <c r="A7" s="19" t="s">
        <v>2409</v>
      </c>
      <c r="B7" s="19">
        <v>8</v>
      </c>
      <c r="C7" s="32" t="s">
        <v>2340</v>
      </c>
      <c r="D7" s="19" t="s">
        <v>2578</v>
      </c>
      <c r="E7" s="37" t="s">
        <v>2352</v>
      </c>
    </row>
    <row r="8" spans="1:5" ht="32" customHeight="1">
      <c r="A8" s="19" t="s">
        <v>2399</v>
      </c>
      <c r="B8" s="19">
        <v>8</v>
      </c>
      <c r="C8" s="32" t="s">
        <v>2340</v>
      </c>
      <c r="D8" s="19" t="s">
        <v>2579</v>
      </c>
      <c r="E8" s="37" t="s">
        <v>2349</v>
      </c>
    </row>
    <row r="9" spans="1:5" ht="32" customHeight="1">
      <c r="A9" s="19" t="s">
        <v>2403</v>
      </c>
      <c r="B9" s="19">
        <v>7</v>
      </c>
      <c r="C9" s="32" t="s">
        <v>2340</v>
      </c>
      <c r="D9" s="19" t="s">
        <v>2580</v>
      </c>
      <c r="E9" s="37" t="s">
        <v>2349</v>
      </c>
    </row>
    <row r="10" spans="1:5" ht="32" customHeight="1">
      <c r="A10" s="19" t="s">
        <v>2346</v>
      </c>
      <c r="B10" s="19">
        <v>7</v>
      </c>
      <c r="C10" s="32" t="s">
        <v>2347</v>
      </c>
      <c r="D10" s="19" t="s">
        <v>2581</v>
      </c>
      <c r="E10" s="37" t="s">
        <v>2349</v>
      </c>
    </row>
    <row r="11" spans="1:5" ht="32" customHeight="1">
      <c r="A11" s="19" t="s">
        <v>2434</v>
      </c>
      <c r="B11" s="19">
        <v>5</v>
      </c>
      <c r="C11" s="32" t="s">
        <v>2340</v>
      </c>
      <c r="D11" s="19" t="s">
        <v>2582</v>
      </c>
      <c r="E11" s="37" t="s">
        <v>2352</v>
      </c>
    </row>
    <row r="12" spans="1:5" ht="32" customHeight="1">
      <c r="A12" s="19" t="s">
        <v>2350</v>
      </c>
      <c r="B12" s="19">
        <v>5</v>
      </c>
      <c r="C12" s="32" t="s">
        <v>2340</v>
      </c>
      <c r="D12" s="19" t="s">
        <v>2583</v>
      </c>
      <c r="E12" s="37" t="s">
        <v>2352</v>
      </c>
    </row>
    <row r="13" spans="1:5" ht="32" customHeight="1">
      <c r="A13" s="19" t="s">
        <v>2386</v>
      </c>
      <c r="B13" s="19">
        <v>5</v>
      </c>
      <c r="C13" s="32"/>
      <c r="D13" s="19" t="s">
        <v>2584</v>
      </c>
      <c r="E13" s="37" t="s">
        <v>2366</v>
      </c>
    </row>
    <row r="14" spans="1:5" ht="32" customHeight="1">
      <c r="A14" s="19" t="s">
        <v>2420</v>
      </c>
      <c r="B14" s="19">
        <v>4</v>
      </c>
      <c r="C14" s="32" t="s">
        <v>2340</v>
      </c>
      <c r="D14" s="19" t="s">
        <v>2585</v>
      </c>
      <c r="E14" s="37" t="s">
        <v>2352</v>
      </c>
    </row>
    <row r="15" spans="1:5" ht="32" customHeight="1">
      <c r="A15" s="19" t="s">
        <v>2360</v>
      </c>
      <c r="B15" s="19">
        <v>4</v>
      </c>
      <c r="C15" s="32" t="s">
        <v>2347</v>
      </c>
      <c r="D15" s="19" t="s">
        <v>2586</v>
      </c>
      <c r="E15" s="37" t="s">
        <v>2349</v>
      </c>
    </row>
    <row r="16" spans="1:5" ht="32" customHeight="1">
      <c r="A16" s="19" t="s">
        <v>2358</v>
      </c>
      <c r="B16" s="19">
        <v>4</v>
      </c>
      <c r="C16" s="32" t="s">
        <v>2356</v>
      </c>
      <c r="D16" s="19" t="s">
        <v>2587</v>
      </c>
      <c r="E16" s="37" t="s">
        <v>2349</v>
      </c>
    </row>
    <row r="17" spans="1:5" ht="32" customHeight="1">
      <c r="A17" s="19" t="s">
        <v>2369</v>
      </c>
      <c r="B17" s="19">
        <v>4</v>
      </c>
      <c r="C17" s="32" t="s">
        <v>2356</v>
      </c>
      <c r="D17" s="19" t="s">
        <v>2588</v>
      </c>
      <c r="E17" s="37" t="s">
        <v>2349</v>
      </c>
    </row>
    <row r="18" spans="1:5" ht="32" customHeight="1">
      <c r="A18" s="19" t="s">
        <v>2362</v>
      </c>
      <c r="B18" s="19">
        <v>3</v>
      </c>
      <c r="C18" s="32" t="s">
        <v>2340</v>
      </c>
      <c r="D18" s="19" t="s">
        <v>2589</v>
      </c>
      <c r="E18" s="37" t="s">
        <v>2349</v>
      </c>
    </row>
    <row r="19" spans="1:5" ht="32" customHeight="1">
      <c r="A19" s="19" t="s">
        <v>2413</v>
      </c>
      <c r="B19" s="19">
        <v>3</v>
      </c>
      <c r="C19" s="32" t="s">
        <v>2340</v>
      </c>
      <c r="D19" s="19" t="s">
        <v>2590</v>
      </c>
      <c r="E19" s="37" t="s">
        <v>2352</v>
      </c>
    </row>
    <row r="20" spans="1:5" ht="32" customHeight="1">
      <c r="A20" s="19" t="s">
        <v>2459</v>
      </c>
      <c r="B20" s="19">
        <v>3</v>
      </c>
      <c r="C20" s="32" t="s">
        <v>2340</v>
      </c>
      <c r="D20" s="19" t="s">
        <v>2591</v>
      </c>
      <c r="E20" s="37" t="s">
        <v>2417</v>
      </c>
    </row>
    <row r="21" spans="1:5" ht="32" customHeight="1">
      <c r="A21" s="19" t="s">
        <v>2495</v>
      </c>
      <c r="B21" s="19">
        <v>2</v>
      </c>
      <c r="C21" s="32" t="s">
        <v>2340</v>
      </c>
      <c r="D21" s="19" t="s">
        <v>2592</v>
      </c>
      <c r="E21" s="37" t="s">
        <v>2352</v>
      </c>
    </row>
    <row r="22" spans="1:5" ht="32" customHeight="1">
      <c r="A22" s="19" t="s">
        <v>2503</v>
      </c>
      <c r="B22" s="19">
        <v>2</v>
      </c>
      <c r="C22" s="32" t="s">
        <v>2340</v>
      </c>
      <c r="D22" s="19" t="s">
        <v>2593</v>
      </c>
      <c r="E22" s="37" t="s">
        <v>2417</v>
      </c>
    </row>
    <row r="23" spans="1:5" ht="32" customHeight="1">
      <c r="A23" s="19" t="s">
        <v>2524</v>
      </c>
      <c r="B23" s="19">
        <v>2</v>
      </c>
      <c r="C23" s="32" t="s">
        <v>2340</v>
      </c>
      <c r="D23" s="19" t="s">
        <v>2594</v>
      </c>
      <c r="E23" s="37" t="s">
        <v>2456</v>
      </c>
    </row>
    <row r="24" spans="1:5" ht="32" customHeight="1">
      <c r="A24" s="19" t="s">
        <v>2415</v>
      </c>
      <c r="B24" s="19">
        <v>2</v>
      </c>
      <c r="C24" s="32" t="s">
        <v>2340</v>
      </c>
      <c r="D24" s="19" t="s">
        <v>2595</v>
      </c>
      <c r="E24" s="37" t="s">
        <v>2417</v>
      </c>
    </row>
    <row r="25" spans="1:5" ht="32" customHeight="1">
      <c r="A25" s="19" t="s">
        <v>2422</v>
      </c>
      <c r="B25" s="19">
        <v>2</v>
      </c>
      <c r="C25" s="32" t="s">
        <v>2340</v>
      </c>
      <c r="D25" s="19" t="s">
        <v>2596</v>
      </c>
      <c r="E25" s="37" t="s">
        <v>2352</v>
      </c>
    </row>
    <row r="26" spans="1:5" ht="32" customHeight="1">
      <c r="A26" s="19" t="s">
        <v>2452</v>
      </c>
      <c r="B26" s="19">
        <v>2</v>
      </c>
      <c r="C26" s="32" t="s">
        <v>2340</v>
      </c>
      <c r="D26" s="19" t="s">
        <v>2597</v>
      </c>
      <c r="E26" s="37" t="s">
        <v>2417</v>
      </c>
    </row>
    <row r="27" spans="1:5" ht="32" customHeight="1">
      <c r="A27" s="19" t="s">
        <v>2401</v>
      </c>
      <c r="B27" s="19">
        <v>2</v>
      </c>
      <c r="C27" s="32" t="s">
        <v>2340</v>
      </c>
      <c r="D27" s="19" t="s">
        <v>2598</v>
      </c>
      <c r="E27" s="37" t="s">
        <v>2352</v>
      </c>
    </row>
    <row r="28" spans="1:5" ht="32" customHeight="1">
      <c r="A28" s="19" t="s">
        <v>2397</v>
      </c>
      <c r="B28" s="19">
        <v>2</v>
      </c>
      <c r="C28" s="32" t="s">
        <v>2340</v>
      </c>
      <c r="D28" s="19" t="s">
        <v>2599</v>
      </c>
      <c r="E28" s="37" t="s">
        <v>2352</v>
      </c>
    </row>
    <row r="29" spans="1:5" ht="32" customHeight="1">
      <c r="A29" s="19" t="s">
        <v>2525</v>
      </c>
      <c r="B29" s="19">
        <v>2</v>
      </c>
      <c r="C29" s="32"/>
      <c r="D29" s="19" t="s">
        <v>2600</v>
      </c>
      <c r="E29" s="37" t="s">
        <v>2526</v>
      </c>
    </row>
    <row r="30" spans="1:5" ht="32" customHeight="1">
      <c r="A30" s="19" t="s">
        <v>2454</v>
      </c>
      <c r="B30" s="19">
        <v>2</v>
      </c>
      <c r="C30" s="32" t="s">
        <v>2340</v>
      </c>
      <c r="D30" s="19" t="s">
        <v>2601</v>
      </c>
      <c r="E30" s="37" t="s">
        <v>2456</v>
      </c>
    </row>
    <row r="31" spans="1:5" ht="32" customHeight="1">
      <c r="A31" s="19" t="s">
        <v>2367</v>
      </c>
      <c r="B31" s="19">
        <v>2</v>
      </c>
      <c r="C31" s="32" t="s">
        <v>2347</v>
      </c>
      <c r="D31" s="19" t="s">
        <v>2602</v>
      </c>
      <c r="E31" s="37" t="s">
        <v>2349</v>
      </c>
    </row>
    <row r="32" spans="1:5" ht="32" customHeight="1">
      <c r="A32" s="19" t="s">
        <v>2491</v>
      </c>
      <c r="B32" s="19">
        <v>2</v>
      </c>
      <c r="C32" s="32" t="s">
        <v>2377</v>
      </c>
      <c r="D32" s="19" t="s">
        <v>2603</v>
      </c>
      <c r="E32" s="37" t="s">
        <v>2468</v>
      </c>
    </row>
    <row r="33" spans="1:5" ht="32" customHeight="1">
      <c r="A33" s="19" t="s">
        <v>2466</v>
      </c>
      <c r="B33" s="19">
        <v>2</v>
      </c>
      <c r="C33" s="32" t="s">
        <v>2377</v>
      </c>
      <c r="D33" s="19" t="s">
        <v>2604</v>
      </c>
      <c r="E33" s="37" t="s">
        <v>2468</v>
      </c>
    </row>
    <row r="34" spans="1:5" ht="32" customHeight="1">
      <c r="A34" s="19" t="s">
        <v>2436</v>
      </c>
      <c r="B34" s="19">
        <v>2</v>
      </c>
      <c r="C34" s="32" t="s">
        <v>2356</v>
      </c>
      <c r="D34" s="19" t="s">
        <v>2605</v>
      </c>
      <c r="E34" s="37" t="s">
        <v>2417</v>
      </c>
    </row>
    <row r="35" spans="1:5" ht="32" customHeight="1">
      <c r="A35" s="19" t="s">
        <v>2457</v>
      </c>
      <c r="B35" s="19">
        <v>2</v>
      </c>
      <c r="C35" s="32" t="s">
        <v>2356</v>
      </c>
      <c r="D35" s="19" t="s">
        <v>2606</v>
      </c>
      <c r="E35" s="37" t="s">
        <v>2417</v>
      </c>
    </row>
    <row r="36" spans="1:5" ht="32" customHeight="1">
      <c r="A36" s="19" t="s">
        <v>2542</v>
      </c>
      <c r="B36" s="19">
        <v>2</v>
      </c>
      <c r="C36" s="32" t="s">
        <v>2356</v>
      </c>
      <c r="D36" s="19" t="s">
        <v>2607</v>
      </c>
      <c r="E36" s="37" t="s">
        <v>2349</v>
      </c>
    </row>
    <row r="37" spans="1:5" ht="32" customHeight="1">
      <c r="A37" s="19" t="s">
        <v>2548</v>
      </c>
      <c r="B37" s="19">
        <v>2</v>
      </c>
      <c r="C37" s="32" t="s">
        <v>2374</v>
      </c>
      <c r="D37" s="19" t="s">
        <v>2608</v>
      </c>
      <c r="E37" s="37" t="s">
        <v>2417</v>
      </c>
    </row>
    <row r="38" spans="1:5" ht="32" customHeight="1">
      <c r="A38" s="19" t="s">
        <v>2353</v>
      </c>
      <c r="B38" s="19">
        <v>1</v>
      </c>
      <c r="C38" s="32" t="s">
        <v>2340</v>
      </c>
      <c r="D38" s="19" t="s">
        <v>167</v>
      </c>
      <c r="E38" s="37" t="s">
        <v>2349</v>
      </c>
    </row>
    <row r="39" spans="1:5" ht="32" customHeight="1">
      <c r="A39" s="19" t="s">
        <v>2485</v>
      </c>
      <c r="B39" s="19">
        <v>1</v>
      </c>
      <c r="C39" s="32" t="s">
        <v>2340</v>
      </c>
      <c r="D39" s="19" t="s">
        <v>624</v>
      </c>
      <c r="E39" s="37" t="s">
        <v>2417</v>
      </c>
    </row>
    <row r="40" spans="1:5" ht="32" customHeight="1">
      <c r="A40" s="19" t="s">
        <v>2469</v>
      </c>
      <c r="B40" s="19">
        <v>1</v>
      </c>
      <c r="C40" s="32" t="s">
        <v>2340</v>
      </c>
      <c r="D40" s="19" t="s">
        <v>555</v>
      </c>
      <c r="E40" s="37" t="s">
        <v>2417</v>
      </c>
    </row>
    <row r="41" spans="1:5" ht="32" customHeight="1">
      <c r="A41" s="19" t="s">
        <v>2450</v>
      </c>
      <c r="B41" s="19">
        <v>1</v>
      </c>
      <c r="C41" s="32" t="s">
        <v>2340</v>
      </c>
      <c r="D41" s="19" t="s">
        <v>489</v>
      </c>
      <c r="E41" s="37" t="s">
        <v>2352</v>
      </c>
    </row>
    <row r="42" spans="1:5" ht="32" customHeight="1">
      <c r="A42" s="19" t="s">
        <v>2487</v>
      </c>
      <c r="B42" s="19">
        <v>1</v>
      </c>
      <c r="C42" s="32" t="s">
        <v>2340</v>
      </c>
      <c r="D42" s="19" t="s">
        <v>630</v>
      </c>
      <c r="E42" s="37" t="s">
        <v>2417</v>
      </c>
    </row>
    <row r="43" spans="1:5" ht="32" customHeight="1">
      <c r="A43" s="19" t="s">
        <v>2492</v>
      </c>
      <c r="B43" s="19">
        <v>1</v>
      </c>
      <c r="C43" s="32" t="s">
        <v>2493</v>
      </c>
      <c r="D43" s="19" t="s">
        <v>642</v>
      </c>
      <c r="E43" s="37" t="s">
        <v>2468</v>
      </c>
    </row>
    <row r="44" spans="1:5" ht="32" customHeight="1">
      <c r="A44" s="19" t="s">
        <v>2555</v>
      </c>
      <c r="B44" s="19">
        <v>1</v>
      </c>
      <c r="C44" s="32" t="s">
        <v>2340</v>
      </c>
      <c r="D44" s="19" t="s">
        <v>930</v>
      </c>
      <c r="E44" s="37" t="s">
        <v>2417</v>
      </c>
    </row>
    <row r="45" spans="1:5" ht="32" customHeight="1">
      <c r="A45" s="19" t="s">
        <v>2474</v>
      </c>
      <c r="B45" s="19">
        <v>1</v>
      </c>
      <c r="C45" s="32" t="s">
        <v>2340</v>
      </c>
      <c r="D45" s="19" t="s">
        <v>585</v>
      </c>
      <c r="E45" s="37" t="s">
        <v>2417</v>
      </c>
    </row>
    <row r="46" spans="1:5" ht="32" customHeight="1">
      <c r="A46" s="19" t="s">
        <v>2567</v>
      </c>
      <c r="B46" s="19">
        <v>1</v>
      </c>
      <c r="C46" s="32" t="s">
        <v>2340</v>
      </c>
      <c r="D46" s="19" t="s">
        <v>969</v>
      </c>
      <c r="E46" s="37" t="s">
        <v>2417</v>
      </c>
    </row>
    <row r="47" spans="1:5" ht="32" customHeight="1">
      <c r="A47" s="19" t="s">
        <v>2563</v>
      </c>
      <c r="B47" s="19">
        <v>1</v>
      </c>
      <c r="C47" s="32" t="s">
        <v>2340</v>
      </c>
      <c r="D47" s="19" t="s">
        <v>957</v>
      </c>
      <c r="E47" s="37" t="s">
        <v>2417</v>
      </c>
    </row>
    <row r="48" spans="1:5" ht="32" customHeight="1">
      <c r="A48" s="19" t="s">
        <v>2499</v>
      </c>
      <c r="B48" s="19">
        <v>1</v>
      </c>
      <c r="C48" s="32" t="s">
        <v>2340</v>
      </c>
      <c r="D48" s="19" t="s">
        <v>653</v>
      </c>
      <c r="E48" s="37" t="s">
        <v>2352</v>
      </c>
    </row>
    <row r="49" spans="1:5" ht="32" customHeight="1">
      <c r="A49" s="19" t="s">
        <v>2513</v>
      </c>
      <c r="B49" s="19">
        <v>1</v>
      </c>
      <c r="C49" s="32" t="s">
        <v>2340</v>
      </c>
      <c r="D49" s="19" t="s">
        <v>723</v>
      </c>
      <c r="E49" s="37" t="s">
        <v>2352</v>
      </c>
    </row>
    <row r="50" spans="1:5" ht="32" customHeight="1">
      <c r="A50" s="19" t="s">
        <v>2507</v>
      </c>
      <c r="B50" s="19">
        <v>1</v>
      </c>
      <c r="C50" s="32" t="s">
        <v>2340</v>
      </c>
      <c r="D50" s="19" t="s">
        <v>710</v>
      </c>
      <c r="E50" s="37" t="s">
        <v>2352</v>
      </c>
    </row>
    <row r="51" spans="1:5" ht="32" customHeight="1">
      <c r="A51" s="19" t="s">
        <v>2509</v>
      </c>
      <c r="B51" s="19">
        <v>1</v>
      </c>
      <c r="C51" s="32" t="s">
        <v>2340</v>
      </c>
      <c r="D51" s="19" t="s">
        <v>716</v>
      </c>
      <c r="E51" s="37" t="s">
        <v>2352</v>
      </c>
    </row>
    <row r="52" spans="1:5" ht="32" customHeight="1">
      <c r="A52" s="19" t="s">
        <v>2515</v>
      </c>
      <c r="B52" s="19">
        <v>1</v>
      </c>
      <c r="C52" s="32" t="s">
        <v>2340</v>
      </c>
      <c r="D52" s="19" t="s">
        <v>726</v>
      </c>
      <c r="E52" s="37" t="s">
        <v>2352</v>
      </c>
    </row>
    <row r="53" spans="1:5" ht="32" customHeight="1">
      <c r="A53" s="19" t="s">
        <v>2394</v>
      </c>
      <c r="B53" s="19">
        <v>1</v>
      </c>
      <c r="C53" s="32" t="s">
        <v>2340</v>
      </c>
      <c r="D53" s="19" t="s">
        <v>317</v>
      </c>
      <c r="E53" s="37" t="s">
        <v>2396</v>
      </c>
    </row>
    <row r="54" spans="1:5" ht="32" customHeight="1">
      <c r="A54" s="19" t="s">
        <v>2480</v>
      </c>
      <c r="B54" s="19">
        <v>1</v>
      </c>
      <c r="C54" s="32" t="s">
        <v>2377</v>
      </c>
      <c r="D54" s="19" t="s">
        <v>614</v>
      </c>
      <c r="E54" s="37" t="s">
        <v>2379</v>
      </c>
    </row>
    <row r="55" spans="1:5" ht="32" customHeight="1">
      <c r="A55" s="19" t="s">
        <v>2418</v>
      </c>
      <c r="B55" s="19">
        <v>1</v>
      </c>
      <c r="C55" s="32" t="s">
        <v>2340</v>
      </c>
      <c r="D55" s="19" t="s">
        <v>393</v>
      </c>
      <c r="E55" s="37" t="s">
        <v>2352</v>
      </c>
    </row>
    <row r="56" spans="1:5" ht="32" customHeight="1">
      <c r="A56" s="19" t="s">
        <v>2428</v>
      </c>
      <c r="B56" s="19">
        <v>1</v>
      </c>
      <c r="C56" s="32" t="s">
        <v>2340</v>
      </c>
      <c r="D56" s="19" t="s">
        <v>409</v>
      </c>
      <c r="E56" s="37" t="s">
        <v>2352</v>
      </c>
    </row>
    <row r="57" spans="1:5" ht="32" customHeight="1">
      <c r="A57" s="19" t="s">
        <v>2565</v>
      </c>
      <c r="B57" s="19">
        <v>1</v>
      </c>
      <c r="C57" s="32" t="s">
        <v>2340</v>
      </c>
      <c r="D57" s="19" t="s">
        <v>960</v>
      </c>
      <c r="E57" s="37" t="s">
        <v>2352</v>
      </c>
    </row>
    <row r="58" spans="1:5" ht="32" customHeight="1">
      <c r="A58" s="19" t="s">
        <v>2540</v>
      </c>
      <c r="B58" s="19">
        <v>1</v>
      </c>
      <c r="C58" s="32" t="s">
        <v>2340</v>
      </c>
      <c r="D58" s="19" t="s">
        <v>808</v>
      </c>
      <c r="E58" s="37" t="s">
        <v>2352</v>
      </c>
    </row>
    <row r="59" spans="1:5" ht="32" customHeight="1">
      <c r="A59" s="19" t="s">
        <v>2536</v>
      </c>
      <c r="B59" s="19">
        <v>1</v>
      </c>
      <c r="C59" s="32" t="s">
        <v>2340</v>
      </c>
      <c r="D59" s="19" t="s">
        <v>796</v>
      </c>
      <c r="E59" s="37" t="s">
        <v>2352</v>
      </c>
    </row>
    <row r="60" spans="1:5" ht="32" customHeight="1">
      <c r="A60" s="19" t="s">
        <v>2501</v>
      </c>
      <c r="B60" s="19">
        <v>1</v>
      </c>
      <c r="C60" s="32" t="s">
        <v>2340</v>
      </c>
      <c r="D60" s="19" t="s">
        <v>659</v>
      </c>
      <c r="E60" s="37" t="s">
        <v>2352</v>
      </c>
    </row>
    <row r="61" spans="1:5" ht="32" customHeight="1">
      <c r="A61" s="19" t="s">
        <v>2430</v>
      </c>
      <c r="B61" s="19">
        <v>1</v>
      </c>
      <c r="C61" s="32" t="s">
        <v>2340</v>
      </c>
      <c r="D61" s="19" t="s">
        <v>413</v>
      </c>
      <c r="E61" s="37" t="s">
        <v>2352</v>
      </c>
    </row>
    <row r="62" spans="1:5" ht="32" customHeight="1">
      <c r="A62" s="19" t="s">
        <v>2561</v>
      </c>
      <c r="B62" s="19">
        <v>1</v>
      </c>
      <c r="C62" s="32" t="s">
        <v>2340</v>
      </c>
      <c r="D62" s="19" t="s">
        <v>945</v>
      </c>
      <c r="E62" s="37" t="s">
        <v>2352</v>
      </c>
    </row>
    <row r="63" spans="1:5" ht="32" customHeight="1">
      <c r="A63" s="19" t="s">
        <v>2426</v>
      </c>
      <c r="B63" s="19">
        <v>1</v>
      </c>
      <c r="C63" s="32" t="s">
        <v>2340</v>
      </c>
      <c r="D63" s="19" t="s">
        <v>406</v>
      </c>
      <c r="E63" s="37" t="s">
        <v>2352</v>
      </c>
    </row>
    <row r="64" spans="1:5" ht="32" customHeight="1">
      <c r="A64" s="19" t="s">
        <v>2569</v>
      </c>
      <c r="B64" s="19">
        <v>1</v>
      </c>
      <c r="C64" s="32" t="s">
        <v>2340</v>
      </c>
      <c r="D64" s="19" t="s">
        <v>973</v>
      </c>
      <c r="E64" s="37" t="s">
        <v>2352</v>
      </c>
    </row>
    <row r="65" spans="1:5" ht="32" customHeight="1">
      <c r="A65" s="19" t="s">
        <v>2380</v>
      </c>
      <c r="B65" s="19">
        <v>1</v>
      </c>
      <c r="C65" s="32" t="s">
        <v>2340</v>
      </c>
      <c r="D65" s="19" t="s">
        <v>257</v>
      </c>
      <c r="E65" s="37" t="s">
        <v>2352</v>
      </c>
    </row>
    <row r="66" spans="1:5" ht="32" customHeight="1">
      <c r="A66" s="19" t="s">
        <v>2438</v>
      </c>
      <c r="B66" s="19">
        <v>1</v>
      </c>
      <c r="C66" s="32" t="s">
        <v>2340</v>
      </c>
      <c r="D66" s="19" t="s">
        <v>436</v>
      </c>
      <c r="E66" s="37" t="s">
        <v>2352</v>
      </c>
    </row>
    <row r="67" spans="1:5" ht="32" customHeight="1">
      <c r="A67" s="19" t="s">
        <v>2405</v>
      </c>
      <c r="B67" s="19">
        <v>1</v>
      </c>
      <c r="C67" s="32" t="s">
        <v>2406</v>
      </c>
      <c r="D67" s="19" t="s">
        <v>340</v>
      </c>
      <c r="E67" s="37" t="s">
        <v>2408</v>
      </c>
    </row>
    <row r="68" spans="1:5" ht="32" customHeight="1">
      <c r="A68" s="19" t="s">
        <v>2557</v>
      </c>
      <c r="B68" s="19">
        <v>1</v>
      </c>
      <c r="C68" s="32" t="s">
        <v>2340</v>
      </c>
      <c r="D68" s="19" t="s">
        <v>936</v>
      </c>
      <c r="E68" s="37" t="s">
        <v>2417</v>
      </c>
    </row>
    <row r="69" spans="1:5" ht="32" customHeight="1">
      <c r="A69" s="19" t="s">
        <v>2384</v>
      </c>
      <c r="B69" s="19">
        <v>1</v>
      </c>
      <c r="C69" s="32" t="s">
        <v>2340</v>
      </c>
      <c r="D69" s="19" t="s">
        <v>265</v>
      </c>
      <c r="E69" s="37" t="s">
        <v>2349</v>
      </c>
    </row>
    <row r="70" spans="1:5" ht="32" customHeight="1">
      <c r="A70" s="19" t="s">
        <v>2444</v>
      </c>
      <c r="B70" s="19">
        <v>1</v>
      </c>
      <c r="C70" s="32" t="s">
        <v>2340</v>
      </c>
      <c r="D70" s="19" t="s">
        <v>478</v>
      </c>
      <c r="E70" s="37" t="s">
        <v>2417</v>
      </c>
    </row>
    <row r="71" spans="1:5" ht="32" customHeight="1">
      <c r="A71" s="19" t="s">
        <v>2505</v>
      </c>
      <c r="B71" s="19">
        <v>1</v>
      </c>
      <c r="C71" s="32" t="s">
        <v>2340</v>
      </c>
      <c r="D71" s="19" t="s">
        <v>699</v>
      </c>
      <c r="E71" s="37" t="s">
        <v>2352</v>
      </c>
    </row>
    <row r="72" spans="1:5" ht="32" customHeight="1">
      <c r="A72" s="19" t="s">
        <v>2471</v>
      </c>
      <c r="B72" s="19">
        <v>1</v>
      </c>
      <c r="C72" s="32" t="s">
        <v>2340</v>
      </c>
      <c r="D72" s="19" t="s">
        <v>558</v>
      </c>
      <c r="E72" s="37" t="s">
        <v>2349</v>
      </c>
    </row>
    <row r="73" spans="1:5" ht="32" customHeight="1">
      <c r="A73" s="19" t="s">
        <v>2390</v>
      </c>
      <c r="B73" s="19">
        <v>1</v>
      </c>
      <c r="C73" s="32" t="s">
        <v>2391</v>
      </c>
      <c r="D73" s="19" t="s">
        <v>297</v>
      </c>
      <c r="E73" s="37" t="s">
        <v>2393</v>
      </c>
    </row>
    <row r="74" spans="1:5" ht="32" customHeight="1">
      <c r="A74" s="19" t="s">
        <v>2482</v>
      </c>
      <c r="B74" s="19">
        <v>1</v>
      </c>
      <c r="C74" s="32" t="s">
        <v>2483</v>
      </c>
      <c r="D74" s="19" t="s">
        <v>617</v>
      </c>
      <c r="E74" s="37" t="s">
        <v>2468</v>
      </c>
    </row>
    <row r="75" spans="1:5" ht="32" customHeight="1">
      <c r="A75" s="19" t="s">
        <v>2559</v>
      </c>
      <c r="B75" s="19">
        <v>1</v>
      </c>
      <c r="C75" s="32" t="s">
        <v>2340</v>
      </c>
      <c r="D75" s="19" t="s">
        <v>939</v>
      </c>
      <c r="E75" s="37" t="s">
        <v>2417</v>
      </c>
    </row>
    <row r="76" spans="1:5" ht="32" customHeight="1">
      <c r="A76" s="19" t="s">
        <v>2497</v>
      </c>
      <c r="B76" s="19">
        <v>1</v>
      </c>
      <c r="C76" s="32" t="s">
        <v>2340</v>
      </c>
      <c r="D76" s="19" t="s">
        <v>650</v>
      </c>
      <c r="E76" s="37" t="s">
        <v>2417</v>
      </c>
    </row>
    <row r="77" spans="1:5" ht="32" customHeight="1">
      <c r="A77" s="19" t="s">
        <v>2382</v>
      </c>
      <c r="B77" s="19">
        <v>1</v>
      </c>
      <c r="C77" s="32" t="s">
        <v>2340</v>
      </c>
      <c r="D77" s="19" t="s">
        <v>261</v>
      </c>
      <c r="E77" s="37" t="s">
        <v>2342</v>
      </c>
    </row>
    <row r="78" spans="1:5" ht="32" customHeight="1">
      <c r="A78" s="19" t="s">
        <v>2511</v>
      </c>
      <c r="B78" s="19">
        <v>1</v>
      </c>
      <c r="C78" s="32" t="s">
        <v>2340</v>
      </c>
      <c r="D78" s="19" t="s">
        <v>720</v>
      </c>
      <c r="E78" s="37" t="s">
        <v>2352</v>
      </c>
    </row>
    <row r="79" spans="1:5" ht="32" customHeight="1">
      <c r="A79" s="19" t="s">
        <v>2371</v>
      </c>
      <c r="B79" s="19">
        <v>1</v>
      </c>
      <c r="C79" s="32" t="s">
        <v>2340</v>
      </c>
      <c r="D79" s="19" t="s">
        <v>232</v>
      </c>
      <c r="E79" s="37" t="s">
        <v>2342</v>
      </c>
    </row>
    <row r="80" spans="1:5" ht="32" customHeight="1">
      <c r="A80" s="19" t="s">
        <v>2546</v>
      </c>
      <c r="B80" s="19">
        <v>1</v>
      </c>
      <c r="C80" s="32" t="s">
        <v>2340</v>
      </c>
      <c r="D80" s="19" t="s">
        <v>885</v>
      </c>
      <c r="E80" s="37" t="s">
        <v>2352</v>
      </c>
    </row>
    <row r="81" spans="1:5" ht="32" customHeight="1">
      <c r="A81" s="19" t="s">
        <v>2543</v>
      </c>
      <c r="B81" s="19">
        <v>1</v>
      </c>
      <c r="C81" s="32" t="s">
        <v>2340</v>
      </c>
      <c r="D81" s="19" t="s">
        <v>861</v>
      </c>
      <c r="E81" s="37" t="s">
        <v>2352</v>
      </c>
    </row>
    <row r="82" spans="1:5" ht="32" customHeight="1">
      <c r="A82" s="19" t="s">
        <v>2489</v>
      </c>
      <c r="B82" s="19">
        <v>1</v>
      </c>
      <c r="C82" s="32" t="s">
        <v>2391</v>
      </c>
      <c r="D82" s="19" t="s">
        <v>633</v>
      </c>
      <c r="E82" s="37" t="s">
        <v>2468</v>
      </c>
    </row>
    <row r="83" spans="1:5" ht="32" customHeight="1">
      <c r="A83" s="19" t="s">
        <v>2473</v>
      </c>
      <c r="B83" s="19">
        <v>1</v>
      </c>
      <c r="C83" s="32" t="s">
        <v>2377</v>
      </c>
      <c r="D83" s="19" t="s">
        <v>561</v>
      </c>
      <c r="E83" s="37" t="s">
        <v>2468</v>
      </c>
    </row>
    <row r="84" spans="1:5" ht="32" customHeight="1">
      <c r="A84" s="19" t="s">
        <v>2446</v>
      </c>
      <c r="B84" s="19">
        <v>1</v>
      </c>
      <c r="C84" s="32" t="s">
        <v>2447</v>
      </c>
      <c r="D84" s="19" t="s">
        <v>481</v>
      </c>
      <c r="E84" s="37" t="s">
        <v>2449</v>
      </c>
    </row>
    <row r="85" spans="1:5" ht="32" customHeight="1">
      <c r="A85" s="19" t="s">
        <v>2538</v>
      </c>
      <c r="B85" s="19">
        <v>1</v>
      </c>
      <c r="C85" s="32"/>
      <c r="D85" s="19" t="s">
        <v>805</v>
      </c>
      <c r="E85" s="37" t="s">
        <v>2366</v>
      </c>
    </row>
    <row r="86" spans="1:5" ht="32" customHeight="1">
      <c r="A86" s="19" t="s">
        <v>2364</v>
      </c>
      <c r="B86" s="19">
        <v>1</v>
      </c>
      <c r="C86" s="32"/>
      <c r="D86" s="19" t="s">
        <v>202</v>
      </c>
      <c r="E86" s="37" t="s">
        <v>2366</v>
      </c>
    </row>
    <row r="87" spans="1:5" ht="32" customHeight="1">
      <c r="A87" s="19" t="s">
        <v>2552</v>
      </c>
      <c r="B87" s="19">
        <v>1</v>
      </c>
      <c r="C87" s="32"/>
      <c r="D87" s="19" t="s">
        <v>920</v>
      </c>
      <c r="E87" s="37" t="s">
        <v>2554</v>
      </c>
    </row>
    <row r="88" spans="1:5" ht="32" customHeight="1">
      <c r="A88" s="19" t="s">
        <v>2531</v>
      </c>
      <c r="B88" s="19">
        <v>1</v>
      </c>
      <c r="C88" s="32"/>
      <c r="D88" s="19" t="s">
        <v>787</v>
      </c>
      <c r="E88" s="37" t="s">
        <v>2533</v>
      </c>
    </row>
    <row r="89" spans="1:5" ht="32" customHeight="1">
      <c r="A89" s="19" t="s">
        <v>2522</v>
      </c>
      <c r="B89" s="19">
        <v>1</v>
      </c>
      <c r="C89" s="32"/>
      <c r="D89" s="19" t="s">
        <v>768</v>
      </c>
      <c r="E89" s="37" t="s">
        <v>2366</v>
      </c>
    </row>
    <row r="90" spans="1:5" ht="32" customHeight="1">
      <c r="A90" s="19" t="s">
        <v>2440</v>
      </c>
      <c r="B90" s="19">
        <v>1</v>
      </c>
      <c r="C90" s="32"/>
      <c r="D90" s="19" t="s">
        <v>451</v>
      </c>
      <c r="E90" s="37" t="s">
        <v>2366</v>
      </c>
    </row>
    <row r="91" spans="1:5" ht="32" customHeight="1">
      <c r="A91" s="19" t="s">
        <v>2411</v>
      </c>
      <c r="B91" s="19">
        <v>1</v>
      </c>
      <c r="C91" s="32"/>
      <c r="D91" s="19" t="s">
        <v>374</v>
      </c>
      <c r="E91" s="37" t="s">
        <v>2366</v>
      </c>
    </row>
    <row r="92" spans="1:5" ht="32" customHeight="1">
      <c r="A92" s="19" t="s">
        <v>2534</v>
      </c>
      <c r="B92" s="19">
        <v>1</v>
      </c>
      <c r="C92" s="32"/>
      <c r="D92" s="19" t="s">
        <v>793</v>
      </c>
      <c r="E92" s="37" t="s">
        <v>2366</v>
      </c>
    </row>
    <row r="93" spans="1:5" ht="32" customHeight="1">
      <c r="A93" s="19" t="s">
        <v>2432</v>
      </c>
      <c r="B93" s="19">
        <v>1</v>
      </c>
      <c r="C93" s="32" t="s">
        <v>2347</v>
      </c>
      <c r="D93" s="19" t="s">
        <v>416</v>
      </c>
      <c r="E93" s="37" t="s">
        <v>2417</v>
      </c>
    </row>
    <row r="94" spans="1:5" ht="32" customHeight="1">
      <c r="A94" s="19" t="s">
        <v>2442</v>
      </c>
      <c r="B94" s="19">
        <v>1</v>
      </c>
      <c r="C94" s="32" t="s">
        <v>2347</v>
      </c>
      <c r="D94" s="19" t="s">
        <v>465</v>
      </c>
      <c r="E94" s="37" t="s">
        <v>2417</v>
      </c>
    </row>
    <row r="95" spans="1:5" ht="32" customHeight="1">
      <c r="A95" s="19" t="s">
        <v>2376</v>
      </c>
      <c r="B95" s="19">
        <v>1</v>
      </c>
      <c r="C95" s="32" t="s">
        <v>2377</v>
      </c>
      <c r="D95" s="19" t="s">
        <v>245</v>
      </c>
      <c r="E95" s="37" t="s">
        <v>2379</v>
      </c>
    </row>
    <row r="96" spans="1:5" ht="32" customHeight="1">
      <c r="A96" s="19" t="s">
        <v>2388</v>
      </c>
      <c r="B96" s="19">
        <v>1</v>
      </c>
      <c r="C96" s="32" t="s">
        <v>2356</v>
      </c>
      <c r="D96" s="19" t="s">
        <v>279</v>
      </c>
      <c r="E96" s="37" t="s">
        <v>2349</v>
      </c>
    </row>
    <row r="97" spans="1:5" ht="32" customHeight="1">
      <c r="A97" s="19" t="s">
        <v>2464</v>
      </c>
      <c r="B97" s="19">
        <v>1</v>
      </c>
      <c r="C97" s="32" t="s">
        <v>2356</v>
      </c>
      <c r="D97" s="19" t="s">
        <v>540</v>
      </c>
      <c r="E97" s="37" t="s">
        <v>2417</v>
      </c>
    </row>
    <row r="98" spans="1:5" ht="32" customHeight="1">
      <c r="A98" s="19" t="s">
        <v>2424</v>
      </c>
      <c r="B98" s="19">
        <v>1</v>
      </c>
      <c r="C98" s="32" t="s">
        <v>2356</v>
      </c>
      <c r="D98" s="19" t="s">
        <v>402</v>
      </c>
      <c r="E98" s="37" t="s">
        <v>2349</v>
      </c>
    </row>
    <row r="99" spans="1:5" ht="32" customHeight="1">
      <c r="A99" s="19" t="s">
        <v>2517</v>
      </c>
      <c r="B99" s="19">
        <v>1</v>
      </c>
      <c r="C99" s="32" t="s">
        <v>2356</v>
      </c>
      <c r="D99" s="19" t="s">
        <v>737</v>
      </c>
      <c r="E99" s="37" t="s">
        <v>2417</v>
      </c>
    </row>
    <row r="100" spans="1:5" ht="32" customHeight="1">
      <c r="A100" s="19" t="s">
        <v>2519</v>
      </c>
      <c r="B100" s="19">
        <v>1</v>
      </c>
      <c r="C100" s="32" t="s">
        <v>2356</v>
      </c>
      <c r="D100" s="19" t="s">
        <v>765</v>
      </c>
      <c r="E100" s="37" t="s">
        <v>2521</v>
      </c>
    </row>
    <row r="101" spans="1:5" ht="32" customHeight="1">
      <c r="A101" s="19" t="s">
        <v>2527</v>
      </c>
      <c r="B101" s="19">
        <v>1</v>
      </c>
      <c r="C101" s="32" t="s">
        <v>2356</v>
      </c>
      <c r="D101" s="19" t="s">
        <v>780</v>
      </c>
      <c r="E101" s="37" t="s">
        <v>2352</v>
      </c>
    </row>
    <row r="102" spans="1:5" ht="32" customHeight="1">
      <c r="A102" s="19" t="s">
        <v>2529</v>
      </c>
      <c r="B102" s="19">
        <v>1</v>
      </c>
      <c r="C102" s="32" t="s">
        <v>2356</v>
      </c>
      <c r="D102" s="19" t="s">
        <v>783</v>
      </c>
      <c r="E102" s="37" t="s">
        <v>2349</v>
      </c>
    </row>
    <row r="103" spans="1:5" ht="32" customHeight="1">
      <c r="A103" s="19" t="s">
        <v>2479</v>
      </c>
      <c r="B103" s="19">
        <v>1</v>
      </c>
      <c r="C103" s="32" t="s">
        <v>2356</v>
      </c>
      <c r="D103" s="19" t="s">
        <v>604</v>
      </c>
      <c r="E103" s="37" t="s">
        <v>2349</v>
      </c>
    </row>
    <row r="104" spans="1:5" ht="32" customHeight="1">
      <c r="A104" s="19" t="s">
        <v>2373</v>
      </c>
      <c r="B104" s="19">
        <v>1</v>
      </c>
      <c r="C104" s="32" t="s">
        <v>2374</v>
      </c>
      <c r="D104" s="19" t="s">
        <v>241</v>
      </c>
      <c r="E104" s="37" t="s">
        <v>2349</v>
      </c>
    </row>
    <row r="105" spans="1:5" ht="32" customHeight="1">
      <c r="A105" s="19" t="s">
        <v>2550</v>
      </c>
      <c r="B105" s="19">
        <v>1</v>
      </c>
      <c r="C105" s="32" t="s">
        <v>2374</v>
      </c>
      <c r="D105" s="19" t="s">
        <v>917</v>
      </c>
      <c r="E105" s="37" t="s">
        <v>2417</v>
      </c>
    </row>
    <row r="106" spans="1:5" ht="32" customHeight="1">
      <c r="A106" s="19" t="s">
        <v>2461</v>
      </c>
      <c r="B106" s="19">
        <v>1</v>
      </c>
      <c r="C106" s="32" t="s">
        <v>2406</v>
      </c>
      <c r="D106" s="19" t="s">
        <v>537</v>
      </c>
      <c r="E106" s="37" t="s">
        <v>2463</v>
      </c>
    </row>
    <row r="107" spans="1:5" ht="32" customHeight="1">
      <c r="A107" s="19" t="s">
        <v>2476</v>
      </c>
      <c r="B107" s="19">
        <v>1</v>
      </c>
      <c r="C107" s="32" t="s">
        <v>2374</v>
      </c>
      <c r="D107" s="19" t="s">
        <v>597</v>
      </c>
      <c r="E107" s="37" t="s">
        <v>2349</v>
      </c>
    </row>
    <row r="108" spans="1:5" ht="32" customHeight="1">
      <c r="A108" s="30" t="s">
        <v>2478</v>
      </c>
      <c r="B108" s="30">
        <v>1</v>
      </c>
      <c r="C108" s="33" t="s">
        <v>2406</v>
      </c>
      <c r="D108" s="30" t="s">
        <v>600</v>
      </c>
      <c r="E108" s="38" t="s">
        <v>2468</v>
      </c>
    </row>
  </sheetData>
  <mergeCells count="2">
    <mergeCell ref="A1:E1"/>
    <mergeCell ref="A2:E2"/>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4"/>
  <sheetViews>
    <sheetView showGridLines="0" workbookViewId="0"/>
  </sheetViews>
  <sheetFormatPr baseColWidth="10" defaultColWidth="8.83203125" defaultRowHeight="14"/>
  <cols>
    <col min="1" max="1" width="25" customWidth="1"/>
    <col min="2" max="2" width="42" customWidth="1"/>
    <col min="3" max="3" width="28" customWidth="1"/>
    <col min="4" max="6" width="16" customWidth="1"/>
    <col min="7" max="7" width="35" customWidth="1"/>
    <col min="8" max="9" width="18" customWidth="1"/>
  </cols>
  <sheetData>
    <row r="1" spans="1:9" ht="28" customHeight="1">
      <c r="A1" s="84" t="s">
        <v>2609</v>
      </c>
      <c r="B1" s="84"/>
      <c r="C1" s="84"/>
      <c r="D1" s="84"/>
      <c r="E1" s="84"/>
      <c r="F1" s="84"/>
      <c r="G1" s="84"/>
      <c r="H1" s="84"/>
      <c r="I1" s="84"/>
    </row>
    <row r="2" spans="1:9" ht="30" customHeight="1">
      <c r="A2" s="85" t="s">
        <v>2610</v>
      </c>
      <c r="B2" s="85"/>
      <c r="C2" s="85"/>
      <c r="D2" s="85"/>
      <c r="E2" s="85"/>
      <c r="F2" s="85"/>
      <c r="G2" s="85"/>
      <c r="H2" s="85"/>
      <c r="I2" s="85"/>
    </row>
    <row r="4" spans="1:9" ht="34" customHeight="1">
      <c r="A4" s="26" t="s">
        <v>97</v>
      </c>
      <c r="B4" s="27" t="s">
        <v>98</v>
      </c>
      <c r="C4" s="27" t="s">
        <v>99</v>
      </c>
      <c r="D4" s="27" t="s">
        <v>2611</v>
      </c>
      <c r="E4" s="27" t="s">
        <v>2214</v>
      </c>
      <c r="F4" s="27" t="s">
        <v>2612</v>
      </c>
      <c r="G4" s="27" t="s">
        <v>2324</v>
      </c>
      <c r="H4" s="27" t="s">
        <v>2323</v>
      </c>
      <c r="I4" s="28" t="s">
        <v>2613</v>
      </c>
    </row>
    <row r="5" spans="1:9" ht="36" customHeight="1">
      <c r="A5" s="29" t="s">
        <v>867</v>
      </c>
      <c r="B5" s="29" t="s">
        <v>868</v>
      </c>
      <c r="C5" s="29" t="s">
        <v>869</v>
      </c>
      <c r="D5" s="29" t="s">
        <v>870</v>
      </c>
      <c r="E5" s="29" t="s">
        <v>2614</v>
      </c>
      <c r="F5" s="29" t="s">
        <v>2615</v>
      </c>
      <c r="G5" s="31" t="s">
        <v>2399</v>
      </c>
      <c r="H5" s="29" t="s">
        <v>48</v>
      </c>
      <c r="I5" s="36" t="s">
        <v>2343</v>
      </c>
    </row>
    <row r="6" spans="1:9" ht="36" customHeight="1">
      <c r="A6" s="19" t="s">
        <v>877</v>
      </c>
      <c r="B6" s="19" t="s">
        <v>878</v>
      </c>
      <c r="C6" s="19" t="s">
        <v>879</v>
      </c>
      <c r="D6" s="19" t="s">
        <v>880</v>
      </c>
      <c r="E6" s="19" t="s">
        <v>2614</v>
      </c>
      <c r="F6" s="19" t="s">
        <v>2616</v>
      </c>
      <c r="G6" s="32" t="s">
        <v>2403</v>
      </c>
      <c r="H6" s="19" t="s">
        <v>79</v>
      </c>
      <c r="I6" s="37" t="s">
        <v>2343</v>
      </c>
    </row>
    <row r="7" spans="1:9" ht="36" customHeight="1">
      <c r="A7" s="19" t="s">
        <v>881</v>
      </c>
      <c r="B7" s="19" t="s">
        <v>882</v>
      </c>
      <c r="C7" s="19" t="s">
        <v>883</v>
      </c>
      <c r="D7" s="19" t="s">
        <v>884</v>
      </c>
      <c r="E7" s="19" t="s">
        <v>2614</v>
      </c>
      <c r="F7" s="19" t="s">
        <v>2616</v>
      </c>
      <c r="G7" s="32" t="s">
        <v>2403</v>
      </c>
      <c r="H7" s="19" t="s">
        <v>88</v>
      </c>
      <c r="I7" s="37" t="s">
        <v>2343</v>
      </c>
    </row>
    <row r="8" spans="1:9" ht="36" customHeight="1">
      <c r="A8" s="19" t="s">
        <v>885</v>
      </c>
      <c r="B8" s="19" t="s">
        <v>886</v>
      </c>
      <c r="C8" s="19" t="s">
        <v>887</v>
      </c>
      <c r="D8" s="19" t="s">
        <v>888</v>
      </c>
      <c r="E8" s="19" t="s">
        <v>2614</v>
      </c>
      <c r="F8" s="19" t="s">
        <v>2617</v>
      </c>
      <c r="G8" s="32" t="s">
        <v>2546</v>
      </c>
      <c r="H8" s="19" t="s">
        <v>72</v>
      </c>
      <c r="I8" s="37" t="s">
        <v>2343</v>
      </c>
    </row>
    <row r="9" spans="1:9" ht="36" customHeight="1">
      <c r="A9" s="19" t="s">
        <v>889</v>
      </c>
      <c r="B9" s="19" t="s">
        <v>890</v>
      </c>
      <c r="C9" s="19" t="s">
        <v>891</v>
      </c>
      <c r="D9" s="19" t="s">
        <v>892</v>
      </c>
      <c r="E9" s="19" t="s">
        <v>2614</v>
      </c>
      <c r="F9" s="19" t="s">
        <v>2616</v>
      </c>
      <c r="G9" s="32" t="s">
        <v>2403</v>
      </c>
      <c r="H9" s="19" t="s">
        <v>72</v>
      </c>
      <c r="I9" s="37" t="s">
        <v>2343</v>
      </c>
    </row>
    <row r="10" spans="1:9" ht="36" customHeight="1">
      <c r="A10" s="19" t="s">
        <v>894</v>
      </c>
      <c r="B10" s="19" t="s">
        <v>895</v>
      </c>
      <c r="C10" s="19" t="s">
        <v>896</v>
      </c>
      <c r="D10" s="19" t="s">
        <v>888</v>
      </c>
      <c r="E10" s="19" t="s">
        <v>2614</v>
      </c>
      <c r="F10" s="19" t="s">
        <v>2618</v>
      </c>
      <c r="G10" s="32" t="s">
        <v>2362</v>
      </c>
      <c r="H10" s="19" t="s">
        <v>72</v>
      </c>
      <c r="I10" s="37" t="s">
        <v>2343</v>
      </c>
    </row>
    <row r="11" spans="1:9" ht="36" customHeight="1">
      <c r="A11" s="19" t="s">
        <v>897</v>
      </c>
      <c r="B11" s="19" t="s">
        <v>898</v>
      </c>
      <c r="C11" s="19" t="s">
        <v>899</v>
      </c>
      <c r="D11" s="19" t="s">
        <v>900</v>
      </c>
      <c r="E11" s="19" t="s">
        <v>2614</v>
      </c>
      <c r="F11" s="19" t="s">
        <v>2619</v>
      </c>
      <c r="G11" s="32" t="s">
        <v>2339</v>
      </c>
      <c r="H11" s="19" t="s">
        <v>79</v>
      </c>
      <c r="I11" s="37" t="s">
        <v>2343</v>
      </c>
    </row>
    <row r="12" spans="1:9" ht="36" customHeight="1">
      <c r="A12" s="19" t="s">
        <v>901</v>
      </c>
      <c r="B12" s="19" t="s">
        <v>902</v>
      </c>
      <c r="C12" s="19" t="s">
        <v>137</v>
      </c>
      <c r="D12" s="19" t="s">
        <v>903</v>
      </c>
      <c r="E12" s="19" t="s">
        <v>2614</v>
      </c>
      <c r="F12" s="19" t="s">
        <v>2620</v>
      </c>
      <c r="G12" s="32" t="s">
        <v>2491</v>
      </c>
      <c r="H12" s="19" t="s">
        <v>90</v>
      </c>
      <c r="I12" s="37" t="s">
        <v>2343</v>
      </c>
    </row>
    <row r="13" spans="1:9" ht="36" customHeight="1">
      <c r="A13" s="19" t="s">
        <v>904</v>
      </c>
      <c r="B13" s="19" t="s">
        <v>905</v>
      </c>
      <c r="C13" s="19" t="s">
        <v>906</v>
      </c>
      <c r="D13" s="19" t="s">
        <v>907</v>
      </c>
      <c r="E13" s="19" t="s">
        <v>2614</v>
      </c>
      <c r="F13" s="19" t="s">
        <v>2621</v>
      </c>
      <c r="G13" s="32" t="s">
        <v>2358</v>
      </c>
      <c r="H13" s="19" t="s">
        <v>58</v>
      </c>
      <c r="I13" s="37" t="s">
        <v>2343</v>
      </c>
    </row>
    <row r="14" spans="1:9" ht="36" customHeight="1">
      <c r="A14" s="19" t="s">
        <v>908</v>
      </c>
      <c r="B14" s="19" t="s">
        <v>909</v>
      </c>
      <c r="C14" s="19" t="s">
        <v>910</v>
      </c>
      <c r="D14" s="19" t="s">
        <v>603</v>
      </c>
      <c r="E14" s="19" t="s">
        <v>2614</v>
      </c>
      <c r="F14" s="19" t="s">
        <v>2616</v>
      </c>
      <c r="G14" s="32" t="s">
        <v>2403</v>
      </c>
      <c r="H14" s="19" t="s">
        <v>77</v>
      </c>
      <c r="I14" s="37" t="s">
        <v>2343</v>
      </c>
    </row>
    <row r="15" spans="1:9" ht="36" customHeight="1">
      <c r="A15" s="19" t="s">
        <v>911</v>
      </c>
      <c r="B15" s="19" t="s">
        <v>912</v>
      </c>
      <c r="C15" s="19" t="s">
        <v>913</v>
      </c>
      <c r="D15" s="19" t="s">
        <v>419</v>
      </c>
      <c r="E15" s="19" t="s">
        <v>2614</v>
      </c>
      <c r="F15" s="19" t="s">
        <v>2622</v>
      </c>
      <c r="G15" s="32" t="s">
        <v>2548</v>
      </c>
      <c r="H15" s="19" t="s">
        <v>86</v>
      </c>
      <c r="I15" s="37" t="s">
        <v>2343</v>
      </c>
    </row>
    <row r="16" spans="1:9" ht="36" customHeight="1">
      <c r="A16" s="19" t="s">
        <v>914</v>
      </c>
      <c r="B16" s="19" t="s">
        <v>915</v>
      </c>
      <c r="C16" s="19" t="s">
        <v>916</v>
      </c>
      <c r="D16" s="19" t="s">
        <v>229</v>
      </c>
      <c r="E16" s="19" t="s">
        <v>2614</v>
      </c>
      <c r="F16" s="19" t="s">
        <v>2622</v>
      </c>
      <c r="G16" s="32" t="s">
        <v>2548</v>
      </c>
      <c r="H16" s="19" t="s">
        <v>92</v>
      </c>
      <c r="I16" s="37" t="s">
        <v>2343</v>
      </c>
    </row>
    <row r="17" spans="1:9" ht="36" customHeight="1">
      <c r="A17" s="19" t="s">
        <v>917</v>
      </c>
      <c r="B17" s="19" t="s">
        <v>918</v>
      </c>
      <c r="C17" s="19" t="s">
        <v>919</v>
      </c>
      <c r="D17" s="19" t="s">
        <v>484</v>
      </c>
      <c r="E17" s="19" t="s">
        <v>2614</v>
      </c>
      <c r="F17" s="19" t="s">
        <v>2619</v>
      </c>
      <c r="G17" s="32" t="s">
        <v>2550</v>
      </c>
      <c r="H17" s="19" t="s">
        <v>75</v>
      </c>
      <c r="I17" s="37" t="s">
        <v>2343</v>
      </c>
    </row>
    <row r="18" spans="1:9" ht="36" customHeight="1">
      <c r="A18" s="19" t="s">
        <v>920</v>
      </c>
      <c r="B18" s="19" t="s">
        <v>921</v>
      </c>
      <c r="C18" s="19" t="s">
        <v>922</v>
      </c>
      <c r="D18" s="19" t="s">
        <v>439</v>
      </c>
      <c r="E18" s="19" t="s">
        <v>2614</v>
      </c>
      <c r="F18" s="19" t="s">
        <v>2617</v>
      </c>
      <c r="G18" s="32" t="s">
        <v>2552</v>
      </c>
      <c r="H18" s="19" t="s">
        <v>86</v>
      </c>
      <c r="I18" s="37" t="s">
        <v>2343</v>
      </c>
    </row>
    <row r="19" spans="1:9" ht="36" customHeight="1">
      <c r="A19" s="19" t="s">
        <v>923</v>
      </c>
      <c r="B19" s="19" t="s">
        <v>924</v>
      </c>
      <c r="C19" s="19" t="s">
        <v>925</v>
      </c>
      <c r="D19" s="19" t="s">
        <v>224</v>
      </c>
      <c r="E19" s="19" t="s">
        <v>2614</v>
      </c>
      <c r="F19" s="19" t="s">
        <v>2615</v>
      </c>
      <c r="G19" s="32" t="s">
        <v>2459</v>
      </c>
      <c r="H19" s="19" t="s">
        <v>58</v>
      </c>
      <c r="I19" s="37" t="s">
        <v>2343</v>
      </c>
    </row>
    <row r="20" spans="1:9" ht="36" customHeight="1">
      <c r="A20" s="19" t="s">
        <v>926</v>
      </c>
      <c r="B20" s="19" t="s">
        <v>927</v>
      </c>
      <c r="C20" s="19" t="s">
        <v>928</v>
      </c>
      <c r="D20" s="19" t="s">
        <v>255</v>
      </c>
      <c r="E20" s="19" t="s">
        <v>2614</v>
      </c>
      <c r="F20" s="19" t="s">
        <v>2620</v>
      </c>
      <c r="G20" s="32" t="s">
        <v>2339</v>
      </c>
      <c r="H20" s="19" t="s">
        <v>77</v>
      </c>
      <c r="I20" s="37" t="s">
        <v>2343</v>
      </c>
    </row>
    <row r="21" spans="1:9" ht="36" customHeight="1">
      <c r="A21" s="19" t="s">
        <v>930</v>
      </c>
      <c r="B21" s="19" t="s">
        <v>931</v>
      </c>
      <c r="C21" s="19" t="s">
        <v>932</v>
      </c>
      <c r="D21" s="19" t="s">
        <v>277</v>
      </c>
      <c r="E21" s="19" t="s">
        <v>2614</v>
      </c>
      <c r="F21" s="19" t="s">
        <v>2615</v>
      </c>
      <c r="G21" s="32" t="s">
        <v>2555</v>
      </c>
      <c r="H21" s="19" t="s">
        <v>77</v>
      </c>
      <c r="I21" s="37" t="s">
        <v>2343</v>
      </c>
    </row>
    <row r="22" spans="1:9" ht="36" customHeight="1">
      <c r="A22" s="19" t="s">
        <v>933</v>
      </c>
      <c r="B22" s="19" t="s">
        <v>934</v>
      </c>
      <c r="C22" s="19" t="s">
        <v>935</v>
      </c>
      <c r="D22" s="19" t="s">
        <v>504</v>
      </c>
      <c r="E22" s="19" t="s">
        <v>2614</v>
      </c>
      <c r="F22" s="19" t="s">
        <v>2615</v>
      </c>
      <c r="G22" s="32" t="s">
        <v>2454</v>
      </c>
      <c r="H22" s="19" t="s">
        <v>77</v>
      </c>
      <c r="I22" s="37" t="s">
        <v>2343</v>
      </c>
    </row>
    <row r="23" spans="1:9" ht="36" customHeight="1">
      <c r="A23" s="19" t="s">
        <v>936</v>
      </c>
      <c r="B23" s="19" t="s">
        <v>937</v>
      </c>
      <c r="C23" s="19" t="s">
        <v>938</v>
      </c>
      <c r="D23" s="19" t="s">
        <v>170</v>
      </c>
      <c r="E23" s="19" t="s">
        <v>2614</v>
      </c>
      <c r="F23" s="19" t="s">
        <v>2623</v>
      </c>
      <c r="G23" s="32" t="s">
        <v>2557</v>
      </c>
      <c r="H23" s="19" t="s">
        <v>69</v>
      </c>
      <c r="I23" s="37" t="s">
        <v>2343</v>
      </c>
    </row>
    <row r="24" spans="1:9" ht="36" customHeight="1">
      <c r="A24" s="19" t="s">
        <v>939</v>
      </c>
      <c r="B24" s="19" t="s">
        <v>940</v>
      </c>
      <c r="C24" s="19" t="s">
        <v>941</v>
      </c>
      <c r="D24" s="19" t="s">
        <v>224</v>
      </c>
      <c r="E24" s="19" t="s">
        <v>2614</v>
      </c>
      <c r="F24" s="19" t="s">
        <v>2620</v>
      </c>
      <c r="G24" s="32" t="s">
        <v>2559</v>
      </c>
      <c r="H24" s="19" t="s">
        <v>69</v>
      </c>
      <c r="I24" s="37" t="s">
        <v>2343</v>
      </c>
    </row>
    <row r="25" spans="1:9" ht="36" customHeight="1">
      <c r="A25" s="19" t="s">
        <v>942</v>
      </c>
      <c r="B25" s="19" t="s">
        <v>943</v>
      </c>
      <c r="C25" s="19" t="s">
        <v>944</v>
      </c>
      <c r="D25" s="19" t="s">
        <v>277</v>
      </c>
      <c r="E25" s="19" t="s">
        <v>2614</v>
      </c>
      <c r="F25" s="19" t="s">
        <v>2618</v>
      </c>
      <c r="G25" s="32" t="s">
        <v>2503</v>
      </c>
      <c r="H25" s="19" t="s">
        <v>69</v>
      </c>
      <c r="I25" s="37" t="s">
        <v>2343</v>
      </c>
    </row>
    <row r="26" spans="1:9" ht="36" customHeight="1">
      <c r="A26" s="19" t="s">
        <v>945</v>
      </c>
      <c r="B26" s="19" t="s">
        <v>946</v>
      </c>
      <c r="C26" s="19" t="s">
        <v>947</v>
      </c>
      <c r="D26" s="19" t="s">
        <v>613</v>
      </c>
      <c r="E26" s="19" t="s">
        <v>2614</v>
      </c>
      <c r="F26" s="19" t="s">
        <v>2617</v>
      </c>
      <c r="G26" s="32" t="s">
        <v>2561</v>
      </c>
      <c r="H26" s="19" t="s">
        <v>92</v>
      </c>
      <c r="I26" s="37" t="s">
        <v>2343</v>
      </c>
    </row>
    <row r="27" spans="1:9" ht="36" customHeight="1">
      <c r="A27" s="19" t="s">
        <v>948</v>
      </c>
      <c r="B27" s="19" t="s">
        <v>949</v>
      </c>
      <c r="C27" s="19" t="s">
        <v>950</v>
      </c>
      <c r="D27" s="19" t="s">
        <v>324</v>
      </c>
      <c r="E27" s="19" t="s">
        <v>2614</v>
      </c>
      <c r="F27" s="19" t="s">
        <v>2617</v>
      </c>
      <c r="G27" s="32" t="s">
        <v>2403</v>
      </c>
      <c r="H27" s="19" t="s">
        <v>58</v>
      </c>
      <c r="I27" s="37" t="s">
        <v>2343</v>
      </c>
    </row>
    <row r="28" spans="1:9" ht="36" customHeight="1">
      <c r="A28" s="19" t="s">
        <v>951</v>
      </c>
      <c r="B28" s="19" t="s">
        <v>952</v>
      </c>
      <c r="C28" s="19" t="s">
        <v>953</v>
      </c>
      <c r="D28" s="19" t="s">
        <v>613</v>
      </c>
      <c r="E28" s="19" t="s">
        <v>2614</v>
      </c>
      <c r="F28" s="19" t="s">
        <v>2615</v>
      </c>
      <c r="G28" s="32" t="s">
        <v>2399</v>
      </c>
      <c r="H28" s="19" t="s">
        <v>69</v>
      </c>
      <c r="I28" s="37" t="s">
        <v>2343</v>
      </c>
    </row>
    <row r="29" spans="1:9" ht="36" customHeight="1">
      <c r="A29" s="19" t="s">
        <v>954</v>
      </c>
      <c r="B29" s="19" t="s">
        <v>955</v>
      </c>
      <c r="C29" s="19" t="s">
        <v>956</v>
      </c>
      <c r="D29" s="19" t="s">
        <v>277</v>
      </c>
      <c r="E29" s="19" t="s">
        <v>2614</v>
      </c>
      <c r="F29" s="19" t="s">
        <v>2624</v>
      </c>
      <c r="G29" s="32" t="s">
        <v>2339</v>
      </c>
      <c r="H29" s="19" t="s">
        <v>61</v>
      </c>
      <c r="I29" s="37" t="s">
        <v>2343</v>
      </c>
    </row>
    <row r="30" spans="1:9" ht="36" customHeight="1">
      <c r="A30" s="19" t="s">
        <v>957</v>
      </c>
      <c r="B30" s="19" t="s">
        <v>958</v>
      </c>
      <c r="C30" s="19" t="s">
        <v>959</v>
      </c>
      <c r="D30" s="19" t="s">
        <v>305</v>
      </c>
      <c r="E30" s="19" t="s">
        <v>2614</v>
      </c>
      <c r="F30" s="19" t="s">
        <v>2624</v>
      </c>
      <c r="G30" s="32" t="s">
        <v>2563</v>
      </c>
      <c r="H30" s="19" t="s">
        <v>61</v>
      </c>
      <c r="I30" s="37" t="s">
        <v>2343</v>
      </c>
    </row>
    <row r="31" spans="1:9" ht="36" customHeight="1">
      <c r="A31" s="19" t="s">
        <v>960</v>
      </c>
      <c r="B31" s="19" t="s">
        <v>961</v>
      </c>
      <c r="C31" s="19" t="s">
        <v>962</v>
      </c>
      <c r="D31" s="19" t="s">
        <v>199</v>
      </c>
      <c r="E31" s="19" t="s">
        <v>2614</v>
      </c>
      <c r="F31" s="19" t="s">
        <v>2624</v>
      </c>
      <c r="G31" s="32" t="s">
        <v>2565</v>
      </c>
      <c r="H31" s="19" t="s">
        <v>48</v>
      </c>
      <c r="I31" s="37" t="s">
        <v>2343</v>
      </c>
    </row>
    <row r="32" spans="1:9" ht="36" customHeight="1">
      <c r="A32" s="19" t="s">
        <v>969</v>
      </c>
      <c r="B32" s="19" t="s">
        <v>970</v>
      </c>
      <c r="C32" s="19" t="s">
        <v>971</v>
      </c>
      <c r="D32" s="19" t="s">
        <v>972</v>
      </c>
      <c r="E32" s="19" t="s">
        <v>2614</v>
      </c>
      <c r="F32" s="19" t="s">
        <v>2625</v>
      </c>
      <c r="G32" s="32" t="s">
        <v>2567</v>
      </c>
      <c r="H32" s="19" t="s">
        <v>92</v>
      </c>
      <c r="I32" s="37" t="s">
        <v>2343</v>
      </c>
    </row>
    <row r="33" spans="1:9" ht="36" customHeight="1">
      <c r="A33" s="19" t="s">
        <v>973</v>
      </c>
      <c r="B33" s="19" t="s">
        <v>974</v>
      </c>
      <c r="C33" s="19" t="s">
        <v>975</v>
      </c>
      <c r="D33" s="19" t="s">
        <v>273</v>
      </c>
      <c r="E33" s="19" t="s">
        <v>2614</v>
      </c>
      <c r="F33" s="19" t="s">
        <v>2616</v>
      </c>
      <c r="G33" s="32" t="s">
        <v>2569</v>
      </c>
      <c r="H33" s="19" t="s">
        <v>48</v>
      </c>
      <c r="I33" s="37" t="s">
        <v>2343</v>
      </c>
    </row>
    <row r="34" spans="1:9" ht="36" customHeight="1">
      <c r="A34" s="30" t="s">
        <v>983</v>
      </c>
      <c r="B34" s="30" t="s">
        <v>984</v>
      </c>
      <c r="C34" s="30" t="s">
        <v>985</v>
      </c>
      <c r="D34" s="30" t="s">
        <v>260</v>
      </c>
      <c r="E34" s="30" t="s">
        <v>2614</v>
      </c>
      <c r="F34" s="30" t="s">
        <v>2616</v>
      </c>
      <c r="G34" s="33" t="s">
        <v>2403</v>
      </c>
      <c r="H34" s="30" t="s">
        <v>90</v>
      </c>
      <c r="I34" s="38" t="s">
        <v>2343</v>
      </c>
    </row>
  </sheetData>
  <mergeCells count="2">
    <mergeCell ref="A1:I1"/>
    <mergeCell ref="A2:I2"/>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4"/>
  <sheetViews>
    <sheetView showGridLines="0" workbookViewId="0"/>
  </sheetViews>
  <sheetFormatPr baseColWidth="10" defaultColWidth="8.83203125" defaultRowHeight="14"/>
  <cols>
    <col min="1" max="1" width="8" customWidth="1"/>
    <col min="2" max="2" width="52" customWidth="1"/>
    <col min="3" max="3" width="66" customWidth="1"/>
    <col min="4" max="4" width="14" customWidth="1"/>
  </cols>
  <sheetData>
    <row r="1" spans="1:4" ht="28" customHeight="1">
      <c r="A1" s="84" t="s">
        <v>2626</v>
      </c>
      <c r="B1" s="84"/>
      <c r="C1" s="84"/>
      <c r="D1" s="84"/>
    </row>
    <row r="2" spans="1:4" ht="30" customHeight="1">
      <c r="A2" s="85" t="s">
        <v>2627</v>
      </c>
      <c r="B2" s="85"/>
      <c r="C2" s="85"/>
      <c r="D2" s="85"/>
    </row>
    <row r="4" spans="1:4" ht="34" customHeight="1">
      <c r="A4" s="26" t="s">
        <v>2117</v>
      </c>
      <c r="B4" s="27" t="s">
        <v>2119</v>
      </c>
      <c r="C4" s="27" t="s">
        <v>2628</v>
      </c>
      <c r="D4" s="28" t="s">
        <v>2120</v>
      </c>
    </row>
    <row r="5" spans="1:4" ht="45" customHeight="1">
      <c r="A5" s="17">
        <v>1</v>
      </c>
      <c r="B5" s="17" t="s">
        <v>2629</v>
      </c>
      <c r="C5" s="17" t="s">
        <v>2630</v>
      </c>
      <c r="D5" s="17" t="s">
        <v>1031</v>
      </c>
    </row>
    <row r="6" spans="1:4" ht="45" customHeight="1">
      <c r="A6" s="19">
        <v>2</v>
      </c>
      <c r="B6" s="19" t="s">
        <v>2631</v>
      </c>
      <c r="C6" s="19" t="s">
        <v>2632</v>
      </c>
      <c r="D6" s="19" t="s">
        <v>1031</v>
      </c>
    </row>
    <row r="7" spans="1:4" ht="45" customHeight="1">
      <c r="A7" s="21">
        <v>3</v>
      </c>
      <c r="B7" s="21" t="s">
        <v>2633</v>
      </c>
      <c r="C7" s="21" t="s">
        <v>2634</v>
      </c>
      <c r="D7" s="21" t="s">
        <v>1031</v>
      </c>
    </row>
    <row r="8" spans="1:4" ht="45" customHeight="1">
      <c r="A8" s="19">
        <v>4</v>
      </c>
      <c r="B8" s="19" t="s">
        <v>2635</v>
      </c>
      <c r="C8" s="19" t="s">
        <v>2636</v>
      </c>
      <c r="D8" s="19" t="s">
        <v>1031</v>
      </c>
    </row>
    <row r="9" spans="1:4" ht="45" customHeight="1">
      <c r="A9" s="21">
        <v>5</v>
      </c>
      <c r="B9" s="21" t="s">
        <v>2637</v>
      </c>
      <c r="C9" s="21" t="s">
        <v>2638</v>
      </c>
      <c r="D9" s="21" t="s">
        <v>1031</v>
      </c>
    </row>
    <row r="10" spans="1:4" ht="45" customHeight="1">
      <c r="A10" s="19">
        <v>6</v>
      </c>
      <c r="B10" s="19" t="s">
        <v>2639</v>
      </c>
      <c r="C10" s="19" t="s">
        <v>2640</v>
      </c>
      <c r="D10" s="19" t="s">
        <v>1031</v>
      </c>
    </row>
    <row r="11" spans="1:4" ht="45" customHeight="1">
      <c r="A11" s="21">
        <v>7</v>
      </c>
      <c r="B11" s="21" t="s">
        <v>2641</v>
      </c>
      <c r="C11" s="21" t="s">
        <v>2642</v>
      </c>
      <c r="D11" s="21" t="s">
        <v>1031</v>
      </c>
    </row>
    <row r="12" spans="1:4" ht="45" customHeight="1">
      <c r="A12" s="19">
        <v>8</v>
      </c>
      <c r="B12" s="19" t="s">
        <v>2643</v>
      </c>
      <c r="C12" s="19" t="s">
        <v>2644</v>
      </c>
      <c r="D12" s="19" t="s">
        <v>1031</v>
      </c>
    </row>
    <row r="13" spans="1:4" ht="45" customHeight="1">
      <c r="A13" s="21">
        <v>9</v>
      </c>
      <c r="B13" s="21" t="s">
        <v>2645</v>
      </c>
      <c r="C13" s="21" t="s">
        <v>2646</v>
      </c>
      <c r="D13" s="21" t="s">
        <v>1031</v>
      </c>
    </row>
    <row r="14" spans="1:4" ht="45" customHeight="1">
      <c r="A14" s="30">
        <v>10</v>
      </c>
      <c r="B14" s="30" t="s">
        <v>2647</v>
      </c>
      <c r="C14" s="30" t="s">
        <v>2648</v>
      </c>
      <c r="D14" s="30" t="s">
        <v>1031</v>
      </c>
    </row>
  </sheetData>
  <mergeCells count="2">
    <mergeCell ref="A1:D1"/>
    <mergeCell ref="A2: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3"/>
  <sheetViews>
    <sheetView showGridLines="0" workbookViewId="0"/>
  </sheetViews>
  <sheetFormatPr baseColWidth="10" defaultColWidth="8.83203125" defaultRowHeight="14"/>
  <cols>
    <col min="1" max="1" width="38" customWidth="1"/>
    <col min="2" max="2" width="16" customWidth="1"/>
    <col min="3" max="3" width="4" customWidth="1"/>
    <col min="4" max="8" width="22" customWidth="1"/>
  </cols>
  <sheetData>
    <row r="1" spans="1:8" ht="28" customHeight="1">
      <c r="A1" s="84" t="s">
        <v>2649</v>
      </c>
      <c r="B1" s="84"/>
      <c r="C1" s="84"/>
      <c r="D1" s="84"/>
      <c r="E1" s="84"/>
      <c r="F1" s="84"/>
      <c r="G1" s="84"/>
      <c r="H1" s="84"/>
    </row>
    <row r="2" spans="1:8" ht="30" customHeight="1">
      <c r="A2" s="85" t="s">
        <v>2650</v>
      </c>
      <c r="B2" s="85"/>
      <c r="C2" s="85"/>
      <c r="D2" s="85"/>
      <c r="E2" s="85"/>
      <c r="F2" s="85"/>
      <c r="G2" s="85"/>
      <c r="H2" s="85"/>
    </row>
    <row r="4" spans="1:8" ht="34" customHeight="1">
      <c r="A4" s="26" t="s">
        <v>2</v>
      </c>
      <c r="B4" s="28" t="s">
        <v>3</v>
      </c>
      <c r="D4" s="86" t="s">
        <v>2651</v>
      </c>
      <c r="E4" s="87" t="s">
        <v>2651</v>
      </c>
      <c r="F4" s="87" t="s">
        <v>2651</v>
      </c>
      <c r="G4" s="87" t="s">
        <v>2651</v>
      </c>
      <c r="H4" s="88" t="s">
        <v>2651</v>
      </c>
    </row>
    <row r="5" spans="1:8">
      <c r="A5" s="29" t="s">
        <v>2652</v>
      </c>
      <c r="B5" s="29">
        <f>COUNTA('T01 revisión'!$A$5:$A$237)</f>
        <v>233</v>
      </c>
      <c r="D5" s="89" t="s">
        <v>2653</v>
      </c>
      <c r="E5" s="89"/>
      <c r="F5" s="89"/>
      <c r="G5" s="89"/>
      <c r="H5" s="89"/>
    </row>
    <row r="6" spans="1:8">
      <c r="A6" s="19" t="s">
        <v>2654</v>
      </c>
      <c r="B6" s="19">
        <f>COUNTIF('T01 revisión'!$T$5:$T$237,"alta v1.15.0")</f>
        <v>30</v>
      </c>
      <c r="D6" s="90" t="s">
        <v>2655</v>
      </c>
      <c r="E6" s="90"/>
      <c r="F6" s="90"/>
      <c r="G6" s="90"/>
      <c r="H6" s="90"/>
    </row>
    <row r="7" spans="1:8">
      <c r="A7" s="19" t="s">
        <v>2656</v>
      </c>
      <c r="B7" s="19">
        <f>COUNTA('Valores tr'!$A$5:$A$108)</f>
        <v>104</v>
      </c>
      <c r="D7" s="90" t="s">
        <v>2657</v>
      </c>
      <c r="E7" s="90"/>
      <c r="F7" s="90"/>
      <c r="G7" s="90"/>
      <c r="H7" s="90"/>
    </row>
    <row r="8" spans="1:8">
      <c r="A8" s="19" t="s">
        <v>2658</v>
      </c>
      <c r="B8" s="19">
        <f>COUNTIF('T01 revisión'!$N$5:$N$237,"pendiente_revision")</f>
        <v>233</v>
      </c>
      <c r="D8" s="90" t="s">
        <v>2659</v>
      </c>
      <c r="E8" s="90"/>
      <c r="F8" s="90"/>
      <c r="G8" s="90"/>
      <c r="H8" s="90"/>
    </row>
    <row r="9" spans="1:8">
      <c r="A9" s="19" t="s">
        <v>2660</v>
      </c>
      <c r="B9" s="19">
        <f>COUNTIF('T01 revisión'!$S$5:$S$237,"SI")</f>
        <v>0</v>
      </c>
      <c r="D9" s="90" t="s">
        <v>2661</v>
      </c>
      <c r="E9" s="90"/>
      <c r="F9" s="90"/>
      <c r="G9" s="90"/>
      <c r="H9" s="90"/>
    </row>
    <row r="10" spans="1:8">
      <c r="A10" s="19" t="s">
        <v>2662</v>
      </c>
      <c r="B10" s="19">
        <f>COUNTBLANK('T01 revisión'!$I$5:$I$237)</f>
        <v>233</v>
      </c>
      <c r="D10" s="90" t="s">
        <v>2663</v>
      </c>
      <c r="E10" s="90"/>
      <c r="F10" s="90"/>
      <c r="G10" s="90"/>
      <c r="H10" s="90"/>
    </row>
    <row r="11" spans="1:8">
      <c r="A11" s="30" t="s">
        <v>2664</v>
      </c>
      <c r="B11" s="30">
        <f>COUNTA('T01 revisión'!$H$5:$H$237)</f>
        <v>233</v>
      </c>
      <c r="D11" s="91" t="s">
        <v>2665</v>
      </c>
      <c r="E11" s="91"/>
      <c r="F11" s="91"/>
      <c r="G11" s="91"/>
      <c r="H11" s="91"/>
    </row>
    <row r="13" spans="1:8" ht="38" customHeight="1">
      <c r="A13" s="92" t="s">
        <v>2666</v>
      </c>
      <c r="B13" s="92"/>
      <c r="C13" s="92"/>
      <c r="D13" s="92"/>
      <c r="E13" s="92"/>
      <c r="F13" s="92"/>
      <c r="G13" s="92"/>
      <c r="H13" s="92"/>
    </row>
  </sheetData>
  <mergeCells count="11">
    <mergeCell ref="A13:H13"/>
    <mergeCell ref="D7:H7"/>
    <mergeCell ref="D8:H8"/>
    <mergeCell ref="D9:H9"/>
    <mergeCell ref="D10:H10"/>
    <mergeCell ref="D11:H11"/>
    <mergeCell ref="A1:H1"/>
    <mergeCell ref="A2:H2"/>
    <mergeCell ref="D4:H4"/>
    <mergeCell ref="D5:H5"/>
    <mergeCell ref="D6:H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8"/>
  <sheetViews>
    <sheetView showGridLines="0" workbookViewId="0"/>
  </sheetViews>
  <sheetFormatPr baseColWidth="10" defaultColWidth="8.83203125" defaultRowHeight="14"/>
  <cols>
    <col min="1" max="1" width="7" customWidth="1"/>
    <col min="2" max="2" width="26" customWidth="1"/>
    <col min="3" max="3" width="40" customWidth="1"/>
    <col min="4" max="5" width="38" customWidth="1"/>
    <col min="6" max="6" width="15" customWidth="1"/>
  </cols>
  <sheetData>
    <row r="1" spans="1:6" ht="30" customHeight="1">
      <c r="A1" s="93" t="s">
        <v>2667</v>
      </c>
      <c r="B1" s="93" t="s">
        <v>2667</v>
      </c>
      <c r="C1" s="93" t="s">
        <v>2667</v>
      </c>
      <c r="D1" s="93" t="s">
        <v>2667</v>
      </c>
      <c r="E1" s="93" t="s">
        <v>2667</v>
      </c>
      <c r="F1" s="93" t="s">
        <v>2667</v>
      </c>
    </row>
    <row r="2" spans="1:6" ht="34" customHeight="1">
      <c r="A2" s="94" t="s">
        <v>2668</v>
      </c>
      <c r="B2" s="94" t="s">
        <v>2668</v>
      </c>
      <c r="C2" s="94" t="s">
        <v>2668</v>
      </c>
      <c r="D2" s="94" t="s">
        <v>2668</v>
      </c>
      <c r="E2" s="94" t="s">
        <v>2668</v>
      </c>
      <c r="F2" s="94" t="s">
        <v>2668</v>
      </c>
    </row>
    <row r="4" spans="1:6" ht="34" customHeight="1">
      <c r="A4" s="42" t="s">
        <v>2669</v>
      </c>
      <c r="B4" s="42" t="s">
        <v>2670</v>
      </c>
      <c r="C4" s="42" t="s">
        <v>2671</v>
      </c>
      <c r="D4" s="42" t="s">
        <v>2672</v>
      </c>
      <c r="E4" s="42" t="s">
        <v>2673</v>
      </c>
      <c r="F4" s="42" t="s">
        <v>44</v>
      </c>
    </row>
    <row r="5" spans="1:6" ht="48" customHeight="1">
      <c r="A5" s="45">
        <v>1</v>
      </c>
      <c r="B5" s="43" t="s">
        <v>2674</v>
      </c>
      <c r="C5" s="43" t="s">
        <v>2675</v>
      </c>
      <c r="D5" s="43" t="s">
        <v>2676</v>
      </c>
      <c r="E5" s="43" t="s">
        <v>2677</v>
      </c>
      <c r="F5" s="45" t="s">
        <v>2678</v>
      </c>
    </row>
    <row r="6" spans="1:6" ht="48" customHeight="1">
      <c r="A6" s="45">
        <v>2</v>
      </c>
      <c r="B6" s="43" t="s">
        <v>2679</v>
      </c>
      <c r="C6" s="43" t="s">
        <v>2680</v>
      </c>
      <c r="D6" s="43" t="s">
        <v>2681</v>
      </c>
      <c r="E6" s="43" t="s">
        <v>2682</v>
      </c>
      <c r="F6" s="45" t="s">
        <v>2678</v>
      </c>
    </row>
    <row r="7" spans="1:6" ht="48" customHeight="1">
      <c r="A7" s="45">
        <v>3</v>
      </c>
      <c r="B7" s="43" t="s">
        <v>2683</v>
      </c>
      <c r="C7" s="43" t="s">
        <v>2684</v>
      </c>
      <c r="D7" s="43" t="s">
        <v>2685</v>
      </c>
      <c r="E7" s="43" t="s">
        <v>2686</v>
      </c>
      <c r="F7" s="45" t="s">
        <v>2678</v>
      </c>
    </row>
    <row r="8" spans="1:6" ht="48" customHeight="1">
      <c r="A8" s="45">
        <v>4</v>
      </c>
      <c r="B8" s="43" t="s">
        <v>2687</v>
      </c>
      <c r="C8" s="43" t="s">
        <v>2688</v>
      </c>
      <c r="D8" s="43" t="s">
        <v>2689</v>
      </c>
      <c r="E8" s="43" t="s">
        <v>2690</v>
      </c>
      <c r="F8" s="45" t="s">
        <v>2678</v>
      </c>
    </row>
    <row r="9" spans="1:6" ht="48" customHeight="1">
      <c r="A9" s="45">
        <v>5</v>
      </c>
      <c r="B9" s="43" t="s">
        <v>2691</v>
      </c>
      <c r="C9" s="43" t="s">
        <v>2692</v>
      </c>
      <c r="D9" s="43" t="s">
        <v>2693</v>
      </c>
      <c r="E9" s="43" t="s">
        <v>2694</v>
      </c>
      <c r="F9" s="45" t="s">
        <v>2678</v>
      </c>
    </row>
    <row r="10" spans="1:6" ht="48" customHeight="1">
      <c r="A10" s="45">
        <v>6</v>
      </c>
      <c r="B10" s="43" t="s">
        <v>2695</v>
      </c>
      <c r="C10" s="43" t="s">
        <v>2696</v>
      </c>
      <c r="D10" s="43" t="s">
        <v>2697</v>
      </c>
      <c r="E10" s="43" t="s">
        <v>2698</v>
      </c>
      <c r="F10" s="45" t="s">
        <v>2678</v>
      </c>
    </row>
    <row r="11" spans="1:6" ht="48" customHeight="1">
      <c r="A11" s="45">
        <v>7</v>
      </c>
      <c r="B11" s="43" t="s">
        <v>2699</v>
      </c>
      <c r="C11" s="43" t="s">
        <v>2700</v>
      </c>
      <c r="D11" s="43" t="s">
        <v>2701</v>
      </c>
      <c r="E11" s="43" t="s">
        <v>2702</v>
      </c>
      <c r="F11" s="45" t="s">
        <v>2678</v>
      </c>
    </row>
    <row r="12" spans="1:6" ht="48" customHeight="1">
      <c r="A12" s="45">
        <v>8</v>
      </c>
      <c r="B12" s="43" t="s">
        <v>2703</v>
      </c>
      <c r="C12" s="43" t="s">
        <v>2704</v>
      </c>
      <c r="D12" s="43" t="s">
        <v>2705</v>
      </c>
      <c r="E12" s="43" t="s">
        <v>2706</v>
      </c>
      <c r="F12" s="45" t="s">
        <v>2678</v>
      </c>
    </row>
    <row r="13" spans="1:6" ht="48" customHeight="1">
      <c r="A13" s="45">
        <v>9</v>
      </c>
      <c r="B13" s="43" t="s">
        <v>2707</v>
      </c>
      <c r="C13" s="43" t="s">
        <v>2708</v>
      </c>
      <c r="D13" s="43" t="s">
        <v>2709</v>
      </c>
      <c r="E13" s="43" t="s">
        <v>2710</v>
      </c>
      <c r="F13" s="45" t="s">
        <v>2678</v>
      </c>
    </row>
    <row r="14" spans="1:6" ht="48" customHeight="1">
      <c r="A14" s="45">
        <v>10</v>
      </c>
      <c r="B14" s="43" t="s">
        <v>2711</v>
      </c>
      <c r="C14" s="43" t="s">
        <v>2712</v>
      </c>
      <c r="D14" s="43" t="s">
        <v>2713</v>
      </c>
      <c r="E14" s="43" t="s">
        <v>2714</v>
      </c>
      <c r="F14" s="45" t="s">
        <v>2678</v>
      </c>
    </row>
    <row r="15" spans="1:6" ht="48" customHeight="1">
      <c r="A15" s="45">
        <v>11</v>
      </c>
      <c r="B15" s="43" t="s">
        <v>2166</v>
      </c>
      <c r="C15" s="43" t="s">
        <v>2715</v>
      </c>
      <c r="D15" s="43" t="s">
        <v>2716</v>
      </c>
      <c r="E15" s="43" t="s">
        <v>2717</v>
      </c>
      <c r="F15" s="45" t="s">
        <v>2678</v>
      </c>
    </row>
    <row r="16" spans="1:6" ht="48" customHeight="1">
      <c r="A16" s="45">
        <v>12</v>
      </c>
      <c r="B16" s="43" t="s">
        <v>2718</v>
      </c>
      <c r="C16" s="43" t="s">
        <v>2719</v>
      </c>
      <c r="D16" s="43" t="s">
        <v>2720</v>
      </c>
      <c r="E16" s="43" t="s">
        <v>2721</v>
      </c>
      <c r="F16" s="45" t="s">
        <v>2722</v>
      </c>
    </row>
    <row r="17" spans="1:6" ht="48" customHeight="1">
      <c r="A17" s="45">
        <v>13</v>
      </c>
      <c r="B17" s="43" t="s">
        <v>2723</v>
      </c>
      <c r="C17" s="43" t="s">
        <v>2724</v>
      </c>
      <c r="D17" s="43" t="s">
        <v>2725</v>
      </c>
      <c r="E17" s="43" t="s">
        <v>2726</v>
      </c>
      <c r="F17" s="45" t="s">
        <v>2678</v>
      </c>
    </row>
    <row r="18" spans="1:6" ht="48" customHeight="1">
      <c r="A18" s="46">
        <v>14</v>
      </c>
      <c r="B18" s="44" t="s">
        <v>2727</v>
      </c>
      <c r="C18" s="44" t="s">
        <v>2728</v>
      </c>
      <c r="D18" s="44" t="s">
        <v>2729</v>
      </c>
      <c r="E18" s="44" t="s">
        <v>2730</v>
      </c>
      <c r="F18" s="46" t="s">
        <v>2678</v>
      </c>
    </row>
  </sheetData>
  <mergeCells count="2">
    <mergeCell ref="A1:F1"/>
    <mergeCell ref="A2:F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6"/>
  <sheetViews>
    <sheetView showGridLines="0" workbookViewId="0"/>
  </sheetViews>
  <sheetFormatPr baseColWidth="10" defaultColWidth="8.83203125" defaultRowHeight="14"/>
  <cols>
    <col min="1" max="1" width="18" customWidth="1"/>
    <col min="2" max="2" width="42" customWidth="1"/>
    <col min="3" max="3" width="26" customWidth="1"/>
    <col min="4" max="4" width="28" customWidth="1"/>
    <col min="5" max="6" width="38" customWidth="1"/>
    <col min="7" max="7" width="34" customWidth="1"/>
  </cols>
  <sheetData>
    <row r="1" spans="1:7" ht="30" customHeight="1">
      <c r="A1" s="93" t="s">
        <v>2731</v>
      </c>
      <c r="B1" s="93" t="s">
        <v>2731</v>
      </c>
      <c r="C1" s="93" t="s">
        <v>2731</v>
      </c>
      <c r="D1" s="93" t="s">
        <v>2731</v>
      </c>
      <c r="E1" s="93" t="s">
        <v>2731</v>
      </c>
      <c r="F1" s="93" t="s">
        <v>2731</v>
      </c>
      <c r="G1" s="93" t="s">
        <v>2731</v>
      </c>
    </row>
    <row r="2" spans="1:7" ht="34" customHeight="1">
      <c r="A2" s="94" t="s">
        <v>2732</v>
      </c>
      <c r="B2" s="94" t="s">
        <v>2732</v>
      </c>
      <c r="C2" s="94" t="s">
        <v>2732</v>
      </c>
      <c r="D2" s="94" t="s">
        <v>2732</v>
      </c>
      <c r="E2" s="94" t="s">
        <v>2732</v>
      </c>
      <c r="F2" s="94" t="s">
        <v>2732</v>
      </c>
      <c r="G2" s="94" t="s">
        <v>2732</v>
      </c>
    </row>
    <row r="4" spans="1:7" ht="34" customHeight="1">
      <c r="A4" s="42" t="s">
        <v>2733</v>
      </c>
      <c r="B4" s="42" t="s">
        <v>2734</v>
      </c>
      <c r="C4" s="42" t="s">
        <v>2059</v>
      </c>
      <c r="D4" s="42" t="s">
        <v>2060</v>
      </c>
      <c r="E4" s="42" t="s">
        <v>2735</v>
      </c>
      <c r="F4" s="42" t="s">
        <v>2736</v>
      </c>
      <c r="G4" s="42" t="s">
        <v>2737</v>
      </c>
    </row>
    <row r="5" spans="1:7" ht="54" customHeight="1">
      <c r="A5" s="43" t="s">
        <v>2738</v>
      </c>
      <c r="B5" s="43" t="s">
        <v>2739</v>
      </c>
      <c r="C5" s="43" t="s">
        <v>2740</v>
      </c>
      <c r="D5" s="43" t="s">
        <v>2741</v>
      </c>
      <c r="E5" s="43" t="s">
        <v>2742</v>
      </c>
      <c r="F5" s="43" t="s">
        <v>2743</v>
      </c>
      <c r="G5" s="43" t="s">
        <v>2744</v>
      </c>
    </row>
    <row r="6" spans="1:7" ht="54" customHeight="1">
      <c r="A6" s="43" t="s">
        <v>2745</v>
      </c>
      <c r="B6" s="43" t="s">
        <v>2746</v>
      </c>
      <c r="C6" s="43" t="s">
        <v>2747</v>
      </c>
      <c r="D6" s="43" t="s">
        <v>2748</v>
      </c>
      <c r="E6" s="43" t="s">
        <v>2749</v>
      </c>
      <c r="F6" s="43" t="s">
        <v>2750</v>
      </c>
      <c r="G6" s="43" t="s">
        <v>2751</v>
      </c>
    </row>
    <row r="7" spans="1:7" ht="54" customHeight="1">
      <c r="A7" s="43" t="s">
        <v>2752</v>
      </c>
      <c r="B7" s="43" t="s">
        <v>2739</v>
      </c>
      <c r="C7" s="43" t="s">
        <v>2753</v>
      </c>
      <c r="D7" s="43" t="s">
        <v>2754</v>
      </c>
      <c r="E7" s="43" t="s">
        <v>2755</v>
      </c>
      <c r="F7" s="43" t="s">
        <v>2756</v>
      </c>
      <c r="G7" s="43" t="s">
        <v>71</v>
      </c>
    </row>
    <row r="8" spans="1:7" ht="54" customHeight="1">
      <c r="A8" s="43" t="s">
        <v>2757</v>
      </c>
      <c r="B8" s="43" t="s">
        <v>2758</v>
      </c>
      <c r="C8" s="43" t="s">
        <v>2759</v>
      </c>
      <c r="D8" s="43" t="s">
        <v>2760</v>
      </c>
      <c r="E8" s="43" t="s">
        <v>2761</v>
      </c>
      <c r="F8" s="43" t="s">
        <v>2762</v>
      </c>
      <c r="G8" s="43" t="s">
        <v>71</v>
      </c>
    </row>
    <row r="9" spans="1:7" ht="54" customHeight="1">
      <c r="A9" s="43" t="s">
        <v>2763</v>
      </c>
      <c r="B9" s="43" t="s">
        <v>2764</v>
      </c>
      <c r="C9" s="43" t="s">
        <v>2765</v>
      </c>
      <c r="D9" s="43" t="s">
        <v>2766</v>
      </c>
      <c r="E9" s="43" t="s">
        <v>2767</v>
      </c>
      <c r="F9" s="43" t="s">
        <v>2768</v>
      </c>
      <c r="G9" s="43" t="s">
        <v>71</v>
      </c>
    </row>
    <row r="10" spans="1:7" ht="54" customHeight="1">
      <c r="A10" s="43" t="s">
        <v>2769</v>
      </c>
      <c r="B10" s="43" t="s">
        <v>2098</v>
      </c>
      <c r="C10" s="43" t="s">
        <v>2770</v>
      </c>
      <c r="D10" s="43" t="s">
        <v>2771</v>
      </c>
      <c r="E10" s="43" t="s">
        <v>2772</v>
      </c>
      <c r="F10" s="43" t="s">
        <v>2773</v>
      </c>
      <c r="G10" s="43" t="s">
        <v>71</v>
      </c>
    </row>
    <row r="11" spans="1:7" ht="54" customHeight="1">
      <c r="A11" s="43" t="s">
        <v>2774</v>
      </c>
      <c r="B11" s="43" t="s">
        <v>2775</v>
      </c>
      <c r="C11" s="43" t="s">
        <v>2776</v>
      </c>
      <c r="D11" s="43" t="s">
        <v>2777</v>
      </c>
      <c r="E11" s="43" t="s">
        <v>2778</v>
      </c>
      <c r="F11" s="43" t="s">
        <v>2779</v>
      </c>
      <c r="G11" s="43" t="s">
        <v>71</v>
      </c>
    </row>
    <row r="12" spans="1:7" ht="54" customHeight="1">
      <c r="A12" s="44" t="s">
        <v>2780</v>
      </c>
      <c r="B12" s="44" t="s">
        <v>2739</v>
      </c>
      <c r="C12" s="44" t="s">
        <v>2781</v>
      </c>
      <c r="D12" s="44" t="s">
        <v>2782</v>
      </c>
      <c r="E12" s="44" t="s">
        <v>2783</v>
      </c>
      <c r="F12" s="44" t="s">
        <v>2784</v>
      </c>
      <c r="G12" s="44" t="s">
        <v>71</v>
      </c>
    </row>
    <row r="15" spans="1:7" ht="34" customHeight="1">
      <c r="A15" s="42" t="s">
        <v>2785</v>
      </c>
      <c r="B15" s="42" t="s">
        <v>2786</v>
      </c>
      <c r="C15" s="42" t="s">
        <v>2739</v>
      </c>
      <c r="D15" s="42" t="s">
        <v>2758</v>
      </c>
      <c r="E15" s="42" t="s">
        <v>2787</v>
      </c>
      <c r="F15" s="42" t="s">
        <v>2788</v>
      </c>
      <c r="G15" s="42" t="s">
        <v>2789</v>
      </c>
    </row>
    <row r="16" spans="1:7" ht="62" customHeight="1">
      <c r="A16" s="43" t="s">
        <v>2790</v>
      </c>
      <c r="B16" s="43" t="s">
        <v>2791</v>
      </c>
      <c r="C16" s="43" t="s">
        <v>2792</v>
      </c>
      <c r="D16" s="43" t="s">
        <v>2793</v>
      </c>
      <c r="E16" s="43" t="s">
        <v>2794</v>
      </c>
      <c r="F16" s="43" t="s">
        <v>2795</v>
      </c>
      <c r="G16" s="43" t="s">
        <v>2796</v>
      </c>
    </row>
    <row r="17" spans="1:7" ht="62" customHeight="1">
      <c r="A17" s="43" t="s">
        <v>2797</v>
      </c>
      <c r="B17" s="43" t="s">
        <v>2798</v>
      </c>
      <c r="C17" s="43" t="s">
        <v>2792</v>
      </c>
      <c r="D17" s="43" t="s">
        <v>2799</v>
      </c>
      <c r="E17" s="43" t="s">
        <v>2800</v>
      </c>
      <c r="F17" s="43" t="s">
        <v>2801</v>
      </c>
      <c r="G17" s="43" t="s">
        <v>2802</v>
      </c>
    </row>
    <row r="18" spans="1:7" ht="62" customHeight="1">
      <c r="A18" s="44" t="s">
        <v>2803</v>
      </c>
      <c r="B18" s="44" t="s">
        <v>2804</v>
      </c>
      <c r="C18" s="44" t="s">
        <v>2792</v>
      </c>
      <c r="D18" s="44" t="s">
        <v>2799</v>
      </c>
      <c r="E18" s="44" t="s">
        <v>2805</v>
      </c>
      <c r="F18" s="44" t="s">
        <v>2806</v>
      </c>
      <c r="G18" s="44" t="s">
        <v>2807</v>
      </c>
    </row>
    <row r="21" spans="1:7" ht="34" customHeight="1">
      <c r="A21" s="42" t="s">
        <v>2808</v>
      </c>
      <c r="B21" s="42" t="s">
        <v>2809</v>
      </c>
      <c r="C21" s="42" t="s">
        <v>2810</v>
      </c>
      <c r="D21" s="42" t="s">
        <v>2811</v>
      </c>
      <c r="E21" s="42" t="s">
        <v>2812</v>
      </c>
      <c r="F21" s="42" t="s">
        <v>2813</v>
      </c>
      <c r="G21" s="42" t="s">
        <v>2311</v>
      </c>
    </row>
    <row r="22" spans="1:7" ht="64" customHeight="1">
      <c r="A22" s="43" t="s">
        <v>2328</v>
      </c>
      <c r="B22" s="43" t="s">
        <v>2814</v>
      </c>
      <c r="C22" s="43" t="s">
        <v>2815</v>
      </c>
      <c r="D22" s="43" t="s">
        <v>2816</v>
      </c>
      <c r="E22" s="43" t="s">
        <v>2817</v>
      </c>
      <c r="F22" s="43" t="s">
        <v>2818</v>
      </c>
      <c r="G22" s="43" t="s">
        <v>2819</v>
      </c>
    </row>
    <row r="23" spans="1:7" ht="64" customHeight="1">
      <c r="A23" s="43" t="s">
        <v>2329</v>
      </c>
      <c r="B23" s="43" t="s">
        <v>2820</v>
      </c>
      <c r="C23" s="43" t="s">
        <v>2821</v>
      </c>
      <c r="D23" s="43" t="s">
        <v>2822</v>
      </c>
      <c r="E23" s="43" t="s">
        <v>2823</v>
      </c>
      <c r="F23" s="43" t="s">
        <v>2824</v>
      </c>
      <c r="G23" s="43" t="s">
        <v>2825</v>
      </c>
    </row>
    <row r="24" spans="1:7" ht="64" customHeight="1">
      <c r="A24" s="43" t="s">
        <v>2330</v>
      </c>
      <c r="B24" s="43" t="s">
        <v>2826</v>
      </c>
      <c r="C24" s="43" t="s">
        <v>2827</v>
      </c>
      <c r="D24" s="43" t="s">
        <v>2822</v>
      </c>
      <c r="E24" s="43" t="s">
        <v>2828</v>
      </c>
      <c r="F24" s="43" t="s">
        <v>2829</v>
      </c>
      <c r="G24" s="43" t="s">
        <v>2830</v>
      </c>
    </row>
    <row r="25" spans="1:7" ht="64" customHeight="1">
      <c r="A25" s="43" t="s">
        <v>2331</v>
      </c>
      <c r="B25" s="43" t="s">
        <v>2831</v>
      </c>
      <c r="C25" s="43" t="s">
        <v>2832</v>
      </c>
      <c r="D25" s="43" t="s">
        <v>2822</v>
      </c>
      <c r="E25" s="43" t="s">
        <v>2833</v>
      </c>
      <c r="F25" s="43" t="s">
        <v>2834</v>
      </c>
      <c r="G25" s="43" t="s">
        <v>2835</v>
      </c>
    </row>
    <row r="26" spans="1:7" ht="64" customHeight="1">
      <c r="A26" s="44" t="s">
        <v>2332</v>
      </c>
      <c r="B26" s="44" t="s">
        <v>2836</v>
      </c>
      <c r="C26" s="44" t="s">
        <v>2837</v>
      </c>
      <c r="D26" s="44" t="s">
        <v>2838</v>
      </c>
      <c r="E26" s="44" t="s">
        <v>2839</v>
      </c>
      <c r="F26" s="44" t="s">
        <v>2840</v>
      </c>
      <c r="G26" s="44" t="s">
        <v>2841</v>
      </c>
    </row>
  </sheetData>
  <mergeCells count="2">
    <mergeCell ref="A1:G1"/>
    <mergeCell ref="A2:G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28"/>
  <sheetViews>
    <sheetView showGridLines="0" workbookViewId="0"/>
  </sheetViews>
  <sheetFormatPr baseColWidth="10" defaultColWidth="8.83203125" defaultRowHeight="14"/>
  <cols>
    <col min="1" max="1" width="7" customWidth="1"/>
    <col min="2" max="2" width="22" customWidth="1"/>
    <col min="3" max="3" width="48" customWidth="1"/>
    <col min="4" max="4" width="28" customWidth="1"/>
    <col min="5" max="5" width="12" customWidth="1"/>
    <col min="6" max="6" width="32" customWidth="1"/>
    <col min="7" max="7" width="28" customWidth="1"/>
    <col min="8" max="8" width="14" customWidth="1"/>
    <col min="9" max="9" width="48" customWidth="1"/>
    <col min="10" max="10" width="28" customWidth="1"/>
    <col min="11" max="12" width="16" customWidth="1"/>
    <col min="13" max="13" width="20" customWidth="1"/>
    <col min="14" max="14" width="14" customWidth="1"/>
    <col min="15" max="15" width="30" customWidth="1"/>
    <col min="16" max="18" width="34" customWidth="1"/>
    <col min="19" max="19" width="48" customWidth="1"/>
    <col min="20" max="20" width="18" customWidth="1"/>
    <col min="21" max="23" width="14" customWidth="1"/>
  </cols>
  <sheetData>
    <row r="1" spans="1:23" ht="30" customHeight="1">
      <c r="A1" s="93" t="s">
        <v>2842</v>
      </c>
      <c r="B1" s="93" t="s">
        <v>2842</v>
      </c>
      <c r="C1" s="93" t="s">
        <v>2842</v>
      </c>
      <c r="D1" s="93" t="s">
        <v>2842</v>
      </c>
      <c r="E1" s="93" t="s">
        <v>2842</v>
      </c>
      <c r="F1" s="93" t="s">
        <v>2842</v>
      </c>
      <c r="G1" s="93" t="s">
        <v>2842</v>
      </c>
      <c r="H1" s="93" t="s">
        <v>2842</v>
      </c>
      <c r="I1" s="93" t="s">
        <v>2842</v>
      </c>
      <c r="J1" s="93" t="s">
        <v>2842</v>
      </c>
      <c r="K1" s="93" t="s">
        <v>2842</v>
      </c>
      <c r="L1" s="93" t="s">
        <v>2842</v>
      </c>
      <c r="M1" s="93" t="s">
        <v>2842</v>
      </c>
      <c r="N1" s="93" t="s">
        <v>2842</v>
      </c>
      <c r="O1" s="93" t="s">
        <v>2842</v>
      </c>
      <c r="P1" s="93" t="s">
        <v>2842</v>
      </c>
      <c r="Q1" s="93" t="s">
        <v>2842</v>
      </c>
      <c r="R1" s="93" t="s">
        <v>2842</v>
      </c>
      <c r="S1" s="93" t="s">
        <v>2842</v>
      </c>
      <c r="T1" s="93" t="s">
        <v>2842</v>
      </c>
      <c r="U1" s="93" t="s">
        <v>2842</v>
      </c>
      <c r="V1" s="93" t="s">
        <v>2842</v>
      </c>
      <c r="W1" s="93" t="s">
        <v>2842</v>
      </c>
    </row>
    <row r="2" spans="1:23" ht="34" customHeight="1">
      <c r="A2" s="94" t="s">
        <v>2843</v>
      </c>
      <c r="B2" s="94" t="s">
        <v>2843</v>
      </c>
      <c r="C2" s="94" t="s">
        <v>2843</v>
      </c>
      <c r="D2" s="94" t="s">
        <v>2843</v>
      </c>
      <c r="E2" s="94" t="s">
        <v>2843</v>
      </c>
      <c r="F2" s="94" t="s">
        <v>2843</v>
      </c>
      <c r="G2" s="94" t="s">
        <v>2843</v>
      </c>
      <c r="H2" s="94" t="s">
        <v>2843</v>
      </c>
      <c r="I2" s="94" t="s">
        <v>2843</v>
      </c>
      <c r="J2" s="94" t="s">
        <v>2843</v>
      </c>
      <c r="K2" s="94" t="s">
        <v>2843</v>
      </c>
      <c r="L2" s="94" t="s">
        <v>2843</v>
      </c>
      <c r="M2" s="94" t="s">
        <v>2843</v>
      </c>
      <c r="N2" s="94" t="s">
        <v>2843</v>
      </c>
      <c r="O2" s="94" t="s">
        <v>2843</v>
      </c>
      <c r="P2" s="94" t="s">
        <v>2843</v>
      </c>
      <c r="Q2" s="94" t="s">
        <v>2843</v>
      </c>
      <c r="R2" s="94" t="s">
        <v>2843</v>
      </c>
      <c r="S2" s="94" t="s">
        <v>2843</v>
      </c>
      <c r="T2" s="94" t="s">
        <v>2843</v>
      </c>
      <c r="U2" s="94" t="s">
        <v>2843</v>
      </c>
      <c r="V2" s="94" t="s">
        <v>2843</v>
      </c>
      <c r="W2" s="94" t="s">
        <v>2843</v>
      </c>
    </row>
    <row r="4" spans="1:23" ht="42" customHeight="1">
      <c r="A4" s="42" t="s">
        <v>104</v>
      </c>
      <c r="B4" s="42" t="s">
        <v>97</v>
      </c>
      <c r="C4" s="42" t="s">
        <v>98</v>
      </c>
      <c r="D4" s="42" t="s">
        <v>99</v>
      </c>
      <c r="E4" s="42" t="s">
        <v>35</v>
      </c>
      <c r="F4" s="42" t="s">
        <v>2324</v>
      </c>
      <c r="G4" s="42" t="s">
        <v>2844</v>
      </c>
      <c r="H4" s="42" t="s">
        <v>2845</v>
      </c>
      <c r="I4" s="42" t="s">
        <v>2846</v>
      </c>
      <c r="J4" s="42" t="s">
        <v>2847</v>
      </c>
      <c r="K4" s="42" t="s">
        <v>2848</v>
      </c>
      <c r="L4" s="42" t="s">
        <v>2849</v>
      </c>
      <c r="M4" s="42" t="s">
        <v>2850</v>
      </c>
      <c r="N4" s="42" t="s">
        <v>2851</v>
      </c>
      <c r="O4" s="42" t="s">
        <v>2852</v>
      </c>
      <c r="P4" s="42" t="s">
        <v>2853</v>
      </c>
      <c r="Q4" s="42" t="s">
        <v>2854</v>
      </c>
      <c r="R4" s="42" t="s">
        <v>2855</v>
      </c>
      <c r="S4" s="42" t="s">
        <v>2856</v>
      </c>
      <c r="T4" s="42" t="s">
        <v>2334</v>
      </c>
      <c r="U4" s="42" t="s">
        <v>2857</v>
      </c>
      <c r="V4" s="42" t="s">
        <v>2858</v>
      </c>
      <c r="W4" s="42" t="s">
        <v>2859</v>
      </c>
    </row>
    <row r="5" spans="1:23" ht="60" customHeight="1">
      <c r="A5" s="45">
        <v>1</v>
      </c>
      <c r="B5" s="43" t="s">
        <v>120</v>
      </c>
      <c r="C5" s="43" t="s">
        <v>121</v>
      </c>
      <c r="D5" s="43" t="s">
        <v>122</v>
      </c>
      <c r="E5" s="43" t="s">
        <v>48</v>
      </c>
      <c r="F5" s="43" t="s">
        <v>2339</v>
      </c>
      <c r="G5" s="43" t="s">
        <v>2860</v>
      </c>
      <c r="H5" s="45" t="s">
        <v>2803</v>
      </c>
      <c r="I5" s="43" t="s">
        <v>2861</v>
      </c>
      <c r="J5" s="43" t="s">
        <v>2862</v>
      </c>
      <c r="K5" s="43" t="s">
        <v>2863</v>
      </c>
      <c r="L5" s="43" t="s">
        <v>71</v>
      </c>
      <c r="M5" s="43" t="s">
        <v>71</v>
      </c>
      <c r="N5" s="43"/>
      <c r="O5" s="43"/>
      <c r="P5" s="43"/>
      <c r="Q5" s="43"/>
      <c r="R5" s="43"/>
      <c r="S5" s="43"/>
      <c r="T5" s="43"/>
      <c r="U5" s="47"/>
      <c r="V5" s="43" t="s">
        <v>71</v>
      </c>
      <c r="W5" s="43" t="s">
        <v>71</v>
      </c>
    </row>
    <row r="6" spans="1:23" ht="60" customHeight="1">
      <c r="A6" s="45">
        <v>2</v>
      </c>
      <c r="B6" s="43" t="s">
        <v>135</v>
      </c>
      <c r="C6" s="43" t="s">
        <v>136</v>
      </c>
      <c r="D6" s="43" t="s">
        <v>137</v>
      </c>
      <c r="E6" s="43" t="s">
        <v>90</v>
      </c>
      <c r="F6" s="43" t="s">
        <v>2346</v>
      </c>
      <c r="G6" s="43" t="s">
        <v>2860</v>
      </c>
      <c r="H6" s="45" t="s">
        <v>2790</v>
      </c>
      <c r="I6" s="43" t="s">
        <v>2864</v>
      </c>
      <c r="J6" s="43" t="s">
        <v>2865</v>
      </c>
      <c r="K6" s="43" t="s">
        <v>2863</v>
      </c>
      <c r="L6" s="43" t="s">
        <v>71</v>
      </c>
      <c r="M6" s="43" t="s">
        <v>71</v>
      </c>
      <c r="N6" s="43"/>
      <c r="O6" s="43"/>
      <c r="P6" s="43"/>
      <c r="Q6" s="43"/>
      <c r="R6" s="43"/>
      <c r="S6" s="43"/>
      <c r="T6" s="43"/>
      <c r="U6" s="47"/>
      <c r="V6" s="43" t="s">
        <v>71</v>
      </c>
      <c r="W6" s="43" t="s">
        <v>71</v>
      </c>
    </row>
    <row r="7" spans="1:23" ht="60" customHeight="1">
      <c r="A7" s="45">
        <v>3</v>
      </c>
      <c r="B7" s="43" t="s">
        <v>171</v>
      </c>
      <c r="C7" s="43" t="s">
        <v>172</v>
      </c>
      <c r="D7" s="43" t="s">
        <v>173</v>
      </c>
      <c r="E7" s="43" t="s">
        <v>48</v>
      </c>
      <c r="F7" s="43" t="s">
        <v>2355</v>
      </c>
      <c r="G7" s="43" t="s">
        <v>2860</v>
      </c>
      <c r="H7" s="45" t="s">
        <v>2790</v>
      </c>
      <c r="I7" s="43" t="s">
        <v>2866</v>
      </c>
      <c r="J7" s="43" t="s">
        <v>2865</v>
      </c>
      <c r="K7" s="43" t="s">
        <v>2863</v>
      </c>
      <c r="L7" s="43" t="s">
        <v>71</v>
      </c>
      <c r="M7" s="43" t="s">
        <v>71</v>
      </c>
      <c r="N7" s="43"/>
      <c r="O7" s="43"/>
      <c r="P7" s="43"/>
      <c r="Q7" s="43"/>
      <c r="R7" s="43"/>
      <c r="S7" s="43"/>
      <c r="T7" s="43"/>
      <c r="U7" s="47"/>
      <c r="V7" s="43" t="s">
        <v>71</v>
      </c>
      <c r="W7" s="43" t="s">
        <v>71</v>
      </c>
    </row>
    <row r="8" spans="1:23" ht="60" customHeight="1">
      <c r="A8" s="45">
        <v>4</v>
      </c>
      <c r="B8" s="43" t="s">
        <v>186</v>
      </c>
      <c r="C8" s="43" t="s">
        <v>187</v>
      </c>
      <c r="D8" s="43" t="s">
        <v>188</v>
      </c>
      <c r="E8" s="43" t="s">
        <v>55</v>
      </c>
      <c r="F8" s="43" t="s">
        <v>2360</v>
      </c>
      <c r="G8" s="43" t="s">
        <v>2860</v>
      </c>
      <c r="H8" s="45" t="s">
        <v>2803</v>
      </c>
      <c r="I8" s="43" t="s">
        <v>2867</v>
      </c>
      <c r="J8" s="43" t="s">
        <v>2868</v>
      </c>
      <c r="K8" s="43" t="s">
        <v>2863</v>
      </c>
      <c r="L8" s="43" t="s">
        <v>71</v>
      </c>
      <c r="M8" s="43" t="s">
        <v>71</v>
      </c>
      <c r="N8" s="43"/>
      <c r="O8" s="43"/>
      <c r="P8" s="43"/>
      <c r="Q8" s="43"/>
      <c r="R8" s="43"/>
      <c r="S8" s="43"/>
      <c r="T8" s="43"/>
      <c r="U8" s="47"/>
      <c r="V8" s="43" t="s">
        <v>71</v>
      </c>
      <c r="W8" s="43" t="s">
        <v>71</v>
      </c>
    </row>
    <row r="9" spans="1:23" ht="60" customHeight="1">
      <c r="A9" s="45">
        <v>5</v>
      </c>
      <c r="B9" s="43" t="s">
        <v>191</v>
      </c>
      <c r="C9" s="43" t="s">
        <v>192</v>
      </c>
      <c r="D9" s="43" t="s">
        <v>193</v>
      </c>
      <c r="E9" s="43" t="s">
        <v>55</v>
      </c>
      <c r="F9" s="43" t="s">
        <v>2362</v>
      </c>
      <c r="G9" s="43" t="s">
        <v>2860</v>
      </c>
      <c r="H9" s="45" t="s">
        <v>2803</v>
      </c>
      <c r="I9" s="43" t="s">
        <v>2869</v>
      </c>
      <c r="J9" s="43" t="s">
        <v>2870</v>
      </c>
      <c r="K9" s="43" t="s">
        <v>2863</v>
      </c>
      <c r="L9" s="43" t="s">
        <v>71</v>
      </c>
      <c r="M9" s="43" t="s">
        <v>71</v>
      </c>
      <c r="N9" s="43"/>
      <c r="O9" s="43"/>
      <c r="P9" s="43"/>
      <c r="Q9" s="43"/>
      <c r="R9" s="43"/>
      <c r="S9" s="43"/>
      <c r="T9" s="43"/>
      <c r="U9" s="47"/>
      <c r="V9" s="43" t="s">
        <v>71</v>
      </c>
      <c r="W9" s="43" t="s">
        <v>71</v>
      </c>
    </row>
    <row r="10" spans="1:23" ht="60" customHeight="1">
      <c r="A10" s="45">
        <v>6</v>
      </c>
      <c r="B10" s="43" t="s">
        <v>597</v>
      </c>
      <c r="C10" s="43" t="s">
        <v>598</v>
      </c>
      <c r="D10" s="43" t="s">
        <v>599</v>
      </c>
      <c r="E10" s="43" t="s">
        <v>77</v>
      </c>
      <c r="F10" s="43" t="s">
        <v>2476</v>
      </c>
      <c r="G10" s="43" t="s">
        <v>2860</v>
      </c>
      <c r="H10" s="45" t="s">
        <v>2790</v>
      </c>
      <c r="I10" s="43" t="s">
        <v>2871</v>
      </c>
      <c r="J10" s="43" t="s">
        <v>2872</v>
      </c>
      <c r="K10" s="43" t="s">
        <v>2863</v>
      </c>
      <c r="L10" s="43" t="s">
        <v>71</v>
      </c>
      <c r="M10" s="43" t="s">
        <v>71</v>
      </c>
      <c r="N10" s="43"/>
      <c r="O10" s="43"/>
      <c r="P10" s="43"/>
      <c r="Q10" s="43"/>
      <c r="R10" s="43"/>
      <c r="S10" s="43"/>
      <c r="T10" s="43"/>
      <c r="U10" s="47"/>
      <c r="V10" s="43" t="s">
        <v>71</v>
      </c>
      <c r="W10" s="43" t="s">
        <v>71</v>
      </c>
    </row>
    <row r="11" spans="1:23" ht="60" customHeight="1">
      <c r="A11" s="45">
        <v>7</v>
      </c>
      <c r="B11" s="43" t="s">
        <v>148</v>
      </c>
      <c r="C11" s="43" t="s">
        <v>149</v>
      </c>
      <c r="D11" s="43" t="s">
        <v>150</v>
      </c>
      <c r="E11" s="43" t="s">
        <v>48</v>
      </c>
      <c r="F11" s="43" t="s">
        <v>2350</v>
      </c>
      <c r="G11" s="43" t="s">
        <v>2873</v>
      </c>
      <c r="H11" s="45" t="s">
        <v>2797</v>
      </c>
      <c r="I11" s="43" t="s">
        <v>2874</v>
      </c>
      <c r="J11" s="43" t="s">
        <v>2875</v>
      </c>
      <c r="K11" s="43" t="s">
        <v>2863</v>
      </c>
      <c r="L11" s="43" t="s">
        <v>71</v>
      </c>
      <c r="M11" s="43" t="s">
        <v>71</v>
      </c>
      <c r="N11" s="43"/>
      <c r="O11" s="43"/>
      <c r="P11" s="43"/>
      <c r="Q11" s="43"/>
      <c r="R11" s="43"/>
      <c r="S11" s="43"/>
      <c r="T11" s="43"/>
      <c r="U11" s="47"/>
      <c r="V11" s="43" t="s">
        <v>71</v>
      </c>
      <c r="W11" s="43" t="s">
        <v>71</v>
      </c>
    </row>
    <row r="12" spans="1:23" ht="60" customHeight="1">
      <c r="A12" s="45">
        <v>8</v>
      </c>
      <c r="B12" s="43" t="s">
        <v>245</v>
      </c>
      <c r="C12" s="43" t="s">
        <v>246</v>
      </c>
      <c r="D12" s="43" t="s">
        <v>247</v>
      </c>
      <c r="E12" s="43" t="s">
        <v>86</v>
      </c>
      <c r="F12" s="43" t="s">
        <v>2376</v>
      </c>
      <c r="G12" s="43" t="s">
        <v>2873</v>
      </c>
      <c r="H12" s="45" t="s">
        <v>2797</v>
      </c>
      <c r="I12" s="43" t="s">
        <v>2876</v>
      </c>
      <c r="J12" s="43" t="s">
        <v>2875</v>
      </c>
      <c r="K12" s="43" t="s">
        <v>2863</v>
      </c>
      <c r="L12" s="43" t="s">
        <v>71</v>
      </c>
      <c r="M12" s="43" t="s">
        <v>71</v>
      </c>
      <c r="N12" s="43"/>
      <c r="O12" s="43"/>
      <c r="P12" s="43"/>
      <c r="Q12" s="43"/>
      <c r="R12" s="43"/>
      <c r="S12" s="43"/>
      <c r="T12" s="43"/>
      <c r="U12" s="47"/>
      <c r="V12" s="43" t="s">
        <v>71</v>
      </c>
      <c r="W12" s="43" t="s">
        <v>71</v>
      </c>
    </row>
    <row r="13" spans="1:23" ht="60" customHeight="1">
      <c r="A13" s="45">
        <v>9</v>
      </c>
      <c r="B13" s="43" t="s">
        <v>297</v>
      </c>
      <c r="C13" s="43" t="s">
        <v>298</v>
      </c>
      <c r="D13" s="43" t="s">
        <v>299</v>
      </c>
      <c r="E13" s="43" t="s">
        <v>75</v>
      </c>
      <c r="F13" s="43" t="s">
        <v>2390</v>
      </c>
      <c r="G13" s="43" t="s">
        <v>2873</v>
      </c>
      <c r="H13" s="45" t="s">
        <v>2797</v>
      </c>
      <c r="I13" s="43" t="s">
        <v>2877</v>
      </c>
      <c r="J13" s="43" t="s">
        <v>2878</v>
      </c>
      <c r="K13" s="43" t="s">
        <v>2863</v>
      </c>
      <c r="L13" s="43" t="s">
        <v>71</v>
      </c>
      <c r="M13" s="43" t="s">
        <v>71</v>
      </c>
      <c r="N13" s="43"/>
      <c r="O13" s="43"/>
      <c r="P13" s="43"/>
      <c r="Q13" s="43"/>
      <c r="R13" s="43"/>
      <c r="S13" s="43"/>
      <c r="T13" s="43"/>
      <c r="U13" s="47"/>
      <c r="V13" s="43" t="s">
        <v>71</v>
      </c>
      <c r="W13" s="43" t="s">
        <v>71</v>
      </c>
    </row>
    <row r="14" spans="1:23" ht="60" customHeight="1">
      <c r="A14" s="45">
        <v>10</v>
      </c>
      <c r="B14" s="43" t="s">
        <v>317</v>
      </c>
      <c r="C14" s="43" t="s">
        <v>318</v>
      </c>
      <c r="D14" s="43" t="s">
        <v>319</v>
      </c>
      <c r="E14" s="43" t="s">
        <v>81</v>
      </c>
      <c r="F14" s="43" t="s">
        <v>2394</v>
      </c>
      <c r="G14" s="43" t="s">
        <v>2873</v>
      </c>
      <c r="H14" s="45" t="s">
        <v>2797</v>
      </c>
      <c r="I14" s="43" t="s">
        <v>2879</v>
      </c>
      <c r="J14" s="43" t="s">
        <v>2875</v>
      </c>
      <c r="K14" s="43" t="s">
        <v>2863</v>
      </c>
      <c r="L14" s="43" t="s">
        <v>71</v>
      </c>
      <c r="M14" s="43" t="s">
        <v>71</v>
      </c>
      <c r="N14" s="43"/>
      <c r="O14" s="43"/>
      <c r="P14" s="43"/>
      <c r="Q14" s="43"/>
      <c r="R14" s="43"/>
      <c r="S14" s="43"/>
      <c r="T14" s="43"/>
      <c r="U14" s="47"/>
      <c r="V14" s="43" t="s">
        <v>71</v>
      </c>
      <c r="W14" s="43" t="s">
        <v>71</v>
      </c>
    </row>
    <row r="15" spans="1:23" ht="60" customHeight="1">
      <c r="A15" s="45">
        <v>11</v>
      </c>
      <c r="B15" s="43" t="s">
        <v>642</v>
      </c>
      <c r="C15" s="43" t="s">
        <v>643</v>
      </c>
      <c r="D15" s="43" t="s">
        <v>644</v>
      </c>
      <c r="E15" s="43" t="s">
        <v>61</v>
      </c>
      <c r="F15" s="43" t="s">
        <v>2492</v>
      </c>
      <c r="G15" s="43" t="s">
        <v>2873</v>
      </c>
      <c r="H15" s="45" t="s">
        <v>2797</v>
      </c>
      <c r="I15" s="43" t="s">
        <v>2880</v>
      </c>
      <c r="J15" s="43" t="s">
        <v>2875</v>
      </c>
      <c r="K15" s="43" t="s">
        <v>2863</v>
      </c>
      <c r="L15" s="43" t="s">
        <v>71</v>
      </c>
      <c r="M15" s="43" t="s">
        <v>71</v>
      </c>
      <c r="N15" s="43"/>
      <c r="O15" s="43"/>
      <c r="P15" s="43"/>
      <c r="Q15" s="43"/>
      <c r="R15" s="43"/>
      <c r="S15" s="43"/>
      <c r="T15" s="43"/>
      <c r="U15" s="47"/>
      <c r="V15" s="43" t="s">
        <v>71</v>
      </c>
      <c r="W15" s="43" t="s">
        <v>71</v>
      </c>
    </row>
    <row r="16" spans="1:23" ht="60" customHeight="1">
      <c r="A16" s="45">
        <v>12</v>
      </c>
      <c r="B16" s="43" t="s">
        <v>617</v>
      </c>
      <c r="C16" s="43" t="s">
        <v>618</v>
      </c>
      <c r="D16" s="43" t="s">
        <v>619</v>
      </c>
      <c r="E16" s="43" t="s">
        <v>75</v>
      </c>
      <c r="F16" s="43" t="s">
        <v>2482</v>
      </c>
      <c r="G16" s="43" t="s">
        <v>2873</v>
      </c>
      <c r="H16" s="45" t="s">
        <v>2797</v>
      </c>
      <c r="I16" s="43" t="s">
        <v>2881</v>
      </c>
      <c r="J16" s="43" t="s">
        <v>2882</v>
      </c>
      <c r="K16" s="43" t="s">
        <v>2863</v>
      </c>
      <c r="L16" s="43" t="s">
        <v>71</v>
      </c>
      <c r="M16" s="43" t="s">
        <v>71</v>
      </c>
      <c r="N16" s="43"/>
      <c r="O16" s="43"/>
      <c r="P16" s="43"/>
      <c r="Q16" s="43"/>
      <c r="R16" s="43"/>
      <c r="S16" s="43"/>
      <c r="T16" s="43"/>
      <c r="U16" s="47"/>
      <c r="V16" s="43" t="s">
        <v>71</v>
      </c>
      <c r="W16" s="43" t="s">
        <v>71</v>
      </c>
    </row>
    <row r="17" spans="1:23" ht="60" customHeight="1">
      <c r="A17" s="45">
        <v>13</v>
      </c>
      <c r="B17" s="43" t="s">
        <v>202</v>
      </c>
      <c r="C17" s="43" t="s">
        <v>203</v>
      </c>
      <c r="D17" s="43" t="s">
        <v>204</v>
      </c>
      <c r="E17" s="43" t="s">
        <v>55</v>
      </c>
      <c r="F17" s="43" t="s">
        <v>2364</v>
      </c>
      <c r="G17" s="43" t="s">
        <v>2883</v>
      </c>
      <c r="H17" s="45" t="s">
        <v>2803</v>
      </c>
      <c r="I17" s="43" t="s">
        <v>2884</v>
      </c>
      <c r="J17" s="43" t="s">
        <v>2885</v>
      </c>
      <c r="K17" s="43" t="s">
        <v>2863</v>
      </c>
      <c r="L17" s="43" t="s">
        <v>71</v>
      </c>
      <c r="M17" s="43" t="s">
        <v>71</v>
      </c>
      <c r="N17" s="43"/>
      <c r="O17" s="43"/>
      <c r="P17" s="43"/>
      <c r="Q17" s="43"/>
      <c r="R17" s="43"/>
      <c r="S17" s="43"/>
      <c r="T17" s="43"/>
      <c r="U17" s="47"/>
      <c r="V17" s="43" t="s">
        <v>71</v>
      </c>
      <c r="W17" s="43" t="s">
        <v>71</v>
      </c>
    </row>
    <row r="18" spans="1:23" ht="60" customHeight="1">
      <c r="A18" s="45">
        <v>14</v>
      </c>
      <c r="B18" s="43" t="s">
        <v>270</v>
      </c>
      <c r="C18" s="43" t="s">
        <v>271</v>
      </c>
      <c r="D18" s="43" t="s">
        <v>272</v>
      </c>
      <c r="E18" s="43" t="s">
        <v>69</v>
      </c>
      <c r="F18" s="43" t="s">
        <v>2386</v>
      </c>
      <c r="G18" s="43" t="s">
        <v>2883</v>
      </c>
      <c r="H18" s="45" t="s">
        <v>2803</v>
      </c>
      <c r="I18" s="43" t="s">
        <v>2886</v>
      </c>
      <c r="J18" s="43" t="s">
        <v>2875</v>
      </c>
      <c r="K18" s="43" t="s">
        <v>2863</v>
      </c>
      <c r="L18" s="43" t="s">
        <v>71</v>
      </c>
      <c r="M18" s="43" t="s">
        <v>71</v>
      </c>
      <c r="N18" s="43"/>
      <c r="O18" s="43"/>
      <c r="P18" s="43"/>
      <c r="Q18" s="43"/>
      <c r="R18" s="43"/>
      <c r="S18" s="43"/>
      <c r="T18" s="43"/>
      <c r="U18" s="47"/>
      <c r="V18" s="43" t="s">
        <v>71</v>
      </c>
      <c r="W18" s="43" t="s">
        <v>71</v>
      </c>
    </row>
    <row r="19" spans="1:23" ht="60" customHeight="1">
      <c r="A19" s="45">
        <v>15</v>
      </c>
      <c r="B19" s="43" t="s">
        <v>481</v>
      </c>
      <c r="C19" s="43" t="s">
        <v>482</v>
      </c>
      <c r="D19" s="43" t="s">
        <v>483</v>
      </c>
      <c r="E19" s="43" t="s">
        <v>72</v>
      </c>
      <c r="F19" s="43" t="s">
        <v>2446</v>
      </c>
      <c r="G19" s="43" t="s">
        <v>2883</v>
      </c>
      <c r="H19" s="45" t="s">
        <v>2803</v>
      </c>
      <c r="I19" s="43" t="s">
        <v>2887</v>
      </c>
      <c r="J19" s="43" t="s">
        <v>2888</v>
      </c>
      <c r="K19" s="43" t="s">
        <v>2863</v>
      </c>
      <c r="L19" s="43" t="s">
        <v>71</v>
      </c>
      <c r="M19" s="43" t="s">
        <v>71</v>
      </c>
      <c r="N19" s="43"/>
      <c r="O19" s="43"/>
      <c r="P19" s="43"/>
      <c r="Q19" s="43"/>
      <c r="R19" s="43"/>
      <c r="S19" s="43"/>
      <c r="T19" s="43"/>
      <c r="U19" s="47"/>
      <c r="V19" s="43" t="s">
        <v>71</v>
      </c>
      <c r="W19" s="43" t="s">
        <v>71</v>
      </c>
    </row>
    <row r="20" spans="1:23" ht="60" customHeight="1">
      <c r="A20" s="45">
        <v>16</v>
      </c>
      <c r="B20" s="43" t="s">
        <v>498</v>
      </c>
      <c r="C20" s="43" t="s">
        <v>499</v>
      </c>
      <c r="D20" s="43" t="s">
        <v>500</v>
      </c>
      <c r="E20" s="43" t="s">
        <v>77</v>
      </c>
      <c r="F20" s="43" t="s">
        <v>2454</v>
      </c>
      <c r="G20" s="43" t="s">
        <v>2883</v>
      </c>
      <c r="H20" s="45" t="s">
        <v>2803</v>
      </c>
      <c r="I20" s="43" t="s">
        <v>2889</v>
      </c>
      <c r="J20" s="43" t="s">
        <v>2875</v>
      </c>
      <c r="K20" s="43" t="s">
        <v>2863</v>
      </c>
      <c r="L20" s="43" t="s">
        <v>71</v>
      </c>
      <c r="M20" s="43" t="s">
        <v>71</v>
      </c>
      <c r="N20" s="43"/>
      <c r="O20" s="43"/>
      <c r="P20" s="43"/>
      <c r="Q20" s="43"/>
      <c r="R20" s="43"/>
      <c r="S20" s="43"/>
      <c r="T20" s="43"/>
      <c r="U20" s="47"/>
      <c r="V20" s="43" t="s">
        <v>71</v>
      </c>
      <c r="W20" s="43" t="s">
        <v>71</v>
      </c>
    </row>
    <row r="21" spans="1:23" ht="60" customHeight="1">
      <c r="A21" s="45">
        <v>17</v>
      </c>
      <c r="B21" s="43" t="s">
        <v>768</v>
      </c>
      <c r="C21" s="43" t="s">
        <v>769</v>
      </c>
      <c r="D21" s="43" t="s">
        <v>770</v>
      </c>
      <c r="E21" s="43" t="s">
        <v>88</v>
      </c>
      <c r="F21" s="43" t="s">
        <v>2522</v>
      </c>
      <c r="G21" s="43" t="s">
        <v>2883</v>
      </c>
      <c r="H21" s="45" t="s">
        <v>2803</v>
      </c>
      <c r="I21" s="43" t="s">
        <v>2890</v>
      </c>
      <c r="J21" s="43" t="s">
        <v>2878</v>
      </c>
      <c r="K21" s="43" t="s">
        <v>2863</v>
      </c>
      <c r="L21" s="43" t="s">
        <v>71</v>
      </c>
      <c r="M21" s="43" t="s">
        <v>71</v>
      </c>
      <c r="N21" s="43"/>
      <c r="O21" s="43"/>
      <c r="P21" s="43"/>
      <c r="Q21" s="43"/>
      <c r="R21" s="43"/>
      <c r="S21" s="43"/>
      <c r="T21" s="43"/>
      <c r="U21" s="47"/>
      <c r="V21" s="43" t="s">
        <v>71</v>
      </c>
      <c r="W21" s="43" t="s">
        <v>71</v>
      </c>
    </row>
    <row r="22" spans="1:23" ht="60" customHeight="1">
      <c r="A22" s="45">
        <v>18</v>
      </c>
      <c r="B22" s="43" t="s">
        <v>777</v>
      </c>
      <c r="C22" s="43" t="s">
        <v>778</v>
      </c>
      <c r="D22" s="43" t="s">
        <v>779</v>
      </c>
      <c r="E22" s="43" t="s">
        <v>90</v>
      </c>
      <c r="F22" s="43" t="s">
        <v>2525</v>
      </c>
      <c r="G22" s="43" t="s">
        <v>2883</v>
      </c>
      <c r="H22" s="45" t="s">
        <v>2803</v>
      </c>
      <c r="I22" s="43" t="s">
        <v>2891</v>
      </c>
      <c r="J22" s="43" t="s">
        <v>2875</v>
      </c>
      <c r="K22" s="43" t="s">
        <v>2863</v>
      </c>
      <c r="L22" s="43" t="s">
        <v>71</v>
      </c>
      <c r="M22" s="43" t="s">
        <v>71</v>
      </c>
      <c r="N22" s="43"/>
      <c r="O22" s="43"/>
      <c r="P22" s="43"/>
      <c r="Q22" s="43"/>
      <c r="R22" s="43"/>
      <c r="S22" s="43"/>
      <c r="T22" s="43"/>
      <c r="U22" s="47"/>
      <c r="V22" s="43" t="s">
        <v>71</v>
      </c>
      <c r="W22" s="43" t="s">
        <v>71</v>
      </c>
    </row>
    <row r="23" spans="1:23" ht="60" customHeight="1">
      <c r="A23" s="45">
        <v>19</v>
      </c>
      <c r="B23" s="43" t="s">
        <v>179</v>
      </c>
      <c r="C23" s="43" t="s">
        <v>180</v>
      </c>
      <c r="D23" s="43" t="s">
        <v>181</v>
      </c>
      <c r="E23" s="43" t="s">
        <v>55</v>
      </c>
      <c r="F23" s="43" t="s">
        <v>2358</v>
      </c>
      <c r="G23" s="43" t="s">
        <v>2892</v>
      </c>
      <c r="H23" s="45" t="s">
        <v>2803</v>
      </c>
      <c r="I23" s="43" t="s">
        <v>2893</v>
      </c>
      <c r="J23" s="43" t="s">
        <v>2894</v>
      </c>
      <c r="K23" s="43" t="s">
        <v>2863</v>
      </c>
      <c r="L23" s="43" t="s">
        <v>71</v>
      </c>
      <c r="M23" s="43" t="s">
        <v>71</v>
      </c>
      <c r="N23" s="43"/>
      <c r="O23" s="43"/>
      <c r="P23" s="43"/>
      <c r="Q23" s="43"/>
      <c r="R23" s="43"/>
      <c r="S23" s="43"/>
      <c r="T23" s="43"/>
      <c r="U23" s="47"/>
      <c r="V23" s="43" t="s">
        <v>71</v>
      </c>
      <c r="W23" s="43" t="s">
        <v>71</v>
      </c>
    </row>
    <row r="24" spans="1:23" ht="60" customHeight="1">
      <c r="A24" s="45">
        <v>20</v>
      </c>
      <c r="B24" s="43" t="s">
        <v>458</v>
      </c>
      <c r="C24" s="43" t="s">
        <v>459</v>
      </c>
      <c r="D24" s="43" t="s">
        <v>460</v>
      </c>
      <c r="E24" s="43" t="s">
        <v>55</v>
      </c>
      <c r="F24" s="43" t="s">
        <v>2358</v>
      </c>
      <c r="G24" s="43" t="s">
        <v>2892</v>
      </c>
      <c r="H24" s="45" t="s">
        <v>2803</v>
      </c>
      <c r="I24" s="43" t="s">
        <v>2895</v>
      </c>
      <c r="J24" s="43" t="s">
        <v>2896</v>
      </c>
      <c r="K24" s="43" t="s">
        <v>2863</v>
      </c>
      <c r="L24" s="43" t="s">
        <v>71</v>
      </c>
      <c r="M24" s="43" t="s">
        <v>71</v>
      </c>
      <c r="N24" s="43"/>
      <c r="O24" s="43"/>
      <c r="P24" s="43"/>
      <c r="Q24" s="43"/>
      <c r="R24" s="43"/>
      <c r="S24" s="43"/>
      <c r="T24" s="43"/>
      <c r="U24" s="47"/>
      <c r="V24" s="43" t="s">
        <v>71</v>
      </c>
      <c r="W24" s="43" t="s">
        <v>71</v>
      </c>
    </row>
    <row r="25" spans="1:23" ht="60" customHeight="1">
      <c r="A25" s="45">
        <v>21</v>
      </c>
      <c r="B25" s="43" t="s">
        <v>287</v>
      </c>
      <c r="C25" s="43" t="s">
        <v>288</v>
      </c>
      <c r="D25" s="43" t="s">
        <v>289</v>
      </c>
      <c r="E25" s="43" t="s">
        <v>48</v>
      </c>
      <c r="F25" s="43" t="s">
        <v>2339</v>
      </c>
      <c r="G25" s="43" t="s">
        <v>2892</v>
      </c>
      <c r="H25" s="45" t="s">
        <v>2803</v>
      </c>
      <c r="I25" s="43" t="s">
        <v>2897</v>
      </c>
      <c r="J25" s="43" t="s">
        <v>2898</v>
      </c>
      <c r="K25" s="43" t="s">
        <v>2863</v>
      </c>
      <c r="L25" s="43" t="s">
        <v>71</v>
      </c>
      <c r="M25" s="43" t="s">
        <v>71</v>
      </c>
      <c r="N25" s="43"/>
      <c r="O25" s="43"/>
      <c r="P25" s="43"/>
      <c r="Q25" s="43"/>
      <c r="R25" s="43"/>
      <c r="S25" s="43"/>
      <c r="T25" s="43"/>
      <c r="U25" s="47"/>
      <c r="V25" s="43" t="s">
        <v>71</v>
      </c>
      <c r="W25" s="43" t="s">
        <v>71</v>
      </c>
    </row>
    <row r="26" spans="1:23" ht="60" customHeight="1">
      <c r="A26" s="45">
        <v>22</v>
      </c>
      <c r="B26" s="43" t="s">
        <v>855</v>
      </c>
      <c r="C26" s="43" t="s">
        <v>288</v>
      </c>
      <c r="D26" s="43" t="s">
        <v>856</v>
      </c>
      <c r="E26" s="43" t="s">
        <v>48</v>
      </c>
      <c r="F26" s="43" t="s">
        <v>2339</v>
      </c>
      <c r="G26" s="43" t="s">
        <v>2892</v>
      </c>
      <c r="H26" s="45" t="s">
        <v>2803</v>
      </c>
      <c r="I26" s="43" t="s">
        <v>2897</v>
      </c>
      <c r="J26" s="43" t="s">
        <v>2898</v>
      </c>
      <c r="K26" s="43" t="s">
        <v>2863</v>
      </c>
      <c r="L26" s="43" t="s">
        <v>71</v>
      </c>
      <c r="M26" s="43" t="s">
        <v>71</v>
      </c>
      <c r="N26" s="43"/>
      <c r="O26" s="43"/>
      <c r="P26" s="43"/>
      <c r="Q26" s="43"/>
      <c r="R26" s="43"/>
      <c r="S26" s="43"/>
      <c r="T26" s="43"/>
      <c r="U26" s="47"/>
      <c r="V26" s="43" t="s">
        <v>71</v>
      </c>
      <c r="W26" s="43" t="s">
        <v>71</v>
      </c>
    </row>
    <row r="27" spans="1:23" ht="60" customHeight="1">
      <c r="A27" s="45">
        <v>23</v>
      </c>
      <c r="B27" s="43" t="s">
        <v>210</v>
      </c>
      <c r="C27" s="43" t="s">
        <v>211</v>
      </c>
      <c r="D27" s="43" t="s">
        <v>212</v>
      </c>
      <c r="E27" s="43" t="s">
        <v>48</v>
      </c>
      <c r="F27" s="43" t="s">
        <v>2355</v>
      </c>
      <c r="G27" s="43" t="s">
        <v>2892</v>
      </c>
      <c r="H27" s="45" t="s">
        <v>2803</v>
      </c>
      <c r="I27" s="43" t="s">
        <v>2899</v>
      </c>
      <c r="J27" s="43" t="s">
        <v>2900</v>
      </c>
      <c r="K27" s="43" t="s">
        <v>2863</v>
      </c>
      <c r="L27" s="43" t="s">
        <v>71</v>
      </c>
      <c r="M27" s="43" t="s">
        <v>71</v>
      </c>
      <c r="N27" s="43"/>
      <c r="O27" s="43"/>
      <c r="P27" s="43"/>
      <c r="Q27" s="43"/>
      <c r="R27" s="43"/>
      <c r="S27" s="43"/>
      <c r="T27" s="43"/>
      <c r="U27" s="47"/>
      <c r="V27" s="43" t="s">
        <v>71</v>
      </c>
      <c r="W27" s="43" t="s">
        <v>71</v>
      </c>
    </row>
    <row r="28" spans="1:23" ht="60" customHeight="1">
      <c r="A28" s="46">
        <v>24</v>
      </c>
      <c r="B28" s="44" t="s">
        <v>747</v>
      </c>
      <c r="C28" s="44" t="s">
        <v>748</v>
      </c>
      <c r="D28" s="44" t="s">
        <v>749</v>
      </c>
      <c r="E28" s="44" t="s">
        <v>90</v>
      </c>
      <c r="F28" s="44" t="s">
        <v>2355</v>
      </c>
      <c r="G28" s="44" t="s">
        <v>2892</v>
      </c>
      <c r="H28" s="46" t="s">
        <v>2803</v>
      </c>
      <c r="I28" s="44" t="s">
        <v>2901</v>
      </c>
      <c r="J28" s="44" t="s">
        <v>2902</v>
      </c>
      <c r="K28" s="44" t="s">
        <v>2863</v>
      </c>
      <c r="L28" s="44" t="s">
        <v>71</v>
      </c>
      <c r="M28" s="44" t="s">
        <v>71</v>
      </c>
      <c r="N28" s="44"/>
      <c r="O28" s="44"/>
      <c r="P28" s="44"/>
      <c r="Q28" s="44"/>
      <c r="R28" s="44"/>
      <c r="S28" s="44"/>
      <c r="T28" s="44"/>
      <c r="U28" s="48"/>
      <c r="V28" s="44" t="s">
        <v>71</v>
      </c>
      <c r="W28" s="44" t="s">
        <v>71</v>
      </c>
    </row>
  </sheetData>
  <mergeCells count="2">
    <mergeCell ref="A1:W1"/>
    <mergeCell ref="A2:W2"/>
  </mergeCells>
  <conditionalFormatting sqref="H5:H28">
    <cfRule type="containsText" dxfId="7" priority="1" operator="containsText" text="C"/>
    <cfRule type="containsText" dxfId="6" priority="2" operator="containsText" text="B"/>
    <cfRule type="containsText" dxfId="5" priority="3" operator="containsText" text="A"/>
  </conditionalFormatting>
  <dataValidations count="3">
    <dataValidation type="list" sqref="N5:N28" xr:uid="{00000000-0002-0000-1100-000000000000}">
      <formula1>"A,B,C"</formula1>
    </dataValidation>
    <dataValidation type="list" sqref="V5:V28" xr:uid="{00000000-0002-0000-1100-000001000000}">
      <formula1>"pendiente,pasa,falla"</formula1>
    </dataValidation>
    <dataValidation type="list" sqref="W5:W28" xr:uid="{00000000-0002-0000-1100-000002000000}">
      <formula1>"pendiente,aprobada,observada"</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S241"/>
  <sheetViews>
    <sheetView showGridLines="0" workbookViewId="0"/>
  </sheetViews>
  <sheetFormatPr baseColWidth="10" defaultColWidth="8.83203125" defaultRowHeight="14"/>
  <cols>
    <col min="1" max="1" width="7" customWidth="1"/>
    <col min="2" max="2" width="20" customWidth="1"/>
    <col min="3" max="3" width="46" customWidth="1"/>
    <col min="4" max="4" width="28" customWidth="1"/>
    <col min="5" max="5" width="11" customWidth="1"/>
    <col min="6" max="6" width="30" customWidth="1"/>
    <col min="7" max="7" width="38" customWidth="1"/>
    <col min="8" max="8" width="14" customWidth="1"/>
    <col min="9" max="9" width="12" customWidth="1"/>
    <col min="10" max="11" width="34" customWidth="1"/>
    <col min="12" max="12" width="22" customWidth="1"/>
    <col min="13" max="15" width="28" customWidth="1"/>
    <col min="16" max="16" width="44" customWidth="1"/>
    <col min="17" max="17" width="22" customWidth="1"/>
    <col min="18" max="18" width="28" customWidth="1"/>
    <col min="19" max="19" width="12" customWidth="1"/>
    <col min="20" max="20" width="34" customWidth="1"/>
    <col min="21" max="21" width="22" customWidth="1"/>
    <col min="22" max="24" width="28" customWidth="1"/>
    <col min="25" max="25" width="44" customWidth="1"/>
    <col min="26" max="26" width="22" customWidth="1"/>
    <col min="27" max="27" width="28" customWidth="1"/>
    <col min="28" max="28" width="12" customWidth="1"/>
    <col min="29" max="30" width="16" customWidth="1"/>
    <col min="31" max="31" width="18" customWidth="1"/>
    <col min="32" max="32" width="16" customWidth="1"/>
    <col min="33" max="33" width="20" customWidth="1"/>
    <col min="34" max="34" width="28" customWidth="1"/>
    <col min="35" max="35" width="14" customWidth="1"/>
    <col min="36" max="36" width="16" customWidth="1"/>
    <col min="37" max="37" width="14" customWidth="1"/>
    <col min="38" max="38" width="18" customWidth="1"/>
    <col min="39" max="39" width="38" customWidth="1"/>
    <col min="40" max="40" width="18" customWidth="1"/>
    <col min="41" max="41" width="14" customWidth="1"/>
    <col min="42" max="42" width="12" customWidth="1"/>
    <col min="43" max="43" width="14" customWidth="1"/>
    <col min="44" max="44" width="16" customWidth="1"/>
    <col min="45" max="45" width="40" customWidth="1"/>
  </cols>
  <sheetData>
    <row r="1" spans="1:45" ht="30" customHeight="1">
      <c r="A1" s="93" t="s">
        <v>2903</v>
      </c>
      <c r="B1" s="93" t="s">
        <v>2903</v>
      </c>
      <c r="C1" s="93" t="s">
        <v>2903</v>
      </c>
      <c r="D1" s="93" t="s">
        <v>2903</v>
      </c>
      <c r="E1" s="93" t="s">
        <v>2903</v>
      </c>
      <c r="F1" s="93" t="s">
        <v>2903</v>
      </c>
      <c r="G1" s="93" t="s">
        <v>2903</v>
      </c>
      <c r="H1" s="93" t="s">
        <v>2903</v>
      </c>
      <c r="I1" s="93" t="s">
        <v>2903</v>
      </c>
      <c r="J1" s="93" t="s">
        <v>2903</v>
      </c>
      <c r="K1" s="93" t="s">
        <v>2903</v>
      </c>
      <c r="L1" s="93" t="s">
        <v>2903</v>
      </c>
      <c r="M1" s="93" t="s">
        <v>2903</v>
      </c>
      <c r="N1" s="93" t="s">
        <v>2903</v>
      </c>
      <c r="O1" s="93" t="s">
        <v>2903</v>
      </c>
      <c r="P1" s="93" t="s">
        <v>2903</v>
      </c>
      <c r="Q1" s="93" t="s">
        <v>2903</v>
      </c>
      <c r="R1" s="93" t="s">
        <v>2903</v>
      </c>
      <c r="S1" s="93" t="s">
        <v>2903</v>
      </c>
      <c r="T1" s="93" t="s">
        <v>2903</v>
      </c>
      <c r="U1" s="93" t="s">
        <v>2903</v>
      </c>
      <c r="V1" s="93" t="s">
        <v>2903</v>
      </c>
      <c r="W1" s="93" t="s">
        <v>2903</v>
      </c>
      <c r="X1" s="93" t="s">
        <v>2903</v>
      </c>
      <c r="Y1" s="93" t="s">
        <v>2903</v>
      </c>
      <c r="Z1" s="93" t="s">
        <v>2903</v>
      </c>
      <c r="AA1" s="93" t="s">
        <v>2903</v>
      </c>
      <c r="AB1" s="93" t="s">
        <v>2903</v>
      </c>
      <c r="AC1" s="93" t="s">
        <v>2903</v>
      </c>
      <c r="AD1" s="93" t="s">
        <v>2903</v>
      </c>
      <c r="AE1" s="93" t="s">
        <v>2903</v>
      </c>
      <c r="AF1" s="93" t="s">
        <v>2903</v>
      </c>
      <c r="AG1" s="93" t="s">
        <v>2903</v>
      </c>
      <c r="AH1" s="93" t="s">
        <v>2903</v>
      </c>
      <c r="AI1" s="93" t="s">
        <v>2903</v>
      </c>
      <c r="AJ1" s="93" t="s">
        <v>2903</v>
      </c>
      <c r="AK1" s="93" t="s">
        <v>2903</v>
      </c>
      <c r="AL1" s="93" t="s">
        <v>2903</v>
      </c>
      <c r="AM1" s="93" t="s">
        <v>2903</v>
      </c>
      <c r="AN1" s="93" t="s">
        <v>2903</v>
      </c>
      <c r="AO1" s="93" t="s">
        <v>2903</v>
      </c>
      <c r="AP1" s="93" t="s">
        <v>2903</v>
      </c>
      <c r="AQ1" s="93" t="s">
        <v>2903</v>
      </c>
      <c r="AR1" s="93" t="s">
        <v>2903</v>
      </c>
      <c r="AS1" s="93" t="s">
        <v>2903</v>
      </c>
    </row>
    <row r="2" spans="1:45" ht="34" customHeight="1">
      <c r="A2" s="94" t="s">
        <v>2904</v>
      </c>
      <c r="B2" s="94" t="s">
        <v>2904</v>
      </c>
      <c r="C2" s="94" t="s">
        <v>2904</v>
      </c>
      <c r="D2" s="94" t="s">
        <v>2904</v>
      </c>
      <c r="E2" s="94" t="s">
        <v>2904</v>
      </c>
      <c r="F2" s="94" t="s">
        <v>2904</v>
      </c>
      <c r="G2" s="94" t="s">
        <v>2904</v>
      </c>
      <c r="H2" s="94" t="s">
        <v>2904</v>
      </c>
      <c r="I2" s="94" t="s">
        <v>2904</v>
      </c>
      <c r="J2" s="94" t="s">
        <v>2904</v>
      </c>
      <c r="K2" s="94" t="s">
        <v>2904</v>
      </c>
      <c r="L2" s="94" t="s">
        <v>2904</v>
      </c>
      <c r="M2" s="94" t="s">
        <v>2904</v>
      </c>
      <c r="N2" s="94" t="s">
        <v>2904</v>
      </c>
      <c r="O2" s="94" t="s">
        <v>2904</v>
      </c>
      <c r="P2" s="94" t="s">
        <v>2904</v>
      </c>
      <c r="Q2" s="94" t="s">
        <v>2904</v>
      </c>
      <c r="R2" s="94" t="s">
        <v>2904</v>
      </c>
      <c r="S2" s="94" t="s">
        <v>2904</v>
      </c>
      <c r="T2" s="94" t="s">
        <v>2904</v>
      </c>
      <c r="U2" s="94" t="s">
        <v>2904</v>
      </c>
      <c r="V2" s="94" t="s">
        <v>2904</v>
      </c>
      <c r="W2" s="94" t="s">
        <v>2904</v>
      </c>
      <c r="X2" s="94" t="s">
        <v>2904</v>
      </c>
      <c r="Y2" s="94" t="s">
        <v>2904</v>
      </c>
      <c r="Z2" s="94" t="s">
        <v>2904</v>
      </c>
      <c r="AA2" s="94" t="s">
        <v>2904</v>
      </c>
      <c r="AB2" s="94" t="s">
        <v>2904</v>
      </c>
      <c r="AC2" s="94" t="s">
        <v>2904</v>
      </c>
      <c r="AD2" s="94" t="s">
        <v>2904</v>
      </c>
      <c r="AE2" s="94" t="s">
        <v>2904</v>
      </c>
      <c r="AF2" s="94" t="s">
        <v>2904</v>
      </c>
      <c r="AG2" s="94" t="s">
        <v>2904</v>
      </c>
      <c r="AH2" s="94" t="s">
        <v>2904</v>
      </c>
      <c r="AI2" s="94" t="s">
        <v>2904</v>
      </c>
      <c r="AJ2" s="94" t="s">
        <v>2904</v>
      </c>
      <c r="AK2" s="94" t="s">
        <v>2904</v>
      </c>
      <c r="AL2" s="94" t="s">
        <v>2904</v>
      </c>
      <c r="AM2" s="94" t="s">
        <v>2904</v>
      </c>
      <c r="AN2" s="94" t="s">
        <v>2904</v>
      </c>
      <c r="AO2" s="94" t="s">
        <v>2904</v>
      </c>
      <c r="AP2" s="94" t="s">
        <v>2904</v>
      </c>
      <c r="AQ2" s="94" t="s">
        <v>2904</v>
      </c>
      <c r="AR2" s="94" t="s">
        <v>2904</v>
      </c>
      <c r="AS2" s="94" t="s">
        <v>2904</v>
      </c>
    </row>
    <row r="4" spans="1:45" ht="30">
      <c r="A4" s="42" t="s">
        <v>38</v>
      </c>
      <c r="B4" s="42">
        <f>COUNTA(B9:B241)</f>
        <v>233</v>
      </c>
      <c r="C4" s="42" t="s">
        <v>2905</v>
      </c>
      <c r="D4" s="42">
        <f>COUNTIF(H9:H241,"A")</f>
        <v>107</v>
      </c>
      <c r="E4" s="42" t="s">
        <v>2906</v>
      </c>
      <c r="F4" s="42">
        <f>COUNTIF(H9:H241,"B")</f>
        <v>103</v>
      </c>
      <c r="G4" s="42" t="s">
        <v>2907</v>
      </c>
      <c r="H4" s="42">
        <f>COUNTIF(H9:H241,"C")</f>
        <v>23</v>
      </c>
      <c r="I4" s="42" t="s">
        <v>2908</v>
      </c>
      <c r="J4" s="42">
        <f>COUNTIF(AI9:AI241,"SI")</f>
        <v>145</v>
      </c>
      <c r="K4" s="42" t="s">
        <v>2909</v>
      </c>
      <c r="L4" s="42">
        <f>COUNTIF(AK9:AK241,"SI")</f>
        <v>32</v>
      </c>
      <c r="M4" s="42" t="s">
        <v>2910</v>
      </c>
      <c r="N4" s="42">
        <f>COUNTIF(AR9:AR241,"SI")</f>
        <v>0</v>
      </c>
    </row>
    <row r="6" spans="1:45" ht="30" customHeight="1">
      <c r="A6" s="94" t="s">
        <v>2911</v>
      </c>
      <c r="B6" s="94" t="s">
        <v>2911</v>
      </c>
      <c r="C6" s="94" t="s">
        <v>2911</v>
      </c>
      <c r="D6" s="94" t="s">
        <v>2911</v>
      </c>
      <c r="E6" s="94" t="s">
        <v>2911</v>
      </c>
      <c r="F6" s="94" t="s">
        <v>2911</v>
      </c>
      <c r="G6" s="94" t="s">
        <v>2911</v>
      </c>
      <c r="H6" s="94" t="s">
        <v>2911</v>
      </c>
      <c r="I6" s="94" t="s">
        <v>2911</v>
      </c>
      <c r="J6" s="94" t="s">
        <v>2911</v>
      </c>
      <c r="K6" s="94" t="s">
        <v>2911</v>
      </c>
      <c r="L6" s="94" t="s">
        <v>2911</v>
      </c>
      <c r="M6" s="94" t="s">
        <v>2911</v>
      </c>
      <c r="N6" s="94" t="s">
        <v>2911</v>
      </c>
      <c r="O6" s="94" t="s">
        <v>2911</v>
      </c>
      <c r="P6" s="94" t="s">
        <v>2911</v>
      </c>
      <c r="Q6" s="94" t="s">
        <v>2911</v>
      </c>
      <c r="R6" s="94" t="s">
        <v>2911</v>
      </c>
      <c r="S6" s="94" t="s">
        <v>2911</v>
      </c>
      <c r="T6" s="94" t="s">
        <v>2911</v>
      </c>
      <c r="U6" s="94" t="s">
        <v>2911</v>
      </c>
      <c r="V6" s="94" t="s">
        <v>2911</v>
      </c>
      <c r="W6" s="94" t="s">
        <v>2911</v>
      </c>
      <c r="X6" s="94" t="s">
        <v>2911</v>
      </c>
      <c r="Y6" s="94" t="s">
        <v>2911</v>
      </c>
      <c r="Z6" s="94" t="s">
        <v>2911</v>
      </c>
      <c r="AA6" s="94" t="s">
        <v>2911</v>
      </c>
      <c r="AB6" s="94" t="s">
        <v>2911</v>
      </c>
      <c r="AC6" s="94" t="s">
        <v>2911</v>
      </c>
      <c r="AD6" s="94" t="s">
        <v>2911</v>
      </c>
      <c r="AE6" s="94" t="s">
        <v>2911</v>
      </c>
      <c r="AF6" s="94" t="s">
        <v>2911</v>
      </c>
      <c r="AG6" s="94" t="s">
        <v>2911</v>
      </c>
      <c r="AH6" s="94" t="s">
        <v>2911</v>
      </c>
      <c r="AI6" s="94" t="s">
        <v>2911</v>
      </c>
      <c r="AJ6" s="94" t="s">
        <v>2911</v>
      </c>
      <c r="AK6" s="94" t="s">
        <v>2911</v>
      </c>
      <c r="AL6" s="94" t="s">
        <v>2911</v>
      </c>
      <c r="AM6" s="94" t="s">
        <v>2911</v>
      </c>
      <c r="AN6" s="94" t="s">
        <v>2911</v>
      </c>
      <c r="AO6" s="94" t="s">
        <v>2911</v>
      </c>
      <c r="AP6" s="94" t="s">
        <v>2911</v>
      </c>
      <c r="AQ6" s="94" t="s">
        <v>2911</v>
      </c>
      <c r="AR6" s="94" t="s">
        <v>2911</v>
      </c>
      <c r="AS6" s="94" t="s">
        <v>2911</v>
      </c>
    </row>
    <row r="8" spans="1:45" ht="48" customHeight="1">
      <c r="A8" s="42" t="s">
        <v>104</v>
      </c>
      <c r="B8" s="42" t="s">
        <v>97</v>
      </c>
      <c r="C8" s="42" t="s">
        <v>98</v>
      </c>
      <c r="D8" s="42" t="s">
        <v>99</v>
      </c>
      <c r="E8" s="42" t="s">
        <v>35</v>
      </c>
      <c r="F8" s="42" t="s">
        <v>2324</v>
      </c>
      <c r="G8" s="42" t="s">
        <v>2912</v>
      </c>
      <c r="H8" s="42" t="s">
        <v>2845</v>
      </c>
      <c r="I8" s="42" t="s">
        <v>2851</v>
      </c>
      <c r="J8" s="42" t="s">
        <v>2913</v>
      </c>
      <c r="K8" s="42" t="s">
        <v>2914</v>
      </c>
      <c r="L8" s="42" t="s">
        <v>2915</v>
      </c>
      <c r="M8" s="42" t="s">
        <v>2916</v>
      </c>
      <c r="N8" s="42" t="s">
        <v>2917</v>
      </c>
      <c r="O8" s="42" t="s">
        <v>2918</v>
      </c>
      <c r="P8" s="42" t="s">
        <v>2919</v>
      </c>
      <c r="Q8" s="42" t="s">
        <v>2920</v>
      </c>
      <c r="R8" s="42" t="s">
        <v>2921</v>
      </c>
      <c r="S8" s="42" t="s">
        <v>2922</v>
      </c>
      <c r="T8" s="42" t="s">
        <v>2923</v>
      </c>
      <c r="U8" s="42" t="s">
        <v>2924</v>
      </c>
      <c r="V8" s="42" t="s">
        <v>2925</v>
      </c>
      <c r="W8" s="42" t="s">
        <v>2926</v>
      </c>
      <c r="X8" s="42" t="s">
        <v>2927</v>
      </c>
      <c r="Y8" s="42" t="s">
        <v>2928</v>
      </c>
      <c r="Z8" s="42" t="s">
        <v>2929</v>
      </c>
      <c r="AA8" s="42" t="s">
        <v>2930</v>
      </c>
      <c r="AB8" s="42" t="s">
        <v>2931</v>
      </c>
      <c r="AC8" s="42" t="s">
        <v>2932</v>
      </c>
      <c r="AD8" s="42" t="s">
        <v>2933</v>
      </c>
      <c r="AE8" s="42" t="s">
        <v>2934</v>
      </c>
      <c r="AF8" s="42" t="s">
        <v>2935</v>
      </c>
      <c r="AG8" s="42" t="s">
        <v>2936</v>
      </c>
      <c r="AH8" s="42" t="s">
        <v>2937</v>
      </c>
      <c r="AI8" s="42" t="s">
        <v>2938</v>
      </c>
      <c r="AJ8" s="42" t="s">
        <v>2787</v>
      </c>
      <c r="AK8" s="42" t="s">
        <v>2939</v>
      </c>
      <c r="AL8" s="42" t="s">
        <v>2940</v>
      </c>
      <c r="AM8" s="42" t="s">
        <v>2941</v>
      </c>
      <c r="AN8" s="42" t="s">
        <v>114</v>
      </c>
      <c r="AO8" s="42" t="s">
        <v>2306</v>
      </c>
      <c r="AP8" s="42" t="s">
        <v>2858</v>
      </c>
      <c r="AQ8" s="42" t="s">
        <v>1006</v>
      </c>
      <c r="AR8" s="42" t="s">
        <v>2942</v>
      </c>
      <c r="AS8" s="42" t="s">
        <v>2943</v>
      </c>
    </row>
    <row r="9" spans="1:45" ht="44" customHeight="1">
      <c r="A9" s="45">
        <v>1</v>
      </c>
      <c r="B9" s="43" t="str">
        <f>'T01 revisión'!A5</f>
        <v>mintz</v>
      </c>
      <c r="C9" s="43" t="str">
        <f>'T01 revisión'!B5</f>
        <v>Caribbean Transformations / Sweetness and Power</v>
      </c>
      <c r="D9" s="43" t="str">
        <f>'T01 revisión'!C5</f>
        <v>Sidney W. Mintz</v>
      </c>
      <c r="E9" s="43" t="str">
        <f>'T01 revisión'!D5</f>
        <v>P00</v>
      </c>
      <c r="F9" s="43" t="str">
        <f>'T01 revisión'!E5</f>
        <v>anglófono (EE.UU.)</v>
      </c>
      <c r="G9" s="43" t="str">
        <f>'T01 revisión'!H5</f>
        <v>abreviaturas por normalizar; función territorial no demostrada</v>
      </c>
      <c r="H9" s="45" t="str">
        <f t="shared" ref="H9:H72" si="0">IF(OR(ISNUMBER(SEARCH(" / ",C9)),LEFT(F9,9)="comparado",ISNUMBER(SEARCH("entrada compuesta",G9))),"C",IF(OR(ISNUMBER(SEARCH("/",F9)),ISNUMBER(SEARCH("múltiples",G9)),ISNUMBER(SEARCH("trayectoria",G9)),ISNUMBER(SEARCH("diáspora",G9)),ISNUMBER(SEARCH("temporalidad",G9))),"B","A"))</f>
        <v>C</v>
      </c>
      <c r="I9" s="45"/>
      <c r="J9" s="45" t="str">
        <f t="shared" ref="J9:J72" si="1">IF(IF(I9="",H9,I9)="A","GPT + muestra Claude/humana",IF(IF(I9="",H9,I9)="B","GPT + Claude ciegos; control abreviado","GPT + Claude ciegos; control humano obligatorio"))</f>
        <v>GPT + Claude ciegos; control humano obligatorio</v>
      </c>
      <c r="K9" s="43" t="s">
        <v>2944</v>
      </c>
      <c r="L9" s="43"/>
      <c r="M9" s="43"/>
      <c r="N9" s="43"/>
      <c r="O9" s="43"/>
      <c r="P9" s="43" t="s">
        <v>2945</v>
      </c>
      <c r="Q9" s="43" t="s">
        <v>2946</v>
      </c>
      <c r="R9" s="43" t="s">
        <v>2947</v>
      </c>
      <c r="S9" s="43" t="s">
        <v>2229</v>
      </c>
      <c r="T9" s="43"/>
      <c r="U9" s="43"/>
      <c r="V9" s="43"/>
      <c r="W9" s="43"/>
      <c r="X9" s="43"/>
      <c r="Y9" s="43"/>
      <c r="Z9" s="43"/>
      <c r="AA9" s="43"/>
      <c r="AB9" s="43"/>
      <c r="AC9" s="45" t="str">
        <f t="shared" ref="AC9:AC72" si="2">IF(OR(L9="",U9=""),"pendiente",IF(L9=U9,"acuerdo","desacuerdo"))</f>
        <v>pendiente</v>
      </c>
      <c r="AD9" s="45" t="str">
        <f t="shared" ref="AD9:AD72" si="3">IF(OR(M9="",V9=""),"pendiente",IF(M9=V9,"acuerdo","desacuerdo"))</f>
        <v>pendiente</v>
      </c>
      <c r="AE9" s="45" t="str">
        <f t="shared" ref="AE9:AE72" si="4">IF(OR(N9="",W9=""),"pendiente",IF(N9=W9,"acuerdo","desacuerdo"))</f>
        <v>pendiente</v>
      </c>
      <c r="AF9" s="45" t="str">
        <f t="shared" ref="AF9:AF72" si="5">IF(OR(O9="",X9=""),"pendiente",IF(O9=X9,"acuerdo","desacuerdo"))</f>
        <v>pendiente</v>
      </c>
      <c r="AG9" s="45" t="str">
        <f t="shared" ref="AG9:AG72" si="6">IF(AI9="NO",IF(AND(P9&lt;&gt;"",Q9&lt;&gt;""),"GPT completa","insuficiente"),IF(AND(P9&lt;&gt;"",Q9&lt;&gt;"",Y9&lt;&gt;"",Z9&lt;&gt;""),"ambos completa","insuficiente"))</f>
        <v>insuficiente</v>
      </c>
      <c r="AH9" s="45" t="str">
        <f t="shared" ref="AH9:AH72" si="7">IF(AI9="NO",IF(AG9="GPT completa","dictamen_unico_A","pendiente"),IF(OR(AC9="pendiente",AD9="pendiente",AE9="pendiente",AF9="pendiente"),"pendiente",IF(AND(AC9="acuerdo",AD9="acuerdo",AE9="acuerdo",AF9="acuerdo",AG9="ambos completa"),"consenso_con_evidencia",IF(AG9="insuficiente","consenso_sin_evidencia_suficiente","desacuerdo"))))</f>
        <v>pendiente</v>
      </c>
      <c r="AI9" s="45" t="str">
        <f t="shared" ref="AI9:AI72" si="8">IF(IF(I9="",H9,I9)="A",IF(MOD(A9,7)=0,"SI","NO"),"SI")</f>
        <v>SI</v>
      </c>
      <c r="AJ9" s="45" t="str">
        <f t="shared" ref="AJ9:AJ72" si="9">IF(IF(I9="",H9,I9)="C","obligatorio",IF(IF(I9="",H9,I9)="B","abreviado",IF(MOD(A9,10)=0,"muestra","NO")))</f>
        <v>obligatorio</v>
      </c>
      <c r="AK9" s="45" t="str">
        <f t="shared" ref="AK9:AK72" si="10">IF(OR(IF(I9="",H9,I9)="C",AH9="desacuerdo",AH9="consenso_sin_evidencia_suficiente",AND(AG9="insuficiente",OR(P9&lt;&gt;"",Q9&lt;&gt;"",Y9&lt;&gt;"",Z9&lt;&gt;""))),"SI","NO")</f>
        <v>SI</v>
      </c>
      <c r="AL9" s="45"/>
      <c r="AM9" s="45"/>
      <c r="AN9" s="45"/>
      <c r="AO9" s="49"/>
      <c r="AP9" s="45"/>
      <c r="AQ9" s="45"/>
      <c r="AR9" s="45" t="str">
        <f t="shared" ref="AR9:AR72" si="11">IF(AND(AL9="revisada",AM9&lt;&gt;"",AN9&lt;&gt;"",AO9&lt;&gt;"",AP9="pasa",AQ9="aprobada"),"SI","NO")</f>
        <v>NO</v>
      </c>
      <c r="AS9" s="43" t="s">
        <v>2948</v>
      </c>
    </row>
    <row r="10" spans="1:45" ht="44" customHeight="1">
      <c r="A10" s="45">
        <v>2</v>
      </c>
      <c r="B10" s="43" t="str">
        <f>'T01 revisión'!A6</f>
        <v>trouillot</v>
      </c>
      <c r="C10" s="43" t="str">
        <f>'T01 revisión'!B6</f>
        <v>The Caribbean Region: An Open Frontier</v>
      </c>
      <c r="D10" s="43" t="str">
        <f>'T01 revisión'!C6</f>
        <v>Michel-Rolph Trouillot</v>
      </c>
      <c r="E10" s="43" t="str">
        <f>'T01 revisión'!D6</f>
        <v>C04</v>
      </c>
      <c r="F10" s="43" t="str">
        <f>'T01 revisión'!E6</f>
        <v>francófono (Haití)</v>
      </c>
      <c r="G10" s="43" t="str">
        <f>'T01 revisión'!H6</f>
        <v>función territorial no demostrada</v>
      </c>
      <c r="H10" s="45" t="str">
        <f t="shared" si="0"/>
        <v>A</v>
      </c>
      <c r="I10" s="45"/>
      <c r="J10" s="45" t="str">
        <f t="shared" si="1"/>
        <v>GPT + muestra Claude/humana</v>
      </c>
      <c r="K10" s="43" t="s">
        <v>2949</v>
      </c>
      <c r="L10" s="43" t="s">
        <v>2340</v>
      </c>
      <c r="M10" s="43"/>
      <c r="N10" s="43" t="s">
        <v>2950</v>
      </c>
      <c r="O10" s="43"/>
      <c r="P10" s="43" t="s">
        <v>2951</v>
      </c>
      <c r="Q10" s="43" t="s">
        <v>2952</v>
      </c>
      <c r="R10" s="43" t="s">
        <v>2953</v>
      </c>
      <c r="S10" s="43" t="s">
        <v>2229</v>
      </c>
      <c r="T10" s="43"/>
      <c r="U10" s="43"/>
      <c r="V10" s="43"/>
      <c r="W10" s="43"/>
      <c r="X10" s="43"/>
      <c r="Y10" s="43"/>
      <c r="Z10" s="43"/>
      <c r="AA10" s="43"/>
      <c r="AB10" s="43"/>
      <c r="AC10" s="45" t="str">
        <f t="shared" si="2"/>
        <v>pendiente</v>
      </c>
      <c r="AD10" s="45" t="str">
        <f t="shared" si="3"/>
        <v>pendiente</v>
      </c>
      <c r="AE10" s="45" t="str">
        <f t="shared" si="4"/>
        <v>pendiente</v>
      </c>
      <c r="AF10" s="45" t="str">
        <f t="shared" si="5"/>
        <v>pendiente</v>
      </c>
      <c r="AG10" s="45" t="str">
        <f t="shared" si="6"/>
        <v>GPT completa</v>
      </c>
      <c r="AH10" s="45" t="str">
        <f t="shared" si="7"/>
        <v>dictamen_unico_A</v>
      </c>
      <c r="AI10" s="45" t="str">
        <f t="shared" si="8"/>
        <v>NO</v>
      </c>
      <c r="AJ10" s="45" t="str">
        <f t="shared" si="9"/>
        <v>NO</v>
      </c>
      <c r="AK10" s="45" t="str">
        <f t="shared" si="10"/>
        <v>NO</v>
      </c>
      <c r="AL10" s="45"/>
      <c r="AM10" s="45"/>
      <c r="AN10" s="45"/>
      <c r="AO10" s="49"/>
      <c r="AP10" s="45"/>
      <c r="AQ10" s="45"/>
      <c r="AR10" s="45" t="str">
        <f t="shared" si="11"/>
        <v>NO</v>
      </c>
      <c r="AS10" s="43" t="s">
        <v>2954</v>
      </c>
    </row>
    <row r="11" spans="1:45" ht="44" customHeight="1">
      <c r="A11" s="45">
        <v>3</v>
      </c>
      <c r="B11" s="43" t="str">
        <f>'T01 revisión'!A7</f>
        <v>casimir</v>
      </c>
      <c r="C11" s="43" t="str">
        <f>'T01 revisión'!B7</f>
        <v>The Haitians: A Decolonial History</v>
      </c>
      <c r="D11" s="43" t="str">
        <f>'T01 revisión'!C7</f>
        <v>Jean Casimir</v>
      </c>
      <c r="E11" s="43" t="str">
        <f>'T01 revisión'!D7</f>
        <v>C01</v>
      </c>
      <c r="F11" s="43" t="str">
        <f>'T01 revisión'!E7</f>
        <v>francófono (Haití)</v>
      </c>
      <c r="G11" s="43" t="str">
        <f>'T01 revisión'!H7</f>
        <v>función territorial no demostrada</v>
      </c>
      <c r="H11" s="45" t="str">
        <f t="shared" si="0"/>
        <v>A</v>
      </c>
      <c r="I11" s="45"/>
      <c r="J11" s="45" t="str">
        <f t="shared" si="1"/>
        <v>GPT + muestra Claude/humana</v>
      </c>
      <c r="K11" s="43"/>
      <c r="L11" s="43"/>
      <c r="M11" s="43"/>
      <c r="N11" s="43"/>
      <c r="O11" s="43"/>
      <c r="P11" s="43"/>
      <c r="Q11" s="43"/>
      <c r="R11" s="43"/>
      <c r="S11" s="43"/>
      <c r="T11" s="43"/>
      <c r="U11" s="43"/>
      <c r="V11" s="43"/>
      <c r="W11" s="43"/>
      <c r="X11" s="43"/>
      <c r="Y11" s="43"/>
      <c r="Z11" s="43"/>
      <c r="AA11" s="43"/>
      <c r="AB11" s="43"/>
      <c r="AC11" s="45" t="str">
        <f t="shared" si="2"/>
        <v>pendiente</v>
      </c>
      <c r="AD11" s="45" t="str">
        <f t="shared" si="3"/>
        <v>pendiente</v>
      </c>
      <c r="AE11" s="45" t="str">
        <f t="shared" si="4"/>
        <v>pendiente</v>
      </c>
      <c r="AF11" s="45" t="str">
        <f t="shared" si="5"/>
        <v>pendiente</v>
      </c>
      <c r="AG11" s="45" t="str">
        <f t="shared" si="6"/>
        <v>insuficiente</v>
      </c>
      <c r="AH11" s="45" t="str">
        <f t="shared" si="7"/>
        <v>pendiente</v>
      </c>
      <c r="AI11" s="45" t="str">
        <f t="shared" si="8"/>
        <v>NO</v>
      </c>
      <c r="AJ11" s="45" t="str">
        <f t="shared" si="9"/>
        <v>NO</v>
      </c>
      <c r="AK11" s="45" t="str">
        <f t="shared" si="10"/>
        <v>NO</v>
      </c>
      <c r="AL11" s="45"/>
      <c r="AM11" s="45"/>
      <c r="AN11" s="45"/>
      <c r="AO11" s="49"/>
      <c r="AP11" s="45"/>
      <c r="AQ11" s="45"/>
      <c r="AR11" s="45" t="str">
        <f t="shared" si="11"/>
        <v>NO</v>
      </c>
      <c r="AS11" s="43"/>
    </row>
    <row r="12" spans="1:45" ht="44" customHeight="1">
      <c r="A12" s="45">
        <v>4</v>
      </c>
      <c r="B12" s="43" t="str">
        <f>'T01 revisión'!A8</f>
        <v>price</v>
      </c>
      <c r="C12" s="43" t="str">
        <f>'T01 revisión'!B8</f>
        <v>Maroon Societies</v>
      </c>
      <c r="D12" s="43" t="str">
        <f>'T01 revisión'!C8</f>
        <v>Richard Price (ed.)</v>
      </c>
      <c r="E12" s="43" t="str">
        <f>'T01 revisión'!D8</f>
        <v>P00</v>
      </c>
      <c r="F12" s="43" t="str">
        <f>'T01 revisión'!E8</f>
        <v>anglófono (EE.UU./Surinam)</v>
      </c>
      <c r="G12" s="43" t="str">
        <f>'T01 revisión'!H8</f>
        <v>varias procedencias o territorios; abreviaturas por normalizar; función territorial no demostrada</v>
      </c>
      <c r="H12" s="45" t="str">
        <f t="shared" si="0"/>
        <v>B</v>
      </c>
      <c r="I12" s="45"/>
      <c r="J12" s="45" t="str">
        <f t="shared" si="1"/>
        <v>GPT + Claude ciegos; control abreviado</v>
      </c>
      <c r="K12" s="43" t="s">
        <v>2955</v>
      </c>
      <c r="L12" s="43" t="s">
        <v>2340</v>
      </c>
      <c r="M12" s="43"/>
      <c r="N12" s="43" t="s">
        <v>2956</v>
      </c>
      <c r="O12" s="43" t="s">
        <v>2957</v>
      </c>
      <c r="P12" s="43" t="s">
        <v>2958</v>
      </c>
      <c r="Q12" s="43" t="s">
        <v>2959</v>
      </c>
      <c r="R12" s="43" t="s">
        <v>2960</v>
      </c>
      <c r="S12" s="43" t="s">
        <v>2229</v>
      </c>
      <c r="T12" s="43"/>
      <c r="U12" s="43"/>
      <c r="V12" s="43"/>
      <c r="W12" s="43"/>
      <c r="X12" s="43"/>
      <c r="Y12" s="43"/>
      <c r="Z12" s="43"/>
      <c r="AA12" s="43"/>
      <c r="AB12" s="43"/>
      <c r="AC12" s="45" t="str">
        <f t="shared" si="2"/>
        <v>pendiente</v>
      </c>
      <c r="AD12" s="45" t="str">
        <f t="shared" si="3"/>
        <v>pendiente</v>
      </c>
      <c r="AE12" s="45" t="str">
        <f t="shared" si="4"/>
        <v>pendiente</v>
      </c>
      <c r="AF12" s="45" t="str">
        <f t="shared" si="5"/>
        <v>pendiente</v>
      </c>
      <c r="AG12" s="45" t="str">
        <f t="shared" si="6"/>
        <v>insuficiente</v>
      </c>
      <c r="AH12" s="45" t="str">
        <f t="shared" si="7"/>
        <v>pendiente</v>
      </c>
      <c r="AI12" s="45" t="str">
        <f t="shared" si="8"/>
        <v>SI</v>
      </c>
      <c r="AJ12" s="45" t="str">
        <f t="shared" si="9"/>
        <v>abreviado</v>
      </c>
      <c r="AK12" s="45" t="str">
        <f t="shared" si="10"/>
        <v>SI</v>
      </c>
      <c r="AL12" s="45"/>
      <c r="AM12" s="45"/>
      <c r="AN12" s="45"/>
      <c r="AO12" s="49"/>
      <c r="AP12" s="45"/>
      <c r="AQ12" s="45"/>
      <c r="AR12" s="45" t="str">
        <f t="shared" si="11"/>
        <v>NO</v>
      </c>
      <c r="AS12" s="43" t="s">
        <v>2961</v>
      </c>
    </row>
    <row r="13" spans="1:45" ht="44" customHeight="1">
      <c r="A13" s="45">
        <v>5</v>
      </c>
      <c r="B13" s="43" t="str">
        <f>'T01 revisión'!A9</f>
        <v>fouchard</v>
      </c>
      <c r="C13" s="43" t="str">
        <f>'T01 revisión'!B9</f>
        <v>Les marrons de la liberté</v>
      </c>
      <c r="D13" s="43" t="str">
        <f>'T01 revisión'!C9</f>
        <v>Jean Fouchard</v>
      </c>
      <c r="E13" s="43" t="str">
        <f>'T01 revisión'!D9</f>
        <v>B01</v>
      </c>
      <c r="F13" s="43" t="str">
        <f>'T01 revisión'!E9</f>
        <v>francófono (Haití)</v>
      </c>
      <c r="G13" s="43" t="str">
        <f>'T01 revisión'!H9</f>
        <v>función territorial no demostrada</v>
      </c>
      <c r="H13" s="45" t="str">
        <f t="shared" si="0"/>
        <v>A</v>
      </c>
      <c r="I13" s="45"/>
      <c r="J13" s="45" t="str">
        <f t="shared" si="1"/>
        <v>GPT + muestra Claude/humana</v>
      </c>
      <c r="K13" s="43"/>
      <c r="L13" s="43"/>
      <c r="M13" s="43"/>
      <c r="N13" s="43"/>
      <c r="O13" s="43"/>
      <c r="P13" s="43"/>
      <c r="Q13" s="43"/>
      <c r="R13" s="43"/>
      <c r="S13" s="43"/>
      <c r="T13" s="43"/>
      <c r="U13" s="43"/>
      <c r="V13" s="43"/>
      <c r="W13" s="43"/>
      <c r="X13" s="43"/>
      <c r="Y13" s="43"/>
      <c r="Z13" s="43"/>
      <c r="AA13" s="43"/>
      <c r="AB13" s="43"/>
      <c r="AC13" s="45" t="str">
        <f t="shared" si="2"/>
        <v>pendiente</v>
      </c>
      <c r="AD13" s="45" t="str">
        <f t="shared" si="3"/>
        <v>pendiente</v>
      </c>
      <c r="AE13" s="45" t="str">
        <f t="shared" si="4"/>
        <v>pendiente</v>
      </c>
      <c r="AF13" s="45" t="str">
        <f t="shared" si="5"/>
        <v>pendiente</v>
      </c>
      <c r="AG13" s="45" t="str">
        <f t="shared" si="6"/>
        <v>insuficiente</v>
      </c>
      <c r="AH13" s="45" t="str">
        <f t="shared" si="7"/>
        <v>pendiente</v>
      </c>
      <c r="AI13" s="45" t="str">
        <f t="shared" si="8"/>
        <v>NO</v>
      </c>
      <c r="AJ13" s="45" t="str">
        <f t="shared" si="9"/>
        <v>NO</v>
      </c>
      <c r="AK13" s="45" t="str">
        <f t="shared" si="10"/>
        <v>NO</v>
      </c>
      <c r="AL13" s="45"/>
      <c r="AM13" s="45"/>
      <c r="AN13" s="45"/>
      <c r="AO13" s="49"/>
      <c r="AP13" s="45"/>
      <c r="AQ13" s="45"/>
      <c r="AR13" s="45" t="str">
        <f t="shared" si="11"/>
        <v>NO</v>
      </c>
      <c r="AS13" s="43"/>
    </row>
    <row r="14" spans="1:45" ht="44" customHeight="1">
      <c r="A14" s="45">
        <v>6</v>
      </c>
      <c r="B14" s="43" t="str">
        <f>'T01 revisión'!A10</f>
        <v>roberts</v>
      </c>
      <c r="C14" s="43" t="str">
        <f>'T01 revisión'!B10</f>
        <v>Freedom as Marronage</v>
      </c>
      <c r="D14" s="43" t="str">
        <f>'T01 revisión'!C10</f>
        <v>Neil Roberts</v>
      </c>
      <c r="E14" s="43" t="str">
        <f>'T01 revisión'!D10</f>
        <v>B01</v>
      </c>
      <c r="F14" s="43" t="str">
        <f>'T01 revisión'!E10</f>
        <v>anglófono (Antillas)</v>
      </c>
      <c r="G14" s="43" t="str">
        <f>'T01 revisión'!H10</f>
        <v>función territorial no demostrada</v>
      </c>
      <c r="H14" s="45" t="str">
        <f t="shared" si="0"/>
        <v>A</v>
      </c>
      <c r="I14" s="45"/>
      <c r="J14" s="45" t="str">
        <f t="shared" si="1"/>
        <v>GPT + muestra Claude/humana</v>
      </c>
      <c r="K14" s="43"/>
      <c r="L14" s="43"/>
      <c r="M14" s="43"/>
      <c r="N14" s="43"/>
      <c r="O14" s="43"/>
      <c r="P14" s="43"/>
      <c r="Q14" s="43"/>
      <c r="R14" s="43"/>
      <c r="S14" s="43"/>
      <c r="T14" s="43"/>
      <c r="U14" s="43"/>
      <c r="V14" s="43"/>
      <c r="W14" s="43"/>
      <c r="X14" s="43"/>
      <c r="Y14" s="43"/>
      <c r="Z14" s="43"/>
      <c r="AA14" s="43"/>
      <c r="AB14" s="43"/>
      <c r="AC14" s="45" t="str">
        <f t="shared" si="2"/>
        <v>pendiente</v>
      </c>
      <c r="AD14" s="45" t="str">
        <f t="shared" si="3"/>
        <v>pendiente</v>
      </c>
      <c r="AE14" s="45" t="str">
        <f t="shared" si="4"/>
        <v>pendiente</v>
      </c>
      <c r="AF14" s="45" t="str">
        <f t="shared" si="5"/>
        <v>pendiente</v>
      </c>
      <c r="AG14" s="45" t="str">
        <f t="shared" si="6"/>
        <v>insuficiente</v>
      </c>
      <c r="AH14" s="45" t="str">
        <f t="shared" si="7"/>
        <v>pendiente</v>
      </c>
      <c r="AI14" s="45" t="str">
        <f t="shared" si="8"/>
        <v>NO</v>
      </c>
      <c r="AJ14" s="45" t="str">
        <f t="shared" si="9"/>
        <v>NO</v>
      </c>
      <c r="AK14" s="45" t="str">
        <f t="shared" si="10"/>
        <v>NO</v>
      </c>
      <c r="AL14" s="45"/>
      <c r="AM14" s="45"/>
      <c r="AN14" s="45"/>
      <c r="AO14" s="49"/>
      <c r="AP14" s="45"/>
      <c r="AQ14" s="45"/>
      <c r="AR14" s="45" t="str">
        <f t="shared" si="11"/>
        <v>NO</v>
      </c>
      <c r="AS14" s="43"/>
    </row>
    <row r="15" spans="1:45" ht="44" customHeight="1">
      <c r="A15" s="45">
        <v>7</v>
      </c>
      <c r="B15" s="43" t="str">
        <f>'T01 revisión'!A11</f>
        <v>totumo</v>
      </c>
      <c r="C15" s="43" t="str">
        <f>'T01 revisión'!B11</f>
        <v>Los acuerdos y la idealización del palenque en la provincia de Cartagena: el caso del Totumo (1714-1767)</v>
      </c>
      <c r="D15" s="43" t="str">
        <f>'T01 revisión'!C11</f>
        <v>Dolcey Romero Jaramillo</v>
      </c>
      <c r="E15" s="43" t="str">
        <f>'T01 revisión'!D11</f>
        <v>P00</v>
      </c>
      <c r="F15" s="43" t="str">
        <f>'T01 revisión'!E11</f>
        <v>hispano (Colombia)</v>
      </c>
      <c r="G15" s="43" t="str">
        <f>'T01 revisión'!H11</f>
        <v>función territorial no demostrada</v>
      </c>
      <c r="H15" s="45" t="str">
        <f t="shared" si="0"/>
        <v>A</v>
      </c>
      <c r="I15" s="45"/>
      <c r="J15" s="45" t="str">
        <f t="shared" si="1"/>
        <v>GPT + muestra Claude/humana</v>
      </c>
      <c r="K15" s="43" t="s">
        <v>2962</v>
      </c>
      <c r="L15" s="43" t="s">
        <v>2356</v>
      </c>
      <c r="M15" s="43"/>
      <c r="N15" s="43" t="s">
        <v>2963</v>
      </c>
      <c r="O15" s="43"/>
      <c r="P15" s="43" t="s">
        <v>2964</v>
      </c>
      <c r="Q15" s="43" t="s">
        <v>2965</v>
      </c>
      <c r="R15" s="43" t="s">
        <v>2966</v>
      </c>
      <c r="S15" s="43" t="s">
        <v>2229</v>
      </c>
      <c r="T15" s="43"/>
      <c r="U15" s="43"/>
      <c r="V15" s="43"/>
      <c r="W15" s="43"/>
      <c r="X15" s="43"/>
      <c r="Y15" s="43"/>
      <c r="Z15" s="43"/>
      <c r="AA15" s="43"/>
      <c r="AB15" s="43"/>
      <c r="AC15" s="45" t="str">
        <f t="shared" si="2"/>
        <v>pendiente</v>
      </c>
      <c r="AD15" s="45" t="str">
        <f t="shared" si="3"/>
        <v>pendiente</v>
      </c>
      <c r="AE15" s="45" t="str">
        <f t="shared" si="4"/>
        <v>pendiente</v>
      </c>
      <c r="AF15" s="45" t="str">
        <f t="shared" si="5"/>
        <v>pendiente</v>
      </c>
      <c r="AG15" s="45" t="str">
        <f t="shared" si="6"/>
        <v>insuficiente</v>
      </c>
      <c r="AH15" s="45" t="str">
        <f t="shared" si="7"/>
        <v>pendiente</v>
      </c>
      <c r="AI15" s="45" t="str">
        <f t="shared" si="8"/>
        <v>SI</v>
      </c>
      <c r="AJ15" s="45" t="str">
        <f t="shared" si="9"/>
        <v>NO</v>
      </c>
      <c r="AK15" s="45" t="str">
        <f t="shared" si="10"/>
        <v>SI</v>
      </c>
      <c r="AL15" s="45"/>
      <c r="AM15" s="45"/>
      <c r="AN15" s="45"/>
      <c r="AO15" s="49"/>
      <c r="AP15" s="45"/>
      <c r="AQ15" s="45"/>
      <c r="AR15" s="45" t="str">
        <f t="shared" si="11"/>
        <v>NO</v>
      </c>
      <c r="AS15" s="43" t="s">
        <v>2967</v>
      </c>
    </row>
    <row r="16" spans="1:45" ht="44" customHeight="1">
      <c r="A16" s="45">
        <v>8</v>
      </c>
      <c r="B16" s="43" t="str">
        <f>'T01 revisión'!A12</f>
        <v>ortiz</v>
      </c>
      <c r="C16" s="43" t="str">
        <f>'T01 revisión'!B12</f>
        <v>Contrapunteo cubano / Transculturación</v>
      </c>
      <c r="D16" s="43" t="str">
        <f>'T01 revisión'!C12</f>
        <v>Fernando Ortiz</v>
      </c>
      <c r="E16" s="43" t="str">
        <f>'T01 revisión'!D12</f>
        <v>S01</v>
      </c>
      <c r="F16" s="43" t="str">
        <f>'T01 revisión'!E12</f>
        <v>hispano (Cuba)</v>
      </c>
      <c r="G16" s="43" t="str">
        <f>'T01 revisión'!H12</f>
        <v>función territorial no demostrada</v>
      </c>
      <c r="H16" s="45" t="str">
        <f t="shared" si="0"/>
        <v>C</v>
      </c>
      <c r="I16" s="45"/>
      <c r="J16" s="45" t="str">
        <f t="shared" si="1"/>
        <v>GPT + Claude ciegos; control humano obligatorio</v>
      </c>
      <c r="K16" s="43" t="s">
        <v>2968</v>
      </c>
      <c r="L16" s="43" t="s">
        <v>2356</v>
      </c>
      <c r="M16" s="43"/>
      <c r="N16" s="43" t="s">
        <v>2359</v>
      </c>
      <c r="O16" s="43" t="s">
        <v>2969</v>
      </c>
      <c r="P16" s="43" t="s">
        <v>2970</v>
      </c>
      <c r="Q16" s="43" t="s">
        <v>2971</v>
      </c>
      <c r="R16" s="43" t="s">
        <v>2972</v>
      </c>
      <c r="S16" s="43" t="s">
        <v>2229</v>
      </c>
      <c r="T16" s="43"/>
      <c r="U16" s="43"/>
      <c r="V16" s="43"/>
      <c r="W16" s="43"/>
      <c r="X16" s="43"/>
      <c r="Y16" s="43"/>
      <c r="Z16" s="43"/>
      <c r="AA16" s="43"/>
      <c r="AB16" s="43"/>
      <c r="AC16" s="45" t="str">
        <f t="shared" si="2"/>
        <v>pendiente</v>
      </c>
      <c r="AD16" s="45" t="str">
        <f t="shared" si="3"/>
        <v>pendiente</v>
      </c>
      <c r="AE16" s="45" t="str">
        <f t="shared" si="4"/>
        <v>pendiente</v>
      </c>
      <c r="AF16" s="45" t="str">
        <f t="shared" si="5"/>
        <v>pendiente</v>
      </c>
      <c r="AG16" s="45" t="str">
        <f t="shared" si="6"/>
        <v>insuficiente</v>
      </c>
      <c r="AH16" s="45" t="str">
        <f t="shared" si="7"/>
        <v>pendiente</v>
      </c>
      <c r="AI16" s="45" t="str">
        <f t="shared" si="8"/>
        <v>SI</v>
      </c>
      <c r="AJ16" s="45" t="str">
        <f t="shared" si="9"/>
        <v>obligatorio</v>
      </c>
      <c r="AK16" s="45" t="str">
        <f t="shared" si="10"/>
        <v>SI</v>
      </c>
      <c r="AL16" s="45"/>
      <c r="AM16" s="45"/>
      <c r="AN16" s="45"/>
      <c r="AO16" s="49"/>
      <c r="AP16" s="45"/>
      <c r="AQ16" s="45"/>
      <c r="AR16" s="45" t="str">
        <f t="shared" si="11"/>
        <v>NO</v>
      </c>
      <c r="AS16" s="43" t="s">
        <v>2973</v>
      </c>
    </row>
    <row r="17" spans="1:45" ht="44" customHeight="1">
      <c r="A17" s="45">
        <v>9</v>
      </c>
      <c r="B17" s="43" t="str">
        <f>'T01 revisión'!A13</f>
        <v>glissant</v>
      </c>
      <c r="C17" s="43" t="str">
        <f>'T01 revisión'!B13</f>
        <v>Poétique de la Relation / Le discours antillais</v>
      </c>
      <c r="D17" s="43" t="str">
        <f>'T01 revisión'!C13</f>
        <v>Édouard Glissant</v>
      </c>
      <c r="E17" s="43" t="str">
        <f>'T01 revisión'!D13</f>
        <v>S01</v>
      </c>
      <c r="F17" s="43" t="str">
        <f>'T01 revisión'!E13</f>
        <v>francófono (Martinica)</v>
      </c>
      <c r="G17" s="43" t="str">
        <f>'T01 revisión'!H13</f>
        <v>función territorial no demostrada</v>
      </c>
      <c r="H17" s="45" t="str">
        <f t="shared" si="0"/>
        <v>C</v>
      </c>
      <c r="I17" s="45"/>
      <c r="J17" s="45" t="str">
        <f t="shared" si="1"/>
        <v>GPT + Claude ciegos; control humano obligatorio</v>
      </c>
      <c r="K17" s="43" t="s">
        <v>2974</v>
      </c>
      <c r="L17" s="43"/>
      <c r="M17" s="43"/>
      <c r="N17" s="43"/>
      <c r="O17" s="43"/>
      <c r="P17" s="43" t="s">
        <v>2975</v>
      </c>
      <c r="Q17" s="43" t="s">
        <v>2976</v>
      </c>
      <c r="R17" s="43" t="s">
        <v>2977</v>
      </c>
      <c r="S17" s="43" t="s">
        <v>2229</v>
      </c>
      <c r="T17" s="43"/>
      <c r="U17" s="43"/>
      <c r="V17" s="43"/>
      <c r="W17" s="43"/>
      <c r="X17" s="43"/>
      <c r="Y17" s="43"/>
      <c r="Z17" s="43"/>
      <c r="AA17" s="43"/>
      <c r="AB17" s="43"/>
      <c r="AC17" s="45" t="str">
        <f t="shared" si="2"/>
        <v>pendiente</v>
      </c>
      <c r="AD17" s="45" t="str">
        <f t="shared" si="3"/>
        <v>pendiente</v>
      </c>
      <c r="AE17" s="45" t="str">
        <f t="shared" si="4"/>
        <v>pendiente</v>
      </c>
      <c r="AF17" s="45" t="str">
        <f t="shared" si="5"/>
        <v>pendiente</v>
      </c>
      <c r="AG17" s="45" t="str">
        <f t="shared" si="6"/>
        <v>insuficiente</v>
      </c>
      <c r="AH17" s="45" t="str">
        <f t="shared" si="7"/>
        <v>pendiente</v>
      </c>
      <c r="AI17" s="45" t="str">
        <f t="shared" si="8"/>
        <v>SI</v>
      </c>
      <c r="AJ17" s="45" t="str">
        <f t="shared" si="9"/>
        <v>obligatorio</v>
      </c>
      <c r="AK17" s="45" t="str">
        <f t="shared" si="10"/>
        <v>SI</v>
      </c>
      <c r="AL17" s="45"/>
      <c r="AM17" s="45"/>
      <c r="AN17" s="45"/>
      <c r="AO17" s="49"/>
      <c r="AP17" s="45"/>
      <c r="AQ17" s="45"/>
      <c r="AR17" s="45" t="str">
        <f t="shared" si="11"/>
        <v>NO</v>
      </c>
      <c r="AS17" s="43" t="s">
        <v>2978</v>
      </c>
    </row>
    <row r="18" spans="1:45" ht="44" customHeight="1">
      <c r="A18" s="45">
        <v>10</v>
      </c>
      <c r="B18" s="43" t="str">
        <f>'T01 revisión'!A14</f>
        <v>brathwaite</v>
      </c>
      <c r="C18" s="43" t="str">
        <f>'T01 revisión'!B14</f>
        <v>Nation Language / Tidalectics</v>
      </c>
      <c r="D18" s="43" t="str">
        <f>'T01 revisión'!C14</f>
        <v>Kamau Brathwaite</v>
      </c>
      <c r="E18" s="43" t="str">
        <f>'T01 revisión'!D14</f>
        <v>S01</v>
      </c>
      <c r="F18" s="43" t="str">
        <f>'T01 revisión'!E14</f>
        <v>anglófono (Barbados)</v>
      </c>
      <c r="G18" s="43" t="str">
        <f>'T01 revisión'!H14</f>
        <v>función territorial no demostrada</v>
      </c>
      <c r="H18" s="45" t="str">
        <f t="shared" si="0"/>
        <v>C</v>
      </c>
      <c r="I18" s="45"/>
      <c r="J18" s="45" t="str">
        <f t="shared" si="1"/>
        <v>GPT + Claude ciegos; control humano obligatorio</v>
      </c>
      <c r="K18" s="43" t="s">
        <v>2979</v>
      </c>
      <c r="L18" s="43"/>
      <c r="M18" s="43"/>
      <c r="N18" s="43"/>
      <c r="O18" s="43"/>
      <c r="P18" s="43" t="s">
        <v>2980</v>
      </c>
      <c r="Q18" s="43" t="s">
        <v>2981</v>
      </c>
      <c r="R18" s="43" t="s">
        <v>2982</v>
      </c>
      <c r="S18" s="43" t="s">
        <v>2229</v>
      </c>
      <c r="T18" s="43"/>
      <c r="U18" s="43"/>
      <c r="V18" s="43"/>
      <c r="W18" s="43"/>
      <c r="X18" s="43"/>
      <c r="Y18" s="43"/>
      <c r="Z18" s="43"/>
      <c r="AA18" s="43"/>
      <c r="AB18" s="43"/>
      <c r="AC18" s="45" t="str">
        <f t="shared" si="2"/>
        <v>pendiente</v>
      </c>
      <c r="AD18" s="45" t="str">
        <f t="shared" si="3"/>
        <v>pendiente</v>
      </c>
      <c r="AE18" s="45" t="str">
        <f t="shared" si="4"/>
        <v>pendiente</v>
      </c>
      <c r="AF18" s="45" t="str">
        <f t="shared" si="5"/>
        <v>pendiente</v>
      </c>
      <c r="AG18" s="45" t="str">
        <f t="shared" si="6"/>
        <v>insuficiente</v>
      </c>
      <c r="AH18" s="45" t="str">
        <f t="shared" si="7"/>
        <v>pendiente</v>
      </c>
      <c r="AI18" s="45" t="str">
        <f t="shared" si="8"/>
        <v>SI</v>
      </c>
      <c r="AJ18" s="45" t="str">
        <f t="shared" si="9"/>
        <v>obligatorio</v>
      </c>
      <c r="AK18" s="45" t="str">
        <f t="shared" si="10"/>
        <v>SI</v>
      </c>
      <c r="AL18" s="45"/>
      <c r="AM18" s="45"/>
      <c r="AN18" s="45"/>
      <c r="AO18" s="49"/>
      <c r="AP18" s="45"/>
      <c r="AQ18" s="45"/>
      <c r="AR18" s="45" t="str">
        <f t="shared" si="11"/>
        <v>NO</v>
      </c>
      <c r="AS18" s="43" t="s">
        <v>2983</v>
      </c>
    </row>
    <row r="19" spans="1:45" ht="44" customHeight="1">
      <c r="A19" s="45">
        <v>11</v>
      </c>
      <c r="B19" s="43" t="str">
        <f>'T01 revisión'!A15</f>
        <v>creolite</v>
      </c>
      <c r="C19" s="43" t="str">
        <f>'T01 revisión'!B15</f>
        <v>Éloge de la créolité</v>
      </c>
      <c r="D19" s="43" t="str">
        <f>'T01 revisión'!C15</f>
        <v>Bernabé, Chamoiseau, Confiant</v>
      </c>
      <c r="E19" s="43" t="str">
        <f>'T01 revisión'!D15</f>
        <v>A03</v>
      </c>
      <c r="F19" s="43" t="str">
        <f>'T01 revisión'!E15</f>
        <v>francófono (Martinica)</v>
      </c>
      <c r="G19" s="43" t="str">
        <f>'T01 revisión'!H15</f>
        <v>función territorial no demostrada</v>
      </c>
      <c r="H19" s="45" t="str">
        <f t="shared" si="0"/>
        <v>A</v>
      </c>
      <c r="I19" s="45"/>
      <c r="J19" s="45" t="str">
        <f t="shared" si="1"/>
        <v>GPT + muestra Claude/humana</v>
      </c>
      <c r="K19" s="43"/>
      <c r="L19" s="43"/>
      <c r="M19" s="43"/>
      <c r="N19" s="43"/>
      <c r="O19" s="43"/>
      <c r="P19" s="43"/>
      <c r="Q19" s="43"/>
      <c r="R19" s="43"/>
      <c r="S19" s="43"/>
      <c r="T19" s="43"/>
      <c r="U19" s="43"/>
      <c r="V19" s="43"/>
      <c r="W19" s="43"/>
      <c r="X19" s="43"/>
      <c r="Y19" s="43"/>
      <c r="Z19" s="43"/>
      <c r="AA19" s="43"/>
      <c r="AB19" s="43"/>
      <c r="AC19" s="45" t="str">
        <f t="shared" si="2"/>
        <v>pendiente</v>
      </c>
      <c r="AD19" s="45" t="str">
        <f t="shared" si="3"/>
        <v>pendiente</v>
      </c>
      <c r="AE19" s="45" t="str">
        <f t="shared" si="4"/>
        <v>pendiente</v>
      </c>
      <c r="AF19" s="45" t="str">
        <f t="shared" si="5"/>
        <v>pendiente</v>
      </c>
      <c r="AG19" s="45" t="str">
        <f t="shared" si="6"/>
        <v>insuficiente</v>
      </c>
      <c r="AH19" s="45" t="str">
        <f t="shared" si="7"/>
        <v>pendiente</v>
      </c>
      <c r="AI19" s="45" t="str">
        <f t="shared" si="8"/>
        <v>NO</v>
      </c>
      <c r="AJ19" s="45" t="str">
        <f t="shared" si="9"/>
        <v>NO</v>
      </c>
      <c r="AK19" s="45" t="str">
        <f t="shared" si="10"/>
        <v>NO</v>
      </c>
      <c r="AL19" s="45"/>
      <c r="AM19" s="45"/>
      <c r="AN19" s="45"/>
      <c r="AO19" s="49"/>
      <c r="AP19" s="45"/>
      <c r="AQ19" s="45"/>
      <c r="AR19" s="45" t="str">
        <f t="shared" si="11"/>
        <v>NO</v>
      </c>
      <c r="AS19" s="43"/>
    </row>
    <row r="20" spans="1:45" ht="44" customHeight="1">
      <c r="A20" s="45">
        <v>12</v>
      </c>
      <c r="B20" s="43" t="str">
        <f>'T01 revisión'!A16</f>
        <v>monahan</v>
      </c>
      <c r="C20" s="43" t="str">
        <f>'T01 revisión'!B16</f>
        <v>Creolizing Practices of Freedom: Recognition and Dissonance / The Creolizing Subject: Race, Reason, and the Politics of Purity</v>
      </c>
      <c r="D20" s="43" t="str">
        <f>'T01 revisión'!C16</f>
        <v>Michael Monahan</v>
      </c>
      <c r="E20" s="43" t="str">
        <f>'T01 revisión'!D16</f>
        <v>S01</v>
      </c>
      <c r="F20" s="43" t="str">
        <f>'T01 revisión'!E16</f>
        <v>comparado (filosofía afrocaribe)</v>
      </c>
      <c r="G20" s="43" t="str">
        <f>'T01 revisión'!H16</f>
        <v>sin lengua explícita; mezcla escala comparativa; mezcla tema, método o escala; función territorial no demostrada</v>
      </c>
      <c r="H20" s="45" t="str">
        <f t="shared" si="0"/>
        <v>C</v>
      </c>
      <c r="I20" s="45"/>
      <c r="J20" s="45" t="str">
        <f t="shared" si="1"/>
        <v>GPT + Claude ciegos; control humano obligatorio</v>
      </c>
      <c r="K20" s="43" t="s">
        <v>2984</v>
      </c>
      <c r="L20" s="43" t="s">
        <v>2340</v>
      </c>
      <c r="M20" s="43"/>
      <c r="N20" s="43"/>
      <c r="O20" s="43"/>
      <c r="P20" s="43" t="s">
        <v>2985</v>
      </c>
      <c r="Q20" s="43" t="s">
        <v>2986</v>
      </c>
      <c r="R20" s="43" t="s">
        <v>2987</v>
      </c>
      <c r="S20" s="43" t="s">
        <v>2229</v>
      </c>
      <c r="T20" s="43"/>
      <c r="U20" s="43"/>
      <c r="V20" s="43"/>
      <c r="W20" s="43"/>
      <c r="X20" s="43"/>
      <c r="Y20" s="43"/>
      <c r="Z20" s="43"/>
      <c r="AA20" s="43"/>
      <c r="AB20" s="43"/>
      <c r="AC20" s="45" t="str">
        <f t="shared" si="2"/>
        <v>pendiente</v>
      </c>
      <c r="AD20" s="45" t="str">
        <f t="shared" si="3"/>
        <v>pendiente</v>
      </c>
      <c r="AE20" s="45" t="str">
        <f t="shared" si="4"/>
        <v>pendiente</v>
      </c>
      <c r="AF20" s="45" t="str">
        <f t="shared" si="5"/>
        <v>pendiente</v>
      </c>
      <c r="AG20" s="45" t="str">
        <f t="shared" si="6"/>
        <v>insuficiente</v>
      </c>
      <c r="AH20" s="45" t="str">
        <f t="shared" si="7"/>
        <v>pendiente</v>
      </c>
      <c r="AI20" s="45" t="str">
        <f t="shared" si="8"/>
        <v>SI</v>
      </c>
      <c r="AJ20" s="45" t="str">
        <f t="shared" si="9"/>
        <v>obligatorio</v>
      </c>
      <c r="AK20" s="45" t="str">
        <f t="shared" si="10"/>
        <v>SI</v>
      </c>
      <c r="AL20" s="45"/>
      <c r="AM20" s="45"/>
      <c r="AN20" s="45"/>
      <c r="AO20" s="49"/>
      <c r="AP20" s="45"/>
      <c r="AQ20" s="45"/>
      <c r="AR20" s="45" t="str">
        <f t="shared" si="11"/>
        <v>NO</v>
      </c>
      <c r="AS20" s="43" t="s">
        <v>2988</v>
      </c>
    </row>
    <row r="21" spans="1:45" ht="44" customHeight="1">
      <c r="A21" s="45">
        <v>13</v>
      </c>
      <c r="B21" s="43" t="str">
        <f>'T01 revisión'!A17</f>
        <v>vete</v>
      </c>
      <c r="C21" s="43" t="str">
        <f>'T01 revisión'!B17</f>
        <v>The Caribbean Oral Tradition</v>
      </c>
      <c r="D21" s="43" t="str">
        <f>'T01 revisión'!C17</f>
        <v>Hanétha Vété-Congolo (ed.)</v>
      </c>
      <c r="E21" s="43" t="str">
        <f>'T01 revisión'!D17</f>
        <v>B04</v>
      </c>
      <c r="F21" s="43" t="str">
        <f>'T01 revisión'!E17</f>
        <v>francófono (Guadalupe)</v>
      </c>
      <c r="G21" s="43" t="str">
        <f>'T01 revisión'!H17</f>
        <v>función territorial no demostrada</v>
      </c>
      <c r="H21" s="45" t="str">
        <f t="shared" si="0"/>
        <v>A</v>
      </c>
      <c r="I21" s="45"/>
      <c r="J21" s="45" t="str">
        <f t="shared" si="1"/>
        <v>GPT + muestra Claude/humana</v>
      </c>
      <c r="K21" s="43"/>
      <c r="L21" s="43"/>
      <c r="M21" s="43"/>
      <c r="N21" s="43"/>
      <c r="O21" s="43"/>
      <c r="P21" s="43"/>
      <c r="Q21" s="43"/>
      <c r="R21" s="43"/>
      <c r="S21" s="43"/>
      <c r="T21" s="43"/>
      <c r="U21" s="43"/>
      <c r="V21" s="43"/>
      <c r="W21" s="43"/>
      <c r="X21" s="43"/>
      <c r="Y21" s="43"/>
      <c r="Z21" s="43"/>
      <c r="AA21" s="43"/>
      <c r="AB21" s="43"/>
      <c r="AC21" s="45" t="str">
        <f t="shared" si="2"/>
        <v>pendiente</v>
      </c>
      <c r="AD21" s="45" t="str">
        <f t="shared" si="3"/>
        <v>pendiente</v>
      </c>
      <c r="AE21" s="45" t="str">
        <f t="shared" si="4"/>
        <v>pendiente</v>
      </c>
      <c r="AF21" s="45" t="str">
        <f t="shared" si="5"/>
        <v>pendiente</v>
      </c>
      <c r="AG21" s="45" t="str">
        <f t="shared" si="6"/>
        <v>insuficiente</v>
      </c>
      <c r="AH21" s="45" t="str">
        <f t="shared" si="7"/>
        <v>pendiente</v>
      </c>
      <c r="AI21" s="45" t="str">
        <f t="shared" si="8"/>
        <v>NO</v>
      </c>
      <c r="AJ21" s="45" t="str">
        <f t="shared" si="9"/>
        <v>NO</v>
      </c>
      <c r="AK21" s="45" t="str">
        <f t="shared" si="10"/>
        <v>NO</v>
      </c>
      <c r="AL21" s="45"/>
      <c r="AM21" s="45"/>
      <c r="AN21" s="45"/>
      <c r="AO21" s="49"/>
      <c r="AP21" s="45"/>
      <c r="AQ21" s="45"/>
      <c r="AR21" s="45" t="str">
        <f t="shared" si="11"/>
        <v>NO</v>
      </c>
      <c r="AS21" s="43"/>
    </row>
    <row r="22" spans="1:45" ht="44" customHeight="1">
      <c r="A22" s="45">
        <v>14</v>
      </c>
      <c r="B22" s="43" t="str">
        <f>'T01 revisión'!A18</f>
        <v>chande</v>
      </c>
      <c r="C22" s="43" t="str">
        <f>'T01 revisión'!B18</f>
        <v>Sonoridades del Chandé en el Caribe seco</v>
      </c>
      <c r="D22" s="43" t="str">
        <f>'T01 revisión'!C18</f>
        <v>borrador / archivo</v>
      </c>
      <c r="E22" s="43" t="str">
        <f>'T01 revisión'!D18</f>
        <v>P00</v>
      </c>
      <c r="F22" s="43" t="str">
        <f>'T01 revisión'!E18</f>
        <v>hispano (Colombia)</v>
      </c>
      <c r="G22" s="43" t="str">
        <f>'T01 revisión'!H18</f>
        <v>función territorial no demostrada</v>
      </c>
      <c r="H22" s="45" t="str">
        <f t="shared" si="0"/>
        <v>A</v>
      </c>
      <c r="I22" s="45"/>
      <c r="J22" s="45" t="str">
        <f t="shared" si="1"/>
        <v>GPT + muestra Claude/humana</v>
      </c>
      <c r="K22" s="43" t="s">
        <v>2989</v>
      </c>
      <c r="L22" s="43"/>
      <c r="M22" s="43"/>
      <c r="N22" s="43"/>
      <c r="O22" s="43"/>
      <c r="P22" s="43" t="s">
        <v>2990</v>
      </c>
      <c r="Q22" s="43" t="s">
        <v>2991</v>
      </c>
      <c r="R22" s="43" t="s">
        <v>2992</v>
      </c>
      <c r="S22" s="43" t="s">
        <v>2229</v>
      </c>
      <c r="T22" s="43"/>
      <c r="U22" s="43"/>
      <c r="V22" s="43"/>
      <c r="W22" s="43"/>
      <c r="X22" s="43"/>
      <c r="Y22" s="43"/>
      <c r="Z22" s="43"/>
      <c r="AA22" s="43"/>
      <c r="AB22" s="43"/>
      <c r="AC22" s="45" t="str">
        <f t="shared" si="2"/>
        <v>pendiente</v>
      </c>
      <c r="AD22" s="45" t="str">
        <f t="shared" si="3"/>
        <v>pendiente</v>
      </c>
      <c r="AE22" s="45" t="str">
        <f t="shared" si="4"/>
        <v>pendiente</v>
      </c>
      <c r="AF22" s="45" t="str">
        <f t="shared" si="5"/>
        <v>pendiente</v>
      </c>
      <c r="AG22" s="45" t="str">
        <f t="shared" si="6"/>
        <v>insuficiente</v>
      </c>
      <c r="AH22" s="45" t="str">
        <f t="shared" si="7"/>
        <v>pendiente</v>
      </c>
      <c r="AI22" s="45" t="str">
        <f t="shared" si="8"/>
        <v>SI</v>
      </c>
      <c r="AJ22" s="45" t="str">
        <f t="shared" si="9"/>
        <v>NO</v>
      </c>
      <c r="AK22" s="45" t="str">
        <f t="shared" si="10"/>
        <v>SI</v>
      </c>
      <c r="AL22" s="45"/>
      <c r="AM22" s="45"/>
      <c r="AN22" s="45"/>
      <c r="AO22" s="49"/>
      <c r="AP22" s="45"/>
      <c r="AQ22" s="45"/>
      <c r="AR22" s="45" t="str">
        <f t="shared" si="11"/>
        <v>NO</v>
      </c>
      <c r="AS22" s="43" t="s">
        <v>2993</v>
      </c>
    </row>
    <row r="23" spans="1:45" ht="44" customHeight="1">
      <c r="A23" s="45">
        <v>15</v>
      </c>
      <c r="B23" s="43" t="str">
        <f>'T01 revisión'!A19</f>
        <v>quintero</v>
      </c>
      <c r="C23" s="43" t="str">
        <f>'T01 revisión'!B19</f>
        <v>Cuerpo y cultura: las músicas «mulatas» y la subversión del baile</v>
      </c>
      <c r="D23" s="43" t="str">
        <f>'T01 revisión'!C19</f>
        <v>Ángel Quintero Rivera</v>
      </c>
      <c r="E23" s="43" t="str">
        <f>'T01 revisión'!D19</f>
        <v>B03</v>
      </c>
      <c r="F23" s="43" t="str">
        <f>'T01 revisión'!E19</f>
        <v>hispano (Puerto Rico)</v>
      </c>
      <c r="G23" s="43" t="str">
        <f>'T01 revisión'!H19</f>
        <v>función territorial no demostrada</v>
      </c>
      <c r="H23" s="45" t="str">
        <f t="shared" si="0"/>
        <v>A</v>
      </c>
      <c r="I23" s="45"/>
      <c r="J23" s="45" t="str">
        <f t="shared" si="1"/>
        <v>GPT + muestra Claude/humana</v>
      </c>
      <c r="K23" s="43"/>
      <c r="L23" s="43"/>
      <c r="M23" s="43"/>
      <c r="N23" s="43"/>
      <c r="O23" s="43"/>
      <c r="P23" s="43"/>
      <c r="Q23" s="43"/>
      <c r="R23" s="43"/>
      <c r="S23" s="43"/>
      <c r="T23" s="43"/>
      <c r="U23" s="43"/>
      <c r="V23" s="43"/>
      <c r="W23" s="43"/>
      <c r="X23" s="43"/>
      <c r="Y23" s="43"/>
      <c r="Z23" s="43"/>
      <c r="AA23" s="43"/>
      <c r="AB23" s="43"/>
      <c r="AC23" s="45" t="str">
        <f t="shared" si="2"/>
        <v>pendiente</v>
      </c>
      <c r="AD23" s="45" t="str">
        <f t="shared" si="3"/>
        <v>pendiente</v>
      </c>
      <c r="AE23" s="45" t="str">
        <f t="shared" si="4"/>
        <v>pendiente</v>
      </c>
      <c r="AF23" s="45" t="str">
        <f t="shared" si="5"/>
        <v>pendiente</v>
      </c>
      <c r="AG23" s="45" t="str">
        <f t="shared" si="6"/>
        <v>insuficiente</v>
      </c>
      <c r="AH23" s="45" t="str">
        <f t="shared" si="7"/>
        <v>pendiente</v>
      </c>
      <c r="AI23" s="45" t="str">
        <f t="shared" si="8"/>
        <v>NO</v>
      </c>
      <c r="AJ23" s="45" t="str">
        <f t="shared" si="9"/>
        <v>NO</v>
      </c>
      <c r="AK23" s="45" t="str">
        <f t="shared" si="10"/>
        <v>NO</v>
      </c>
      <c r="AL23" s="45"/>
      <c r="AM23" s="45"/>
      <c r="AN23" s="45"/>
      <c r="AO23" s="49"/>
      <c r="AP23" s="45"/>
      <c r="AQ23" s="45"/>
      <c r="AR23" s="45" t="str">
        <f t="shared" si="11"/>
        <v>NO</v>
      </c>
      <c r="AS23" s="43"/>
    </row>
    <row r="24" spans="1:45" ht="44" customHeight="1">
      <c r="A24" s="45">
        <v>16</v>
      </c>
      <c r="B24" s="43" t="str">
        <f>'T01 revisión'!A20</f>
        <v>perezmorales</v>
      </c>
      <c r="C24" s="43" t="str">
        <f>'T01 revisión'!B20</f>
        <v>Cartagena's Privateers</v>
      </c>
      <c r="D24" s="43" t="str">
        <f>'T01 revisión'!C20</f>
        <v>Edgardo Pérez Morales</v>
      </c>
      <c r="E24" s="43" t="str">
        <f>'T01 revisión'!D20</f>
        <v>DE01</v>
      </c>
      <c r="F24" s="43" t="str">
        <f>'T01 revisión'!E20</f>
        <v>hispano (Colombia)</v>
      </c>
      <c r="G24" s="43" t="str">
        <f>'T01 revisión'!H20</f>
        <v>función territorial no demostrada</v>
      </c>
      <c r="H24" s="45" t="str">
        <f t="shared" si="0"/>
        <v>A</v>
      </c>
      <c r="I24" s="45"/>
      <c r="J24" s="45" t="str">
        <f t="shared" si="1"/>
        <v>GPT + muestra Claude/humana</v>
      </c>
      <c r="K24" s="43"/>
      <c r="L24" s="43"/>
      <c r="M24" s="43"/>
      <c r="N24" s="43"/>
      <c r="O24" s="43"/>
      <c r="P24" s="43"/>
      <c r="Q24" s="43"/>
      <c r="R24" s="43"/>
      <c r="S24" s="43"/>
      <c r="T24" s="43"/>
      <c r="U24" s="43"/>
      <c r="V24" s="43"/>
      <c r="W24" s="43"/>
      <c r="X24" s="43"/>
      <c r="Y24" s="43"/>
      <c r="Z24" s="43"/>
      <c r="AA24" s="43"/>
      <c r="AB24" s="43"/>
      <c r="AC24" s="45" t="str">
        <f t="shared" si="2"/>
        <v>pendiente</v>
      </c>
      <c r="AD24" s="45" t="str">
        <f t="shared" si="3"/>
        <v>pendiente</v>
      </c>
      <c r="AE24" s="45" t="str">
        <f t="shared" si="4"/>
        <v>pendiente</v>
      </c>
      <c r="AF24" s="45" t="str">
        <f t="shared" si="5"/>
        <v>pendiente</v>
      </c>
      <c r="AG24" s="45" t="str">
        <f t="shared" si="6"/>
        <v>insuficiente</v>
      </c>
      <c r="AH24" s="45" t="str">
        <f t="shared" si="7"/>
        <v>pendiente</v>
      </c>
      <c r="AI24" s="45" t="str">
        <f t="shared" si="8"/>
        <v>NO</v>
      </c>
      <c r="AJ24" s="45" t="str">
        <f t="shared" si="9"/>
        <v>NO</v>
      </c>
      <c r="AK24" s="45" t="str">
        <f t="shared" si="10"/>
        <v>NO</v>
      </c>
      <c r="AL24" s="45"/>
      <c r="AM24" s="45"/>
      <c r="AN24" s="45"/>
      <c r="AO24" s="49"/>
      <c r="AP24" s="45"/>
      <c r="AQ24" s="45"/>
      <c r="AR24" s="45" t="str">
        <f t="shared" si="11"/>
        <v>NO</v>
      </c>
      <c r="AS24" s="43"/>
    </row>
    <row r="25" spans="1:45" ht="44" customHeight="1">
      <c r="A25" s="45">
        <v>17</v>
      </c>
      <c r="B25" s="43" t="str">
        <f>'T01 revisión'!A21</f>
        <v>sherwood</v>
      </c>
      <c r="C25" s="43" t="str">
        <f>'T01 revisión'!B21</f>
        <v>After Abolition: Britain and the Slave Trade</v>
      </c>
      <c r="D25" s="43" t="str">
        <f>'T01 revisión'!C21</f>
        <v>Marika Sherwood</v>
      </c>
      <c r="E25" s="43" t="str">
        <f>'T01 revisión'!D21</f>
        <v>DE01</v>
      </c>
      <c r="F25" s="43" t="str">
        <f>'T01 revisión'!E21</f>
        <v>anglófono (R.U.)</v>
      </c>
      <c r="G25" s="43" t="str">
        <f>'T01 revisión'!H21</f>
        <v>abreviaturas por normalizar; función territorial no demostrada</v>
      </c>
      <c r="H25" s="45" t="str">
        <f t="shared" si="0"/>
        <v>A</v>
      </c>
      <c r="I25" s="45"/>
      <c r="J25" s="45" t="str">
        <f t="shared" si="1"/>
        <v>GPT + muestra Claude/humana</v>
      </c>
      <c r="K25" s="43"/>
      <c r="L25" s="43"/>
      <c r="M25" s="43"/>
      <c r="N25" s="43"/>
      <c r="O25" s="43"/>
      <c r="P25" s="43"/>
      <c r="Q25" s="43"/>
      <c r="R25" s="43"/>
      <c r="S25" s="43"/>
      <c r="T25" s="43"/>
      <c r="U25" s="43"/>
      <c r="V25" s="43"/>
      <c r="W25" s="43"/>
      <c r="X25" s="43"/>
      <c r="Y25" s="43"/>
      <c r="Z25" s="43"/>
      <c r="AA25" s="43"/>
      <c r="AB25" s="43"/>
      <c r="AC25" s="45" t="str">
        <f t="shared" si="2"/>
        <v>pendiente</v>
      </c>
      <c r="AD25" s="45" t="str">
        <f t="shared" si="3"/>
        <v>pendiente</v>
      </c>
      <c r="AE25" s="45" t="str">
        <f t="shared" si="4"/>
        <v>pendiente</v>
      </c>
      <c r="AF25" s="45" t="str">
        <f t="shared" si="5"/>
        <v>pendiente</v>
      </c>
      <c r="AG25" s="45" t="str">
        <f t="shared" si="6"/>
        <v>insuficiente</v>
      </c>
      <c r="AH25" s="45" t="str">
        <f t="shared" si="7"/>
        <v>pendiente</v>
      </c>
      <c r="AI25" s="45" t="str">
        <f t="shared" si="8"/>
        <v>NO</v>
      </c>
      <c r="AJ25" s="45" t="str">
        <f t="shared" si="9"/>
        <v>NO</v>
      </c>
      <c r="AK25" s="45" t="str">
        <f t="shared" si="10"/>
        <v>NO</v>
      </c>
      <c r="AL25" s="45"/>
      <c r="AM25" s="45"/>
      <c r="AN25" s="45"/>
      <c r="AO25" s="49"/>
      <c r="AP25" s="45"/>
      <c r="AQ25" s="45"/>
      <c r="AR25" s="45" t="str">
        <f t="shared" si="11"/>
        <v>NO</v>
      </c>
      <c r="AS25" s="43"/>
    </row>
    <row r="26" spans="1:45" ht="44" customHeight="1">
      <c r="A26" s="45">
        <v>18</v>
      </c>
      <c r="B26" s="43" t="str">
        <f>'T01 revisión'!A22</f>
        <v>cabrera</v>
      </c>
      <c r="C26" s="43" t="str">
        <f>'T01 revisión'!B22</f>
        <v>El Monte</v>
      </c>
      <c r="D26" s="43" t="str">
        <f>'T01 revisión'!C22</f>
        <v>Lydia Cabrera</v>
      </c>
      <c r="E26" s="43" t="str">
        <f>'T01 revisión'!D22</f>
        <v>B05</v>
      </c>
      <c r="F26" s="43" t="str">
        <f>'T01 revisión'!E22</f>
        <v>hispano (Cuba)</v>
      </c>
      <c r="G26" s="43" t="str">
        <f>'T01 revisión'!H22</f>
        <v>función territorial no demostrada</v>
      </c>
      <c r="H26" s="45" t="str">
        <f t="shared" si="0"/>
        <v>A</v>
      </c>
      <c r="I26" s="45"/>
      <c r="J26" s="45" t="str">
        <f t="shared" si="1"/>
        <v>GPT + muestra Claude/humana</v>
      </c>
      <c r="K26" s="43"/>
      <c r="L26" s="43"/>
      <c r="M26" s="43"/>
      <c r="N26" s="43"/>
      <c r="O26" s="43"/>
      <c r="P26" s="43"/>
      <c r="Q26" s="43"/>
      <c r="R26" s="43"/>
      <c r="S26" s="43"/>
      <c r="T26" s="43"/>
      <c r="U26" s="43"/>
      <c r="V26" s="43"/>
      <c r="W26" s="43"/>
      <c r="X26" s="43"/>
      <c r="Y26" s="43"/>
      <c r="Z26" s="43"/>
      <c r="AA26" s="43"/>
      <c r="AB26" s="43"/>
      <c r="AC26" s="45" t="str">
        <f t="shared" si="2"/>
        <v>pendiente</v>
      </c>
      <c r="AD26" s="45" t="str">
        <f t="shared" si="3"/>
        <v>pendiente</v>
      </c>
      <c r="AE26" s="45" t="str">
        <f t="shared" si="4"/>
        <v>pendiente</v>
      </c>
      <c r="AF26" s="45" t="str">
        <f t="shared" si="5"/>
        <v>pendiente</v>
      </c>
      <c r="AG26" s="45" t="str">
        <f t="shared" si="6"/>
        <v>insuficiente</v>
      </c>
      <c r="AH26" s="45" t="str">
        <f t="shared" si="7"/>
        <v>pendiente</v>
      </c>
      <c r="AI26" s="45" t="str">
        <f t="shared" si="8"/>
        <v>NO</v>
      </c>
      <c r="AJ26" s="45" t="str">
        <f t="shared" si="9"/>
        <v>NO</v>
      </c>
      <c r="AK26" s="45" t="str">
        <f t="shared" si="10"/>
        <v>NO</v>
      </c>
      <c r="AL26" s="45"/>
      <c r="AM26" s="45"/>
      <c r="AN26" s="45"/>
      <c r="AO26" s="49"/>
      <c r="AP26" s="45"/>
      <c r="AQ26" s="45"/>
      <c r="AR26" s="45" t="str">
        <f t="shared" si="11"/>
        <v>NO</v>
      </c>
      <c r="AS26" s="43"/>
    </row>
    <row r="27" spans="1:45" ht="44" customHeight="1">
      <c r="A27" s="45">
        <v>19</v>
      </c>
      <c r="B27" s="43" t="str">
        <f>'T01 revisión'!A23</f>
        <v>tambu</v>
      </c>
      <c r="C27" s="43" t="str">
        <f>'T01 revisión'!B23</f>
        <v>Tambú: Curaçao's African-Caribbean Ritual</v>
      </c>
      <c r="D27" s="43" t="str">
        <f>'T01 revisión'!C23</f>
        <v>Nanette de Jong</v>
      </c>
      <c r="E27" s="43" t="str">
        <f>'T01 revisión'!D23</f>
        <v>B05</v>
      </c>
      <c r="F27" s="43" t="str">
        <f>'T01 revisión'!E23</f>
        <v>neerlandés (Curaçao)</v>
      </c>
      <c r="G27" s="43" t="str">
        <f>'T01 revisión'!H23</f>
        <v>función territorial no demostrada</v>
      </c>
      <c r="H27" s="45" t="str">
        <f t="shared" si="0"/>
        <v>A</v>
      </c>
      <c r="I27" s="45"/>
      <c r="J27" s="45" t="str">
        <f t="shared" si="1"/>
        <v>GPT + muestra Claude/humana</v>
      </c>
      <c r="K27" s="43"/>
      <c r="L27" s="43"/>
      <c r="M27" s="43"/>
      <c r="N27" s="43"/>
      <c r="O27" s="43"/>
      <c r="P27" s="43"/>
      <c r="Q27" s="43"/>
      <c r="R27" s="43"/>
      <c r="S27" s="43"/>
      <c r="T27" s="43"/>
      <c r="U27" s="43"/>
      <c r="V27" s="43"/>
      <c r="W27" s="43"/>
      <c r="X27" s="43"/>
      <c r="Y27" s="43"/>
      <c r="Z27" s="43"/>
      <c r="AA27" s="43"/>
      <c r="AB27" s="43"/>
      <c r="AC27" s="45" t="str">
        <f t="shared" si="2"/>
        <v>pendiente</v>
      </c>
      <c r="AD27" s="45" t="str">
        <f t="shared" si="3"/>
        <v>pendiente</v>
      </c>
      <c r="AE27" s="45" t="str">
        <f t="shared" si="4"/>
        <v>pendiente</v>
      </c>
      <c r="AF27" s="45" t="str">
        <f t="shared" si="5"/>
        <v>pendiente</v>
      </c>
      <c r="AG27" s="45" t="str">
        <f t="shared" si="6"/>
        <v>insuficiente</v>
      </c>
      <c r="AH27" s="45" t="str">
        <f t="shared" si="7"/>
        <v>pendiente</v>
      </c>
      <c r="AI27" s="45" t="str">
        <f t="shared" si="8"/>
        <v>NO</v>
      </c>
      <c r="AJ27" s="45" t="str">
        <f t="shared" si="9"/>
        <v>NO</v>
      </c>
      <c r="AK27" s="45" t="str">
        <f t="shared" si="10"/>
        <v>NO</v>
      </c>
      <c r="AL27" s="45"/>
      <c r="AM27" s="45"/>
      <c r="AN27" s="45"/>
      <c r="AO27" s="49"/>
      <c r="AP27" s="45"/>
      <c r="AQ27" s="45"/>
      <c r="AR27" s="45" t="str">
        <f t="shared" si="11"/>
        <v>NO</v>
      </c>
      <c r="AS27" s="43"/>
    </row>
    <row r="28" spans="1:45" ht="44" customHeight="1">
      <c r="A28" s="45">
        <v>20</v>
      </c>
      <c r="B28" s="43" t="str">
        <f>'T01 revisión'!A24</f>
        <v>bonilla</v>
      </c>
      <c r="C28" s="43" t="str">
        <f>'T01 revisión'!B24</f>
        <v>Non-Sovereign Futures</v>
      </c>
      <c r="D28" s="43" t="str">
        <f>'T01 revisión'!C24</f>
        <v>Yarimar Bonilla</v>
      </c>
      <c r="E28" s="43" t="str">
        <f>'T01 revisión'!D24</f>
        <v>C02</v>
      </c>
      <c r="F28" s="43" t="str">
        <f>'T01 revisión'!E24</f>
        <v>francófono/anglófono (Guadalupe–PR)</v>
      </c>
      <c r="G28" s="43" t="str">
        <f>'T01 revisión'!H24</f>
        <v>múltiples lenguas; abreviaturas por normalizar; función territorial no demostrada</v>
      </c>
      <c r="H28" s="45" t="str">
        <f t="shared" si="0"/>
        <v>B</v>
      </c>
      <c r="I28" s="45"/>
      <c r="J28" s="45" t="str">
        <f t="shared" si="1"/>
        <v>GPT + Claude ciegos; control abreviado</v>
      </c>
      <c r="K28" s="43" t="s">
        <v>2994</v>
      </c>
      <c r="L28" s="43" t="s">
        <v>2340</v>
      </c>
      <c r="M28" s="43"/>
      <c r="N28" s="43" t="s">
        <v>2368</v>
      </c>
      <c r="O28" s="43"/>
      <c r="P28" s="43" t="s">
        <v>2995</v>
      </c>
      <c r="Q28" s="43" t="s">
        <v>2959</v>
      </c>
      <c r="R28" s="43" t="s">
        <v>2996</v>
      </c>
      <c r="S28" s="43" t="s">
        <v>2229</v>
      </c>
      <c r="T28" s="43"/>
      <c r="U28" s="43"/>
      <c r="V28" s="43"/>
      <c r="W28" s="43"/>
      <c r="X28" s="43"/>
      <c r="Y28" s="43"/>
      <c r="Z28" s="43"/>
      <c r="AA28" s="43"/>
      <c r="AB28" s="43"/>
      <c r="AC28" s="45" t="str">
        <f t="shared" si="2"/>
        <v>pendiente</v>
      </c>
      <c r="AD28" s="45" t="str">
        <f t="shared" si="3"/>
        <v>pendiente</v>
      </c>
      <c r="AE28" s="45" t="str">
        <f t="shared" si="4"/>
        <v>pendiente</v>
      </c>
      <c r="AF28" s="45" t="str">
        <f t="shared" si="5"/>
        <v>pendiente</v>
      </c>
      <c r="AG28" s="45" t="str">
        <f t="shared" si="6"/>
        <v>insuficiente</v>
      </c>
      <c r="AH28" s="45" t="str">
        <f t="shared" si="7"/>
        <v>pendiente</v>
      </c>
      <c r="AI28" s="45" t="str">
        <f t="shared" si="8"/>
        <v>SI</v>
      </c>
      <c r="AJ28" s="45" t="str">
        <f t="shared" si="9"/>
        <v>abreviado</v>
      </c>
      <c r="AK28" s="45" t="str">
        <f t="shared" si="10"/>
        <v>SI</v>
      </c>
      <c r="AL28" s="45"/>
      <c r="AM28" s="45"/>
      <c r="AN28" s="45"/>
      <c r="AO28" s="49"/>
      <c r="AP28" s="45"/>
      <c r="AQ28" s="45"/>
      <c r="AR28" s="45" t="str">
        <f t="shared" si="11"/>
        <v>NO</v>
      </c>
      <c r="AS28" s="43" t="s">
        <v>2997</v>
      </c>
    </row>
    <row r="29" spans="1:45" ht="44" customHeight="1">
      <c r="A29" s="45">
        <v>21</v>
      </c>
      <c r="B29" s="43" t="str">
        <f>'T01 revisión'!A25</f>
        <v>lindskoog</v>
      </c>
      <c r="C29" s="43" t="str">
        <f>'T01 revisión'!B25</f>
        <v>Detain and Punish: Haitian Refugees</v>
      </c>
      <c r="D29" s="43" t="str">
        <f>'T01 revisión'!C25</f>
        <v>Carl Lindskoog</v>
      </c>
      <c r="E29" s="43" t="str">
        <f>'T01 revisión'!D25</f>
        <v>A03</v>
      </c>
      <c r="F29" s="43" t="str">
        <f>'T01 revisión'!E25</f>
        <v>anglófono (EE.UU.)</v>
      </c>
      <c r="G29" s="43" t="str">
        <f>'T01 revisión'!H25</f>
        <v>abreviaturas por normalizar; función territorial no demostrada</v>
      </c>
      <c r="H29" s="45" t="str">
        <f t="shared" si="0"/>
        <v>A</v>
      </c>
      <c r="I29" s="45"/>
      <c r="J29" s="45" t="str">
        <f t="shared" si="1"/>
        <v>GPT + muestra Claude/humana</v>
      </c>
      <c r="K29" s="43"/>
      <c r="L29" s="43"/>
      <c r="M29" s="43"/>
      <c r="N29" s="43"/>
      <c r="O29" s="43"/>
      <c r="P29" s="43"/>
      <c r="Q29" s="43"/>
      <c r="R29" s="43"/>
      <c r="S29" s="43"/>
      <c r="T29" s="43"/>
      <c r="U29" s="43"/>
      <c r="V29" s="43"/>
      <c r="W29" s="43"/>
      <c r="X29" s="43"/>
      <c r="Y29" s="43"/>
      <c r="Z29" s="43"/>
      <c r="AA29" s="43"/>
      <c r="AB29" s="43"/>
      <c r="AC29" s="45" t="str">
        <f t="shared" si="2"/>
        <v>pendiente</v>
      </c>
      <c r="AD29" s="45" t="str">
        <f t="shared" si="3"/>
        <v>pendiente</v>
      </c>
      <c r="AE29" s="45" t="str">
        <f t="shared" si="4"/>
        <v>pendiente</v>
      </c>
      <c r="AF29" s="45" t="str">
        <f t="shared" si="5"/>
        <v>pendiente</v>
      </c>
      <c r="AG29" s="45" t="str">
        <f t="shared" si="6"/>
        <v>insuficiente</v>
      </c>
      <c r="AH29" s="45" t="str">
        <f t="shared" si="7"/>
        <v>pendiente</v>
      </c>
      <c r="AI29" s="45" t="str">
        <f t="shared" si="8"/>
        <v>SI</v>
      </c>
      <c r="AJ29" s="45" t="str">
        <f t="shared" si="9"/>
        <v>NO</v>
      </c>
      <c r="AK29" s="45" t="str">
        <f t="shared" si="10"/>
        <v>NO</v>
      </c>
      <c r="AL29" s="45"/>
      <c r="AM29" s="45"/>
      <c r="AN29" s="45"/>
      <c r="AO29" s="49"/>
      <c r="AP29" s="45"/>
      <c r="AQ29" s="45"/>
      <c r="AR29" s="45" t="str">
        <f t="shared" si="11"/>
        <v>NO</v>
      </c>
      <c r="AS29" s="43"/>
    </row>
    <row r="30" spans="1:45" ht="44" customHeight="1">
      <c r="A30" s="45">
        <v>22</v>
      </c>
      <c r="B30" s="43" t="str">
        <f>'T01 revisión'!A26</f>
        <v>ferdinand</v>
      </c>
      <c r="C30" s="43" t="str">
        <f>'T01 revisión'!B26</f>
        <v>Une écologie décoloniale</v>
      </c>
      <c r="D30" s="43" t="str">
        <f>'T01 revisión'!C26</f>
        <v>Malcom Ferdinand</v>
      </c>
      <c r="E30" s="43" t="str">
        <f>'T01 revisión'!D26</f>
        <v>C01</v>
      </c>
      <c r="F30" s="43" t="str">
        <f>'T01 revisión'!E26</f>
        <v>francófono (Martinica)</v>
      </c>
      <c r="G30" s="43" t="str">
        <f>'T01 revisión'!H26</f>
        <v>función territorial no demostrada</v>
      </c>
      <c r="H30" s="45" t="str">
        <f t="shared" si="0"/>
        <v>A</v>
      </c>
      <c r="I30" s="45"/>
      <c r="J30" s="45" t="str">
        <f t="shared" si="1"/>
        <v>GPT + muestra Claude/humana</v>
      </c>
      <c r="K30" s="43"/>
      <c r="L30" s="43"/>
      <c r="M30" s="43"/>
      <c r="N30" s="43"/>
      <c r="O30" s="43"/>
      <c r="P30" s="43"/>
      <c r="Q30" s="43"/>
      <c r="R30" s="43"/>
      <c r="S30" s="43"/>
      <c r="T30" s="43"/>
      <c r="U30" s="43"/>
      <c r="V30" s="43"/>
      <c r="W30" s="43"/>
      <c r="X30" s="43"/>
      <c r="Y30" s="43"/>
      <c r="Z30" s="43"/>
      <c r="AA30" s="43"/>
      <c r="AB30" s="43"/>
      <c r="AC30" s="45" t="str">
        <f t="shared" si="2"/>
        <v>pendiente</v>
      </c>
      <c r="AD30" s="45" t="str">
        <f t="shared" si="3"/>
        <v>pendiente</v>
      </c>
      <c r="AE30" s="45" t="str">
        <f t="shared" si="4"/>
        <v>pendiente</v>
      </c>
      <c r="AF30" s="45" t="str">
        <f t="shared" si="5"/>
        <v>pendiente</v>
      </c>
      <c r="AG30" s="45" t="str">
        <f t="shared" si="6"/>
        <v>insuficiente</v>
      </c>
      <c r="AH30" s="45" t="str">
        <f t="shared" si="7"/>
        <v>pendiente</v>
      </c>
      <c r="AI30" s="45" t="str">
        <f t="shared" si="8"/>
        <v>NO</v>
      </c>
      <c r="AJ30" s="45" t="str">
        <f t="shared" si="9"/>
        <v>NO</v>
      </c>
      <c r="AK30" s="45" t="str">
        <f t="shared" si="10"/>
        <v>NO</v>
      </c>
      <c r="AL30" s="45"/>
      <c r="AM30" s="45"/>
      <c r="AN30" s="45"/>
      <c r="AO30" s="49"/>
      <c r="AP30" s="45"/>
      <c r="AQ30" s="45"/>
      <c r="AR30" s="45" t="str">
        <f t="shared" si="11"/>
        <v>NO</v>
      </c>
      <c r="AS30" s="43"/>
    </row>
    <row r="31" spans="1:45" ht="44" customHeight="1">
      <c r="A31" s="45">
        <v>23</v>
      </c>
      <c r="B31" s="43" t="str">
        <f>'T01 revisión'!A27</f>
        <v>beyondsun</v>
      </c>
      <c r="C31" s="43" t="str">
        <f>'T01 revisión'!B27</f>
        <v>Beyond Sun and Sand</v>
      </c>
      <c r="D31" s="43" t="str">
        <f>'T01 revisión'!C27</f>
        <v>Baver &amp; Lynch (eds.)</v>
      </c>
      <c r="E31" s="43" t="str">
        <f>'T01 revisión'!D27</f>
        <v>A02</v>
      </c>
      <c r="F31" s="43" t="str">
        <f>'T01 revisión'!E27</f>
        <v>anglófono (EE.UU./PR)</v>
      </c>
      <c r="G31" s="43" t="str">
        <f>'T01 revisión'!H27</f>
        <v>varias procedencias o territorios; abreviaturas por normalizar; función territorial no demostrada</v>
      </c>
      <c r="H31" s="45" t="str">
        <f t="shared" si="0"/>
        <v>B</v>
      </c>
      <c r="I31" s="45"/>
      <c r="J31" s="45" t="str">
        <f t="shared" si="1"/>
        <v>GPT + Claude ciegos; control abreviado</v>
      </c>
      <c r="K31" s="43"/>
      <c r="L31" s="43"/>
      <c r="M31" s="43"/>
      <c r="N31" s="43"/>
      <c r="O31" s="43"/>
      <c r="P31" s="43"/>
      <c r="Q31" s="43"/>
      <c r="R31" s="43"/>
      <c r="S31" s="43"/>
      <c r="T31" s="43"/>
      <c r="U31" s="43"/>
      <c r="V31" s="43"/>
      <c r="W31" s="43"/>
      <c r="X31" s="43"/>
      <c r="Y31" s="43"/>
      <c r="Z31" s="43"/>
      <c r="AA31" s="43"/>
      <c r="AB31" s="43"/>
      <c r="AC31" s="45" t="str">
        <f t="shared" si="2"/>
        <v>pendiente</v>
      </c>
      <c r="AD31" s="45" t="str">
        <f t="shared" si="3"/>
        <v>pendiente</v>
      </c>
      <c r="AE31" s="45" t="str">
        <f t="shared" si="4"/>
        <v>pendiente</v>
      </c>
      <c r="AF31" s="45" t="str">
        <f t="shared" si="5"/>
        <v>pendiente</v>
      </c>
      <c r="AG31" s="45" t="str">
        <f t="shared" si="6"/>
        <v>insuficiente</v>
      </c>
      <c r="AH31" s="45" t="str">
        <f t="shared" si="7"/>
        <v>pendiente</v>
      </c>
      <c r="AI31" s="45" t="str">
        <f t="shared" si="8"/>
        <v>SI</v>
      </c>
      <c r="AJ31" s="45" t="str">
        <f t="shared" si="9"/>
        <v>abreviado</v>
      </c>
      <c r="AK31" s="45" t="str">
        <f t="shared" si="10"/>
        <v>NO</v>
      </c>
      <c r="AL31" s="45"/>
      <c r="AM31" s="45"/>
      <c r="AN31" s="45"/>
      <c r="AO31" s="49"/>
      <c r="AP31" s="45"/>
      <c r="AQ31" s="45"/>
      <c r="AR31" s="45" t="str">
        <f t="shared" si="11"/>
        <v>NO</v>
      </c>
      <c r="AS31" s="43"/>
    </row>
    <row r="32" spans="1:45" ht="44" customHeight="1">
      <c r="A32" s="45">
        <v>24</v>
      </c>
      <c r="B32" s="43" t="str">
        <f>'T01 revisión'!A28</f>
        <v>aftershocks</v>
      </c>
      <c r="C32" s="43" t="str">
        <f>'T01 revisión'!B28</f>
        <v>Aftershocks of Disaster (huracán María)</v>
      </c>
      <c r="D32" s="43" t="str">
        <f>'T01 revisión'!C28</f>
        <v>Bonilla &amp; LeBrón (eds.)</v>
      </c>
      <c r="E32" s="43" t="str">
        <f>'T01 revisión'!D28</f>
        <v>B03</v>
      </c>
      <c r="F32" s="43" t="str">
        <f>'T01 revisión'!E28</f>
        <v>anglófono (PR)</v>
      </c>
      <c r="G32" s="43" t="str">
        <f>'T01 revisión'!H28</f>
        <v>abreviaturas por normalizar; función territorial no demostrada</v>
      </c>
      <c r="H32" s="45" t="str">
        <f t="shared" si="0"/>
        <v>A</v>
      </c>
      <c r="I32" s="45"/>
      <c r="J32" s="45" t="str">
        <f t="shared" si="1"/>
        <v>GPT + muestra Claude/humana</v>
      </c>
      <c r="K32" s="43"/>
      <c r="L32" s="43"/>
      <c r="M32" s="43"/>
      <c r="N32" s="43"/>
      <c r="O32" s="43"/>
      <c r="P32" s="43"/>
      <c r="Q32" s="43"/>
      <c r="R32" s="43"/>
      <c r="S32" s="43"/>
      <c r="T32" s="43"/>
      <c r="U32" s="43"/>
      <c r="V32" s="43"/>
      <c r="W32" s="43"/>
      <c r="X32" s="43"/>
      <c r="Y32" s="43"/>
      <c r="Z32" s="43"/>
      <c r="AA32" s="43"/>
      <c r="AB32" s="43"/>
      <c r="AC32" s="45" t="str">
        <f t="shared" si="2"/>
        <v>pendiente</v>
      </c>
      <c r="AD32" s="45" t="str">
        <f t="shared" si="3"/>
        <v>pendiente</v>
      </c>
      <c r="AE32" s="45" t="str">
        <f t="shared" si="4"/>
        <v>pendiente</v>
      </c>
      <c r="AF32" s="45" t="str">
        <f t="shared" si="5"/>
        <v>pendiente</v>
      </c>
      <c r="AG32" s="45" t="str">
        <f t="shared" si="6"/>
        <v>insuficiente</v>
      </c>
      <c r="AH32" s="45" t="str">
        <f t="shared" si="7"/>
        <v>pendiente</v>
      </c>
      <c r="AI32" s="45" t="str">
        <f t="shared" si="8"/>
        <v>NO</v>
      </c>
      <c r="AJ32" s="45" t="str">
        <f t="shared" si="9"/>
        <v>NO</v>
      </c>
      <c r="AK32" s="45" t="str">
        <f t="shared" si="10"/>
        <v>NO</v>
      </c>
      <c r="AL32" s="45"/>
      <c r="AM32" s="45"/>
      <c r="AN32" s="45"/>
      <c r="AO32" s="49"/>
      <c r="AP32" s="45"/>
      <c r="AQ32" s="45"/>
      <c r="AR32" s="45" t="str">
        <f t="shared" si="11"/>
        <v>NO</v>
      </c>
      <c r="AS32" s="43"/>
    </row>
    <row r="33" spans="1:45" ht="44" customHeight="1">
      <c r="A33" s="45">
        <v>25</v>
      </c>
      <c r="B33" s="43" t="str">
        <f>'T01 revisión'!A29</f>
        <v>rodney</v>
      </c>
      <c r="C33" s="43" t="str">
        <f>'T01 revisión'!B29</f>
        <v>How Europe Underdeveloped Africa</v>
      </c>
      <c r="D33" s="43" t="str">
        <f>'T01 revisión'!C29</f>
        <v>Walter Rodney</v>
      </c>
      <c r="E33" s="43" t="str">
        <f>'T01 revisión'!D29</f>
        <v>DE01</v>
      </c>
      <c r="F33" s="43" t="str">
        <f>'T01 revisión'!E29</f>
        <v>anglófono (Guyana)</v>
      </c>
      <c r="G33" s="43" t="str">
        <f>'T01 revisión'!H29</f>
        <v>función territorial no demostrada</v>
      </c>
      <c r="H33" s="45" t="str">
        <f t="shared" si="0"/>
        <v>A</v>
      </c>
      <c r="I33" s="45"/>
      <c r="J33" s="45" t="str">
        <f t="shared" si="1"/>
        <v>GPT + muestra Claude/humana</v>
      </c>
      <c r="K33" s="43"/>
      <c r="L33" s="43"/>
      <c r="M33" s="43"/>
      <c r="N33" s="43"/>
      <c r="O33" s="43"/>
      <c r="P33" s="43"/>
      <c r="Q33" s="43"/>
      <c r="R33" s="43"/>
      <c r="S33" s="43"/>
      <c r="T33" s="43"/>
      <c r="U33" s="43"/>
      <c r="V33" s="43"/>
      <c r="W33" s="43"/>
      <c r="X33" s="43"/>
      <c r="Y33" s="43"/>
      <c r="Z33" s="43"/>
      <c r="AA33" s="43"/>
      <c r="AB33" s="43"/>
      <c r="AC33" s="45" t="str">
        <f t="shared" si="2"/>
        <v>pendiente</v>
      </c>
      <c r="AD33" s="45" t="str">
        <f t="shared" si="3"/>
        <v>pendiente</v>
      </c>
      <c r="AE33" s="45" t="str">
        <f t="shared" si="4"/>
        <v>pendiente</v>
      </c>
      <c r="AF33" s="45" t="str">
        <f t="shared" si="5"/>
        <v>pendiente</v>
      </c>
      <c r="AG33" s="45" t="str">
        <f t="shared" si="6"/>
        <v>insuficiente</v>
      </c>
      <c r="AH33" s="45" t="str">
        <f t="shared" si="7"/>
        <v>pendiente</v>
      </c>
      <c r="AI33" s="45" t="str">
        <f t="shared" si="8"/>
        <v>NO</v>
      </c>
      <c r="AJ33" s="45" t="str">
        <f t="shared" si="9"/>
        <v>NO</v>
      </c>
      <c r="AK33" s="45" t="str">
        <f t="shared" si="10"/>
        <v>NO</v>
      </c>
      <c r="AL33" s="45"/>
      <c r="AM33" s="45"/>
      <c r="AN33" s="45"/>
      <c r="AO33" s="49"/>
      <c r="AP33" s="45"/>
      <c r="AQ33" s="45"/>
      <c r="AR33" s="45" t="str">
        <f t="shared" si="11"/>
        <v>NO</v>
      </c>
      <c r="AS33" s="43"/>
    </row>
    <row r="34" spans="1:45" ht="44" customHeight="1">
      <c r="A34" s="45">
        <v>26</v>
      </c>
      <c r="B34" s="43" t="str">
        <f>'T01 revisión'!A30</f>
        <v>araujo</v>
      </c>
      <c r="C34" s="43" t="str">
        <f>'T01 revisión'!B30</f>
        <v>Reparations for Slavery and the Slave Trade: A Transnational and Comparative History</v>
      </c>
      <c r="D34" s="43" t="str">
        <f>'T01 revisión'!C30</f>
        <v>Ana Lucia Araujo</v>
      </c>
      <c r="E34" s="43" t="str">
        <f>'T01 revisión'!D30</f>
        <v>A03</v>
      </c>
      <c r="F34" s="43" t="str">
        <f>'T01 revisión'!E30</f>
        <v>comparado (transnacional)</v>
      </c>
      <c r="G34" s="43" t="str">
        <f>'T01 revisión'!H30</f>
        <v>sin lengua explícita; mezcla escala comparativa; mezcla tema, método o escala; función territorial no demostrada</v>
      </c>
      <c r="H34" s="45" t="str">
        <f t="shared" si="0"/>
        <v>C</v>
      </c>
      <c r="I34" s="45"/>
      <c r="J34" s="45" t="str">
        <f t="shared" si="1"/>
        <v>GPT + Claude ciegos; control humano obligatorio</v>
      </c>
      <c r="K34" s="43" t="s">
        <v>2998</v>
      </c>
      <c r="L34" s="43" t="s">
        <v>2340</v>
      </c>
      <c r="M34" s="43"/>
      <c r="N34" s="43" t="s">
        <v>2999</v>
      </c>
      <c r="O34" s="43" t="s">
        <v>3000</v>
      </c>
      <c r="P34" s="43" t="s">
        <v>3001</v>
      </c>
      <c r="Q34" s="43" t="s">
        <v>3002</v>
      </c>
      <c r="R34" s="43" t="s">
        <v>3003</v>
      </c>
      <c r="S34" s="43" t="s">
        <v>2229</v>
      </c>
      <c r="T34" s="43"/>
      <c r="U34" s="43"/>
      <c r="V34" s="43"/>
      <c r="W34" s="43"/>
      <c r="X34" s="43"/>
      <c r="Y34" s="43"/>
      <c r="Z34" s="43"/>
      <c r="AA34" s="43"/>
      <c r="AB34" s="43"/>
      <c r="AC34" s="45" t="str">
        <f t="shared" si="2"/>
        <v>pendiente</v>
      </c>
      <c r="AD34" s="45" t="str">
        <f t="shared" si="3"/>
        <v>pendiente</v>
      </c>
      <c r="AE34" s="45" t="str">
        <f t="shared" si="4"/>
        <v>pendiente</v>
      </c>
      <c r="AF34" s="45" t="str">
        <f t="shared" si="5"/>
        <v>pendiente</v>
      </c>
      <c r="AG34" s="45" t="str">
        <f t="shared" si="6"/>
        <v>insuficiente</v>
      </c>
      <c r="AH34" s="45" t="str">
        <f t="shared" si="7"/>
        <v>pendiente</v>
      </c>
      <c r="AI34" s="45" t="str">
        <f t="shared" si="8"/>
        <v>SI</v>
      </c>
      <c r="AJ34" s="45" t="str">
        <f t="shared" si="9"/>
        <v>obligatorio</v>
      </c>
      <c r="AK34" s="45" t="str">
        <f t="shared" si="10"/>
        <v>SI</v>
      </c>
      <c r="AL34" s="45"/>
      <c r="AM34" s="45"/>
      <c r="AN34" s="45"/>
      <c r="AO34" s="49"/>
      <c r="AP34" s="45"/>
      <c r="AQ34" s="45"/>
      <c r="AR34" s="45" t="str">
        <f t="shared" si="11"/>
        <v>NO</v>
      </c>
      <c r="AS34" s="43" t="s">
        <v>3004</v>
      </c>
    </row>
    <row r="35" spans="1:45" ht="44" customHeight="1">
      <c r="A35" s="45">
        <v>27</v>
      </c>
      <c r="B35" s="43" t="str">
        <f>'T01 revisión'!A31</f>
        <v>manoalzada</v>
      </c>
      <c r="C35" s="43" t="str">
        <f>'T01 revisión'!B31</f>
        <v>A mano alzada: diáspora intelectual afrocolombiana</v>
      </c>
      <c r="D35" s="43" t="str">
        <f>'T01 revisión'!C31</f>
        <v>archivo</v>
      </c>
      <c r="E35" s="43" t="str">
        <f>'T01 revisión'!D31</f>
        <v>S01</v>
      </c>
      <c r="F35" s="43" t="str">
        <f>'T01 revisión'!E31</f>
        <v>hispano (Colombia)</v>
      </c>
      <c r="G35" s="43" t="str">
        <f>'T01 revisión'!H31</f>
        <v>función territorial no demostrada</v>
      </c>
      <c r="H35" s="45" t="str">
        <f t="shared" si="0"/>
        <v>A</v>
      </c>
      <c r="I35" s="45"/>
      <c r="J35" s="45" t="str">
        <f t="shared" si="1"/>
        <v>GPT + muestra Claude/humana</v>
      </c>
      <c r="K35" s="43"/>
      <c r="L35" s="43"/>
      <c r="M35" s="43"/>
      <c r="N35" s="43"/>
      <c r="O35" s="43"/>
      <c r="P35" s="43"/>
      <c r="Q35" s="43"/>
      <c r="R35" s="43"/>
      <c r="S35" s="43"/>
      <c r="T35" s="43"/>
      <c r="U35" s="43"/>
      <c r="V35" s="43"/>
      <c r="W35" s="43"/>
      <c r="X35" s="43"/>
      <c r="Y35" s="43"/>
      <c r="Z35" s="43"/>
      <c r="AA35" s="43"/>
      <c r="AB35" s="43"/>
      <c r="AC35" s="45" t="str">
        <f t="shared" si="2"/>
        <v>pendiente</v>
      </c>
      <c r="AD35" s="45" t="str">
        <f t="shared" si="3"/>
        <v>pendiente</v>
      </c>
      <c r="AE35" s="45" t="str">
        <f t="shared" si="4"/>
        <v>pendiente</v>
      </c>
      <c r="AF35" s="45" t="str">
        <f t="shared" si="5"/>
        <v>pendiente</v>
      </c>
      <c r="AG35" s="45" t="str">
        <f t="shared" si="6"/>
        <v>insuficiente</v>
      </c>
      <c r="AH35" s="45" t="str">
        <f t="shared" si="7"/>
        <v>pendiente</v>
      </c>
      <c r="AI35" s="45" t="str">
        <f t="shared" si="8"/>
        <v>NO</v>
      </c>
      <c r="AJ35" s="45" t="str">
        <f t="shared" si="9"/>
        <v>NO</v>
      </c>
      <c r="AK35" s="45" t="str">
        <f t="shared" si="10"/>
        <v>NO</v>
      </c>
      <c r="AL35" s="45"/>
      <c r="AM35" s="45"/>
      <c r="AN35" s="45"/>
      <c r="AO35" s="49"/>
      <c r="AP35" s="45"/>
      <c r="AQ35" s="45"/>
      <c r="AR35" s="45" t="str">
        <f t="shared" si="11"/>
        <v>NO</v>
      </c>
      <c r="AS35" s="43"/>
    </row>
    <row r="36" spans="1:45" ht="44" customHeight="1">
      <c r="A36" s="45">
        <v>28</v>
      </c>
      <c r="B36" s="43" t="str">
        <f>'T01 revisión'!A32</f>
        <v>gudynas</v>
      </c>
      <c r="C36" s="43" t="str">
        <f>'T01 revisión'!B32</f>
        <v>Extractivismos</v>
      </c>
      <c r="D36" s="43" t="str">
        <f>'T01 revisión'!C32</f>
        <v>Eduardo Gudynas</v>
      </c>
      <c r="E36" s="43" t="str">
        <f>'T01 revisión'!D32</f>
        <v>A02</v>
      </c>
      <c r="F36" s="43" t="str">
        <f>'T01 revisión'!E32</f>
        <v>hispano (América Latina)</v>
      </c>
      <c r="G36" s="43" t="str">
        <f>'T01 revisión'!H32</f>
        <v>función territorial no demostrada</v>
      </c>
      <c r="H36" s="45" t="str">
        <f t="shared" si="0"/>
        <v>A</v>
      </c>
      <c r="I36" s="45"/>
      <c r="J36" s="45" t="str">
        <f t="shared" si="1"/>
        <v>GPT + muestra Claude/humana</v>
      </c>
      <c r="K36" s="43"/>
      <c r="L36" s="43"/>
      <c r="M36" s="43"/>
      <c r="N36" s="43"/>
      <c r="O36" s="43"/>
      <c r="P36" s="43"/>
      <c r="Q36" s="43"/>
      <c r="R36" s="43"/>
      <c r="S36" s="43"/>
      <c r="T36" s="43"/>
      <c r="U36" s="43"/>
      <c r="V36" s="43"/>
      <c r="W36" s="43"/>
      <c r="X36" s="43"/>
      <c r="Y36" s="43"/>
      <c r="Z36" s="43"/>
      <c r="AA36" s="43"/>
      <c r="AB36" s="43"/>
      <c r="AC36" s="45" t="str">
        <f t="shared" si="2"/>
        <v>pendiente</v>
      </c>
      <c r="AD36" s="45" t="str">
        <f t="shared" si="3"/>
        <v>pendiente</v>
      </c>
      <c r="AE36" s="45" t="str">
        <f t="shared" si="4"/>
        <v>pendiente</v>
      </c>
      <c r="AF36" s="45" t="str">
        <f t="shared" si="5"/>
        <v>pendiente</v>
      </c>
      <c r="AG36" s="45" t="str">
        <f t="shared" si="6"/>
        <v>insuficiente</v>
      </c>
      <c r="AH36" s="45" t="str">
        <f t="shared" si="7"/>
        <v>pendiente</v>
      </c>
      <c r="AI36" s="45" t="str">
        <f t="shared" si="8"/>
        <v>SI</v>
      </c>
      <c r="AJ36" s="45" t="str">
        <f t="shared" si="9"/>
        <v>NO</v>
      </c>
      <c r="AK36" s="45" t="str">
        <f t="shared" si="10"/>
        <v>NO</v>
      </c>
      <c r="AL36" s="45"/>
      <c r="AM36" s="45"/>
      <c r="AN36" s="45"/>
      <c r="AO36" s="49"/>
      <c r="AP36" s="45"/>
      <c r="AQ36" s="45"/>
      <c r="AR36" s="45" t="str">
        <f t="shared" si="11"/>
        <v>NO</v>
      </c>
      <c r="AS36" s="43"/>
    </row>
    <row r="37" spans="1:45" ht="44" customHeight="1">
      <c r="A37" s="45">
        <v>29</v>
      </c>
      <c r="B37" s="43" t="str">
        <f>'T01 revisión'!A33</f>
        <v>esquiva</v>
      </c>
      <c r="C37" s="43" t="str">
        <f>'T01 revisión'!B33</f>
        <v>La esquiva promesa de desarrollo</v>
      </c>
      <c r="D37" s="43" t="str">
        <f>'T01 revisión'!C33</f>
        <v>archivo</v>
      </c>
      <c r="E37" s="43" t="str">
        <f>'T01 revisión'!D33</f>
        <v>S01</v>
      </c>
      <c r="F37" s="43" t="str">
        <f>'T01 revisión'!E33</f>
        <v>hispano (Colombia)</v>
      </c>
      <c r="G37" s="43" t="str">
        <f>'T01 revisión'!H33</f>
        <v>función territorial no demostrada</v>
      </c>
      <c r="H37" s="45" t="str">
        <f t="shared" si="0"/>
        <v>A</v>
      </c>
      <c r="I37" s="45"/>
      <c r="J37" s="45" t="str">
        <f t="shared" si="1"/>
        <v>GPT + muestra Claude/humana</v>
      </c>
      <c r="K37" s="43"/>
      <c r="L37" s="43"/>
      <c r="M37" s="43"/>
      <c r="N37" s="43"/>
      <c r="O37" s="43"/>
      <c r="P37" s="43"/>
      <c r="Q37" s="43"/>
      <c r="R37" s="43"/>
      <c r="S37" s="43"/>
      <c r="T37" s="43"/>
      <c r="U37" s="43"/>
      <c r="V37" s="43"/>
      <c r="W37" s="43"/>
      <c r="X37" s="43"/>
      <c r="Y37" s="43"/>
      <c r="Z37" s="43"/>
      <c r="AA37" s="43"/>
      <c r="AB37" s="43"/>
      <c r="AC37" s="45" t="str">
        <f t="shared" si="2"/>
        <v>pendiente</v>
      </c>
      <c r="AD37" s="45" t="str">
        <f t="shared" si="3"/>
        <v>pendiente</v>
      </c>
      <c r="AE37" s="45" t="str">
        <f t="shared" si="4"/>
        <v>pendiente</v>
      </c>
      <c r="AF37" s="45" t="str">
        <f t="shared" si="5"/>
        <v>pendiente</v>
      </c>
      <c r="AG37" s="45" t="str">
        <f t="shared" si="6"/>
        <v>insuficiente</v>
      </c>
      <c r="AH37" s="45" t="str">
        <f t="shared" si="7"/>
        <v>pendiente</v>
      </c>
      <c r="AI37" s="45" t="str">
        <f t="shared" si="8"/>
        <v>NO</v>
      </c>
      <c r="AJ37" s="45" t="str">
        <f t="shared" si="9"/>
        <v>NO</v>
      </c>
      <c r="AK37" s="45" t="str">
        <f t="shared" si="10"/>
        <v>NO</v>
      </c>
      <c r="AL37" s="45"/>
      <c r="AM37" s="45"/>
      <c r="AN37" s="45"/>
      <c r="AO37" s="49"/>
      <c r="AP37" s="45"/>
      <c r="AQ37" s="45"/>
      <c r="AR37" s="45" t="str">
        <f t="shared" si="11"/>
        <v>NO</v>
      </c>
      <c r="AS37" s="43"/>
    </row>
    <row r="38" spans="1:45" ht="44" customHeight="1">
      <c r="A38" s="45">
        <v>30</v>
      </c>
      <c r="B38" s="43" t="str">
        <f>'T01 revisión'!A34</f>
        <v>workercane</v>
      </c>
      <c r="C38" s="43" t="str">
        <f>'T01 revisión'!B34</f>
        <v>Worker in the Cane: A Puerto Rican Life History</v>
      </c>
      <c r="D38" s="43" t="str">
        <f>'T01 revisión'!C34</f>
        <v>Sidney W. Mintz</v>
      </c>
      <c r="E38" s="43" t="str">
        <f>'T01 revisión'!D34</f>
        <v>A02</v>
      </c>
      <c r="F38" s="43" t="str">
        <f>'T01 revisión'!E34</f>
        <v>anglófono (EE.UU.)</v>
      </c>
      <c r="G38" s="43" t="str">
        <f>'T01 revisión'!H34</f>
        <v>abreviaturas por normalizar; función territorial no demostrada</v>
      </c>
      <c r="H38" s="45" t="str">
        <f t="shared" si="0"/>
        <v>A</v>
      </c>
      <c r="I38" s="45"/>
      <c r="J38" s="45" t="str">
        <f t="shared" si="1"/>
        <v>GPT + muestra Claude/humana</v>
      </c>
      <c r="K38" s="43"/>
      <c r="L38" s="43"/>
      <c r="M38" s="43"/>
      <c r="N38" s="43"/>
      <c r="O38" s="43"/>
      <c r="P38" s="43"/>
      <c r="Q38" s="43"/>
      <c r="R38" s="43"/>
      <c r="S38" s="43"/>
      <c r="T38" s="43"/>
      <c r="U38" s="43"/>
      <c r="V38" s="43"/>
      <c r="W38" s="43"/>
      <c r="X38" s="43"/>
      <c r="Y38" s="43"/>
      <c r="Z38" s="43"/>
      <c r="AA38" s="43"/>
      <c r="AB38" s="43"/>
      <c r="AC38" s="45" t="str">
        <f t="shared" si="2"/>
        <v>pendiente</v>
      </c>
      <c r="AD38" s="45" t="str">
        <f t="shared" si="3"/>
        <v>pendiente</v>
      </c>
      <c r="AE38" s="45" t="str">
        <f t="shared" si="4"/>
        <v>pendiente</v>
      </c>
      <c r="AF38" s="45" t="str">
        <f t="shared" si="5"/>
        <v>pendiente</v>
      </c>
      <c r="AG38" s="45" t="str">
        <f t="shared" si="6"/>
        <v>insuficiente</v>
      </c>
      <c r="AH38" s="45" t="str">
        <f t="shared" si="7"/>
        <v>pendiente</v>
      </c>
      <c r="AI38" s="45" t="str">
        <f t="shared" si="8"/>
        <v>NO</v>
      </c>
      <c r="AJ38" s="45" t="str">
        <f t="shared" si="9"/>
        <v>muestra</v>
      </c>
      <c r="AK38" s="45" t="str">
        <f t="shared" si="10"/>
        <v>NO</v>
      </c>
      <c r="AL38" s="45"/>
      <c r="AM38" s="45"/>
      <c r="AN38" s="45"/>
      <c r="AO38" s="49"/>
      <c r="AP38" s="45"/>
      <c r="AQ38" s="45"/>
      <c r="AR38" s="45" t="str">
        <f t="shared" si="11"/>
        <v>NO</v>
      </c>
      <c r="AS38" s="43"/>
    </row>
    <row r="39" spans="1:45" ht="44" customHeight="1">
      <c r="A39" s="45">
        <v>31</v>
      </c>
      <c r="B39" s="43" t="str">
        <f>'T01 revisión'!A35</f>
        <v>steward</v>
      </c>
      <c r="C39" s="43" t="str">
        <f>'T01 revisión'!B35</f>
        <v>The People of Puerto Rico: A Study in Social Anthropology</v>
      </c>
      <c r="D39" s="43" t="str">
        <f>'T01 revisión'!C35</f>
        <v>Julian Steward et al. (con Mintz, Wolf, Padilla Seda)</v>
      </c>
      <c r="E39" s="43" t="str">
        <f>'T01 revisión'!D35</f>
        <v>P00</v>
      </c>
      <c r="F39" s="43" t="str">
        <f>'T01 revisión'!E35</f>
        <v>anglófono (EE.UU.)</v>
      </c>
      <c r="G39" s="43" t="str">
        <f>'T01 revisión'!H35</f>
        <v>abreviaturas por normalizar; función territorial no demostrada</v>
      </c>
      <c r="H39" s="45" t="str">
        <f t="shared" si="0"/>
        <v>A</v>
      </c>
      <c r="I39" s="45"/>
      <c r="J39" s="45" t="str">
        <f t="shared" si="1"/>
        <v>GPT + muestra Claude/humana</v>
      </c>
      <c r="K39" s="43" t="s">
        <v>3005</v>
      </c>
      <c r="L39" s="43" t="s">
        <v>2340</v>
      </c>
      <c r="M39" s="43"/>
      <c r="N39" s="43" t="s">
        <v>2370</v>
      </c>
      <c r="O39" s="43"/>
      <c r="P39" s="43" t="s">
        <v>3006</v>
      </c>
      <c r="Q39" s="43" t="s">
        <v>3007</v>
      </c>
      <c r="R39" s="43" t="s">
        <v>3008</v>
      </c>
      <c r="S39" s="43" t="s">
        <v>2229</v>
      </c>
      <c r="T39" s="43"/>
      <c r="U39" s="43"/>
      <c r="V39" s="43"/>
      <c r="W39" s="43"/>
      <c r="X39" s="43"/>
      <c r="Y39" s="43"/>
      <c r="Z39" s="43"/>
      <c r="AA39" s="43"/>
      <c r="AB39" s="43"/>
      <c r="AC39" s="45" t="str">
        <f t="shared" si="2"/>
        <v>pendiente</v>
      </c>
      <c r="AD39" s="45" t="str">
        <f t="shared" si="3"/>
        <v>pendiente</v>
      </c>
      <c r="AE39" s="45" t="str">
        <f t="shared" si="4"/>
        <v>pendiente</v>
      </c>
      <c r="AF39" s="45" t="str">
        <f t="shared" si="5"/>
        <v>pendiente</v>
      </c>
      <c r="AG39" s="45" t="str">
        <f t="shared" si="6"/>
        <v>GPT completa</v>
      </c>
      <c r="AH39" s="45" t="str">
        <f t="shared" si="7"/>
        <v>dictamen_unico_A</v>
      </c>
      <c r="AI39" s="45" t="str">
        <f t="shared" si="8"/>
        <v>NO</v>
      </c>
      <c r="AJ39" s="45" t="str">
        <f t="shared" si="9"/>
        <v>NO</v>
      </c>
      <c r="AK39" s="45" t="str">
        <f t="shared" si="10"/>
        <v>NO</v>
      </c>
      <c r="AL39" s="45"/>
      <c r="AM39" s="45"/>
      <c r="AN39" s="45"/>
      <c r="AO39" s="49"/>
      <c r="AP39" s="45"/>
      <c r="AQ39" s="45"/>
      <c r="AR39" s="45" t="str">
        <f t="shared" si="11"/>
        <v>NO</v>
      </c>
      <c r="AS39" s="43" t="s">
        <v>3009</v>
      </c>
    </row>
    <row r="40" spans="1:45" ht="44" customHeight="1">
      <c r="A40" s="45">
        <v>32</v>
      </c>
      <c r="B40" s="43" t="str">
        <f>'T01 revisión'!A36</f>
        <v>olwigstjohn</v>
      </c>
      <c r="C40" s="43" t="str">
        <f>'T01 revisión'!B36</f>
        <v>Cultural Adaptation and Resistance on St. John</v>
      </c>
      <c r="D40" s="43" t="str">
        <f>'T01 revisión'!C36</f>
        <v>Karen Fog Olwig</v>
      </c>
      <c r="E40" s="43" t="str">
        <f>'T01 revisión'!D36</f>
        <v>B02</v>
      </c>
      <c r="F40" s="43" t="str">
        <f>'T01 revisión'!E36</f>
        <v>anglófono (hoy EE.UU., antes colonia danesa)</v>
      </c>
      <c r="G40" s="43" t="str">
        <f>'T01 revisión'!H36</f>
        <v>múltiples lenguas; mezcla temporalidad colonial; abreviaturas por normalizar; función territorial no demostrada</v>
      </c>
      <c r="H40" s="45" t="str">
        <f t="shared" si="0"/>
        <v>B</v>
      </c>
      <c r="I40" s="45"/>
      <c r="J40" s="45" t="str">
        <f t="shared" si="1"/>
        <v>GPT + Claude ciegos; control abreviado</v>
      </c>
      <c r="K40" s="43" t="s">
        <v>3010</v>
      </c>
      <c r="L40" s="43" t="s">
        <v>2340</v>
      </c>
      <c r="M40" s="43"/>
      <c r="N40" s="43" t="s">
        <v>3011</v>
      </c>
      <c r="O40" s="43"/>
      <c r="P40" s="43" t="s">
        <v>3012</v>
      </c>
      <c r="Q40" s="43" t="s">
        <v>3013</v>
      </c>
      <c r="R40" s="43" t="s">
        <v>3014</v>
      </c>
      <c r="S40" s="43" t="s">
        <v>2270</v>
      </c>
      <c r="T40" s="43"/>
      <c r="U40" s="43"/>
      <c r="V40" s="43"/>
      <c r="W40" s="43"/>
      <c r="X40" s="43"/>
      <c r="Y40" s="43"/>
      <c r="Z40" s="43"/>
      <c r="AA40" s="43"/>
      <c r="AB40" s="43"/>
      <c r="AC40" s="45" t="str">
        <f t="shared" si="2"/>
        <v>pendiente</v>
      </c>
      <c r="AD40" s="45" t="str">
        <f t="shared" si="3"/>
        <v>pendiente</v>
      </c>
      <c r="AE40" s="45" t="str">
        <f t="shared" si="4"/>
        <v>pendiente</v>
      </c>
      <c r="AF40" s="45" t="str">
        <f t="shared" si="5"/>
        <v>pendiente</v>
      </c>
      <c r="AG40" s="45" t="str">
        <f t="shared" si="6"/>
        <v>insuficiente</v>
      </c>
      <c r="AH40" s="45" t="str">
        <f t="shared" si="7"/>
        <v>pendiente</v>
      </c>
      <c r="AI40" s="45" t="str">
        <f t="shared" si="8"/>
        <v>SI</v>
      </c>
      <c r="AJ40" s="45" t="str">
        <f t="shared" si="9"/>
        <v>abreviado</v>
      </c>
      <c r="AK40" s="45" t="str">
        <f t="shared" si="10"/>
        <v>SI</v>
      </c>
      <c r="AL40" s="45"/>
      <c r="AM40" s="45"/>
      <c r="AN40" s="45"/>
      <c r="AO40" s="49"/>
      <c r="AP40" s="45"/>
      <c r="AQ40" s="45"/>
      <c r="AR40" s="45" t="str">
        <f t="shared" si="11"/>
        <v>NO</v>
      </c>
      <c r="AS40" s="43" t="s">
        <v>3015</v>
      </c>
    </row>
    <row r="41" spans="1:45" ht="44" customHeight="1">
      <c r="A41" s="45">
        <v>33</v>
      </c>
      <c r="B41" s="43" t="str">
        <f>'T01 revisión'!A37</f>
        <v>hagedorn</v>
      </c>
      <c r="C41" s="43" t="str">
        <f>'T01 revisión'!B37</f>
        <v>Divine Utterances: The Performance of Afro-Cuban Santería</v>
      </c>
      <c r="D41" s="43" t="str">
        <f>'T01 revisión'!C37</f>
        <v>Katherine J. Hagedorn</v>
      </c>
      <c r="E41" s="43" t="str">
        <f>'T01 revisión'!D37</f>
        <v>B05</v>
      </c>
      <c r="F41" s="43" t="str">
        <f>'T01 revisión'!E37</f>
        <v>anglófono (EE.UU.)</v>
      </c>
      <c r="G41" s="43" t="str">
        <f>'T01 revisión'!H37</f>
        <v>abreviaturas por normalizar; función territorial no demostrada</v>
      </c>
      <c r="H41" s="45" t="str">
        <f t="shared" si="0"/>
        <v>A</v>
      </c>
      <c r="I41" s="45"/>
      <c r="J41" s="45" t="str">
        <f t="shared" si="1"/>
        <v>GPT + muestra Claude/humana</v>
      </c>
      <c r="K41" s="43"/>
      <c r="L41" s="43"/>
      <c r="M41" s="43"/>
      <c r="N41" s="43"/>
      <c r="O41" s="43"/>
      <c r="P41" s="43"/>
      <c r="Q41" s="43"/>
      <c r="R41" s="43"/>
      <c r="S41" s="43"/>
      <c r="T41" s="43"/>
      <c r="U41" s="43"/>
      <c r="V41" s="43"/>
      <c r="W41" s="43"/>
      <c r="X41" s="43"/>
      <c r="Y41" s="43"/>
      <c r="Z41" s="43"/>
      <c r="AA41" s="43"/>
      <c r="AB41" s="43"/>
      <c r="AC41" s="45" t="str">
        <f t="shared" si="2"/>
        <v>pendiente</v>
      </c>
      <c r="AD41" s="45" t="str">
        <f t="shared" si="3"/>
        <v>pendiente</v>
      </c>
      <c r="AE41" s="45" t="str">
        <f t="shared" si="4"/>
        <v>pendiente</v>
      </c>
      <c r="AF41" s="45" t="str">
        <f t="shared" si="5"/>
        <v>pendiente</v>
      </c>
      <c r="AG41" s="45" t="str">
        <f t="shared" si="6"/>
        <v>insuficiente</v>
      </c>
      <c r="AH41" s="45" t="str">
        <f t="shared" si="7"/>
        <v>pendiente</v>
      </c>
      <c r="AI41" s="45" t="str">
        <f t="shared" si="8"/>
        <v>NO</v>
      </c>
      <c r="AJ41" s="45" t="str">
        <f t="shared" si="9"/>
        <v>NO</v>
      </c>
      <c r="AK41" s="45" t="str">
        <f t="shared" si="10"/>
        <v>NO</v>
      </c>
      <c r="AL41" s="45"/>
      <c r="AM41" s="45"/>
      <c r="AN41" s="45"/>
      <c r="AO41" s="49"/>
      <c r="AP41" s="45"/>
      <c r="AQ41" s="45"/>
      <c r="AR41" s="45" t="str">
        <f t="shared" si="11"/>
        <v>NO</v>
      </c>
      <c r="AS41" s="43"/>
    </row>
    <row r="42" spans="1:45" ht="44" customHeight="1">
      <c r="A42" s="45">
        <v>34</v>
      </c>
      <c r="B42" s="43" t="str">
        <f>'T01 revisión'!A38</f>
        <v>pricefirst</v>
      </c>
      <c r="C42" s="43" t="str">
        <f>'T01 revisión'!B38</f>
        <v>First-Time: The Historical Vision of an Afro-American People</v>
      </c>
      <c r="D42" s="43" t="str">
        <f>'T01 revisión'!C38</f>
        <v>Richard Price</v>
      </c>
      <c r="E42" s="43" t="str">
        <f>'T01 revisión'!D38</f>
        <v>B02</v>
      </c>
      <c r="F42" s="43" t="str">
        <f>'T01 revisión'!E38</f>
        <v>anglófono (EE.UU./Surinam)</v>
      </c>
      <c r="G42" s="43" t="str">
        <f>'T01 revisión'!H38</f>
        <v>varias procedencias o territorios; abreviaturas por normalizar; función territorial no demostrada</v>
      </c>
      <c r="H42" s="45" t="str">
        <f t="shared" si="0"/>
        <v>B</v>
      </c>
      <c r="I42" s="45"/>
      <c r="J42" s="45" t="str">
        <f t="shared" si="1"/>
        <v>GPT + Claude ciegos; control abreviado</v>
      </c>
      <c r="K42" s="43"/>
      <c r="L42" s="43"/>
      <c r="M42" s="43"/>
      <c r="N42" s="43"/>
      <c r="O42" s="43"/>
      <c r="P42" s="43"/>
      <c r="Q42" s="43"/>
      <c r="R42" s="43"/>
      <c r="S42" s="43"/>
      <c r="T42" s="43"/>
      <c r="U42" s="43"/>
      <c r="V42" s="43"/>
      <c r="W42" s="43"/>
      <c r="X42" s="43"/>
      <c r="Y42" s="43"/>
      <c r="Z42" s="43"/>
      <c r="AA42" s="43"/>
      <c r="AB42" s="43"/>
      <c r="AC42" s="45" t="str">
        <f t="shared" si="2"/>
        <v>pendiente</v>
      </c>
      <c r="AD42" s="45" t="str">
        <f t="shared" si="3"/>
        <v>pendiente</v>
      </c>
      <c r="AE42" s="45" t="str">
        <f t="shared" si="4"/>
        <v>pendiente</v>
      </c>
      <c r="AF42" s="45" t="str">
        <f t="shared" si="5"/>
        <v>pendiente</v>
      </c>
      <c r="AG42" s="45" t="str">
        <f t="shared" si="6"/>
        <v>insuficiente</v>
      </c>
      <c r="AH42" s="45" t="str">
        <f t="shared" si="7"/>
        <v>pendiente</v>
      </c>
      <c r="AI42" s="45" t="str">
        <f t="shared" si="8"/>
        <v>SI</v>
      </c>
      <c r="AJ42" s="45" t="str">
        <f t="shared" si="9"/>
        <v>abreviado</v>
      </c>
      <c r="AK42" s="45" t="str">
        <f t="shared" si="10"/>
        <v>NO</v>
      </c>
      <c r="AL42" s="45"/>
      <c r="AM42" s="45"/>
      <c r="AN42" s="45"/>
      <c r="AO42" s="49"/>
      <c r="AP42" s="45"/>
      <c r="AQ42" s="45"/>
      <c r="AR42" s="45" t="str">
        <f t="shared" si="11"/>
        <v>NO</v>
      </c>
      <c r="AS42" s="43"/>
    </row>
    <row r="43" spans="1:45" ht="44" customHeight="1">
      <c r="A43" s="45">
        <v>35</v>
      </c>
      <c r="B43" s="43" t="str">
        <f>'T01 revisión'!A39</f>
        <v>dunham</v>
      </c>
      <c r="C43" s="43" t="str">
        <f>'T01 revisión'!B39</f>
        <v>Island Possessed</v>
      </c>
      <c r="D43" s="43" t="str">
        <f>'T01 revisión'!C39</f>
        <v>Katherine Dunham</v>
      </c>
      <c r="E43" s="43" t="str">
        <f>'T01 revisión'!D39</f>
        <v>B05</v>
      </c>
      <c r="F43" s="43" t="str">
        <f>'T01 revisión'!E39</f>
        <v>anglófono (EE.UU.)</v>
      </c>
      <c r="G43" s="43" t="str">
        <f>'T01 revisión'!H39</f>
        <v>abreviaturas por normalizar; función territorial no demostrada</v>
      </c>
      <c r="H43" s="45" t="str">
        <f t="shared" si="0"/>
        <v>A</v>
      </c>
      <c r="I43" s="45"/>
      <c r="J43" s="45" t="str">
        <f t="shared" si="1"/>
        <v>GPT + muestra Claude/humana</v>
      </c>
      <c r="K43" s="43"/>
      <c r="L43" s="43"/>
      <c r="M43" s="43"/>
      <c r="N43" s="43"/>
      <c r="O43" s="43"/>
      <c r="P43" s="43"/>
      <c r="Q43" s="43"/>
      <c r="R43" s="43"/>
      <c r="S43" s="43"/>
      <c r="T43" s="43"/>
      <c r="U43" s="43"/>
      <c r="V43" s="43"/>
      <c r="W43" s="43"/>
      <c r="X43" s="43"/>
      <c r="Y43" s="43"/>
      <c r="Z43" s="43"/>
      <c r="AA43" s="43"/>
      <c r="AB43" s="43"/>
      <c r="AC43" s="45" t="str">
        <f t="shared" si="2"/>
        <v>pendiente</v>
      </c>
      <c r="AD43" s="45" t="str">
        <f t="shared" si="3"/>
        <v>pendiente</v>
      </c>
      <c r="AE43" s="45" t="str">
        <f t="shared" si="4"/>
        <v>pendiente</v>
      </c>
      <c r="AF43" s="45" t="str">
        <f t="shared" si="5"/>
        <v>pendiente</v>
      </c>
      <c r="AG43" s="45" t="str">
        <f t="shared" si="6"/>
        <v>insuficiente</v>
      </c>
      <c r="AH43" s="45" t="str">
        <f t="shared" si="7"/>
        <v>pendiente</v>
      </c>
      <c r="AI43" s="45" t="str">
        <f t="shared" si="8"/>
        <v>SI</v>
      </c>
      <c r="AJ43" s="45" t="str">
        <f t="shared" si="9"/>
        <v>NO</v>
      </c>
      <c r="AK43" s="45" t="str">
        <f t="shared" si="10"/>
        <v>NO</v>
      </c>
      <c r="AL43" s="45"/>
      <c r="AM43" s="45"/>
      <c r="AN43" s="45"/>
      <c r="AO43" s="49"/>
      <c r="AP43" s="45"/>
      <c r="AQ43" s="45"/>
      <c r="AR43" s="45" t="str">
        <f t="shared" si="11"/>
        <v>NO</v>
      </c>
      <c r="AS43" s="43"/>
    </row>
    <row r="44" spans="1:45" ht="44" customHeight="1">
      <c r="A44" s="45">
        <v>36</v>
      </c>
      <c r="B44" s="43" t="str">
        <f>'T01 revisión'!A40</f>
        <v>friedemannlengua</v>
      </c>
      <c r="C44" s="43" t="str">
        <f>'T01 revisión'!B40</f>
        <v>Lengua y sociedad en el Palenque de San Basilio</v>
      </c>
      <c r="D44" s="43" t="str">
        <f>'T01 revisión'!C40</f>
        <v>Carlos Patiño Rosselli &amp; Nina S. de Friedemann</v>
      </c>
      <c r="E44" s="43" t="str">
        <f>'T01 revisión'!D40</f>
        <v>B04</v>
      </c>
      <c r="F44" s="43" t="str">
        <f>'T01 revisión'!E40</f>
        <v>hispano (Colombia)</v>
      </c>
      <c r="G44" s="43" t="str">
        <f>'T01 revisión'!H40</f>
        <v>función territorial no demostrada</v>
      </c>
      <c r="H44" s="45" t="str">
        <f t="shared" si="0"/>
        <v>A</v>
      </c>
      <c r="I44" s="45"/>
      <c r="J44" s="45" t="str">
        <f t="shared" si="1"/>
        <v>GPT + muestra Claude/humana</v>
      </c>
      <c r="K44" s="43"/>
      <c r="L44" s="43"/>
      <c r="M44" s="43"/>
      <c r="N44" s="43"/>
      <c r="O44" s="43"/>
      <c r="P44" s="43"/>
      <c r="Q44" s="43"/>
      <c r="R44" s="43"/>
      <c r="S44" s="43"/>
      <c r="T44" s="43"/>
      <c r="U44" s="43"/>
      <c r="V44" s="43"/>
      <c r="W44" s="43"/>
      <c r="X44" s="43"/>
      <c r="Y44" s="43"/>
      <c r="Z44" s="43"/>
      <c r="AA44" s="43"/>
      <c r="AB44" s="43"/>
      <c r="AC44" s="45" t="str">
        <f t="shared" si="2"/>
        <v>pendiente</v>
      </c>
      <c r="AD44" s="45" t="str">
        <f t="shared" si="3"/>
        <v>pendiente</v>
      </c>
      <c r="AE44" s="45" t="str">
        <f t="shared" si="4"/>
        <v>pendiente</v>
      </c>
      <c r="AF44" s="45" t="str">
        <f t="shared" si="5"/>
        <v>pendiente</v>
      </c>
      <c r="AG44" s="45" t="str">
        <f t="shared" si="6"/>
        <v>insuficiente</v>
      </c>
      <c r="AH44" s="45" t="str">
        <f t="shared" si="7"/>
        <v>pendiente</v>
      </c>
      <c r="AI44" s="45" t="str">
        <f t="shared" si="8"/>
        <v>NO</v>
      </c>
      <c r="AJ44" s="45" t="str">
        <f t="shared" si="9"/>
        <v>NO</v>
      </c>
      <c r="AK44" s="45" t="str">
        <f t="shared" si="10"/>
        <v>NO</v>
      </c>
      <c r="AL44" s="45"/>
      <c r="AM44" s="45"/>
      <c r="AN44" s="45"/>
      <c r="AO44" s="49"/>
      <c r="AP44" s="45"/>
      <c r="AQ44" s="45"/>
      <c r="AR44" s="45" t="str">
        <f t="shared" si="11"/>
        <v>NO</v>
      </c>
      <c r="AS44" s="43"/>
    </row>
    <row r="45" spans="1:45" ht="44" customHeight="1">
      <c r="A45" s="45">
        <v>37</v>
      </c>
      <c r="B45" s="43" t="str">
        <f>'T01 revisión'!A41</f>
        <v>mamalola</v>
      </c>
      <c r="C45" s="43" t="str">
        <f>'T01 revisión'!B41</f>
        <v>Mama Lola: A Vodou Priestess in Brooklyn</v>
      </c>
      <c r="D45" s="43" t="str">
        <f>'T01 revisión'!C41</f>
        <v>Karen McCarthy Brown</v>
      </c>
      <c r="E45" s="43" t="str">
        <f>'T01 revisión'!D41</f>
        <v>B05</v>
      </c>
      <c r="F45" s="43" t="str">
        <f>'T01 revisión'!E41</f>
        <v>anglófono (EE.UU., diáspora en Brooklyn)</v>
      </c>
      <c r="G45" s="43" t="str">
        <f>'T01 revisión'!H41</f>
        <v>mezcla trayectoria diaspórica; abreviaturas por normalizar; función territorial no demostrada</v>
      </c>
      <c r="H45" s="45" t="str">
        <f t="shared" si="0"/>
        <v>B</v>
      </c>
      <c r="I45" s="45"/>
      <c r="J45" s="45" t="str">
        <f t="shared" si="1"/>
        <v>GPT + Claude ciegos; control abreviado</v>
      </c>
      <c r="K45" s="43" t="s">
        <v>3016</v>
      </c>
      <c r="L45" s="43" t="s">
        <v>2340</v>
      </c>
      <c r="M45" s="43"/>
      <c r="N45" s="43" t="s">
        <v>3017</v>
      </c>
      <c r="O45" s="43"/>
      <c r="P45" s="43" t="s">
        <v>3018</v>
      </c>
      <c r="Q45" s="43" t="s">
        <v>3019</v>
      </c>
      <c r="R45" s="43" t="s">
        <v>3020</v>
      </c>
      <c r="S45" s="43" t="s">
        <v>2229</v>
      </c>
      <c r="T45" s="43"/>
      <c r="U45" s="43"/>
      <c r="V45" s="43"/>
      <c r="W45" s="43"/>
      <c r="X45" s="43"/>
      <c r="Y45" s="43"/>
      <c r="Z45" s="43"/>
      <c r="AA45" s="43"/>
      <c r="AB45" s="43"/>
      <c r="AC45" s="45" t="str">
        <f t="shared" si="2"/>
        <v>pendiente</v>
      </c>
      <c r="AD45" s="45" t="str">
        <f t="shared" si="3"/>
        <v>pendiente</v>
      </c>
      <c r="AE45" s="45" t="str">
        <f t="shared" si="4"/>
        <v>pendiente</v>
      </c>
      <c r="AF45" s="45" t="str">
        <f t="shared" si="5"/>
        <v>pendiente</v>
      </c>
      <c r="AG45" s="45" t="str">
        <f t="shared" si="6"/>
        <v>insuficiente</v>
      </c>
      <c r="AH45" s="45" t="str">
        <f t="shared" si="7"/>
        <v>pendiente</v>
      </c>
      <c r="AI45" s="45" t="str">
        <f t="shared" si="8"/>
        <v>SI</v>
      </c>
      <c r="AJ45" s="45" t="str">
        <f t="shared" si="9"/>
        <v>abreviado</v>
      </c>
      <c r="AK45" s="45" t="str">
        <f t="shared" si="10"/>
        <v>SI</v>
      </c>
      <c r="AL45" s="45"/>
      <c r="AM45" s="45"/>
      <c r="AN45" s="45"/>
      <c r="AO45" s="49"/>
      <c r="AP45" s="45"/>
      <c r="AQ45" s="45"/>
      <c r="AR45" s="45" t="str">
        <f t="shared" si="11"/>
        <v>NO</v>
      </c>
      <c r="AS45" s="43" t="s">
        <v>3021</v>
      </c>
    </row>
    <row r="46" spans="1:45" ht="44" customHeight="1">
      <c r="A46" s="45">
        <v>38</v>
      </c>
      <c r="B46" s="43" t="str">
        <f>'T01 revisión'!A42</f>
        <v>besson</v>
      </c>
      <c r="C46" s="43" t="str">
        <f>'T01 revisión'!B42</f>
        <v>Martha Brae's Two Histories</v>
      </c>
      <c r="D46" s="43" t="str">
        <f>'T01 revisión'!C42</f>
        <v>Jean Besson</v>
      </c>
      <c r="E46" s="43" t="str">
        <f>'T01 revisión'!D42</f>
        <v>B02</v>
      </c>
      <c r="F46" s="43" t="str">
        <f>'T01 revisión'!E42</f>
        <v>anglófono (Jamaica/R.U.)</v>
      </c>
      <c r="G46" s="43" t="str">
        <f>'T01 revisión'!H42</f>
        <v>varias procedencias o territorios; abreviaturas por normalizar; función territorial no demostrada</v>
      </c>
      <c r="H46" s="45" t="str">
        <f t="shared" si="0"/>
        <v>B</v>
      </c>
      <c r="I46" s="45"/>
      <c r="J46" s="45" t="str">
        <f t="shared" si="1"/>
        <v>GPT + Claude ciegos; control abreviado</v>
      </c>
      <c r="K46" s="43"/>
      <c r="L46" s="43"/>
      <c r="M46" s="43"/>
      <c r="N46" s="43"/>
      <c r="O46" s="43"/>
      <c r="P46" s="43"/>
      <c r="Q46" s="43"/>
      <c r="R46" s="43"/>
      <c r="S46" s="43"/>
      <c r="T46" s="43"/>
      <c r="U46" s="43"/>
      <c r="V46" s="43"/>
      <c r="W46" s="43"/>
      <c r="X46" s="43"/>
      <c r="Y46" s="43"/>
      <c r="Z46" s="43"/>
      <c r="AA46" s="43"/>
      <c r="AB46" s="43"/>
      <c r="AC46" s="45" t="str">
        <f t="shared" si="2"/>
        <v>pendiente</v>
      </c>
      <c r="AD46" s="45" t="str">
        <f t="shared" si="3"/>
        <v>pendiente</v>
      </c>
      <c r="AE46" s="45" t="str">
        <f t="shared" si="4"/>
        <v>pendiente</v>
      </c>
      <c r="AF46" s="45" t="str">
        <f t="shared" si="5"/>
        <v>pendiente</v>
      </c>
      <c r="AG46" s="45" t="str">
        <f t="shared" si="6"/>
        <v>insuficiente</v>
      </c>
      <c r="AH46" s="45" t="str">
        <f t="shared" si="7"/>
        <v>pendiente</v>
      </c>
      <c r="AI46" s="45" t="str">
        <f t="shared" si="8"/>
        <v>SI</v>
      </c>
      <c r="AJ46" s="45" t="str">
        <f t="shared" si="9"/>
        <v>abreviado</v>
      </c>
      <c r="AK46" s="45" t="str">
        <f t="shared" si="10"/>
        <v>NO</v>
      </c>
      <c r="AL46" s="45"/>
      <c r="AM46" s="45"/>
      <c r="AN46" s="45"/>
      <c r="AO46" s="49"/>
      <c r="AP46" s="45"/>
      <c r="AQ46" s="45"/>
      <c r="AR46" s="45" t="str">
        <f t="shared" si="11"/>
        <v>NO</v>
      </c>
      <c r="AS46" s="43"/>
    </row>
    <row r="47" spans="1:45" ht="44" customHeight="1">
      <c r="A47" s="45">
        <v>39</v>
      </c>
      <c r="B47" s="43" t="str">
        <f>'T01 revisión'!A43</f>
        <v>taylor</v>
      </c>
      <c r="C47" s="43" t="str">
        <f>'T01 revisión'!B43</f>
        <v>Nation Dance: Religion, Identity, and Cultural Difference in the Caribbean</v>
      </c>
      <c r="D47" s="43" t="str">
        <f>'T01 revisión'!C43</f>
        <v>Patrick Taylor (ed.)</v>
      </c>
      <c r="E47" s="43" t="str">
        <f>'T01 revisión'!D43</f>
        <v>B05</v>
      </c>
      <c r="F47" s="43" t="str">
        <f>'T01 revisión'!E43</f>
        <v>anglófono (Trinidad)</v>
      </c>
      <c r="G47" s="43" t="str">
        <f>'T01 revisión'!H43</f>
        <v>función territorial no demostrada</v>
      </c>
      <c r="H47" s="45" t="str">
        <f t="shared" si="0"/>
        <v>A</v>
      </c>
      <c r="I47" s="45"/>
      <c r="J47" s="45" t="str">
        <f t="shared" si="1"/>
        <v>GPT + muestra Claude/humana</v>
      </c>
      <c r="K47" s="43"/>
      <c r="L47" s="43"/>
      <c r="M47" s="43"/>
      <c r="N47" s="43"/>
      <c r="O47" s="43"/>
      <c r="P47" s="43"/>
      <c r="Q47" s="43"/>
      <c r="R47" s="43"/>
      <c r="S47" s="43"/>
      <c r="T47" s="43"/>
      <c r="U47" s="43"/>
      <c r="V47" s="43"/>
      <c r="W47" s="43"/>
      <c r="X47" s="43"/>
      <c r="Y47" s="43"/>
      <c r="Z47" s="43"/>
      <c r="AA47" s="43"/>
      <c r="AB47" s="43"/>
      <c r="AC47" s="45" t="str">
        <f t="shared" si="2"/>
        <v>pendiente</v>
      </c>
      <c r="AD47" s="45" t="str">
        <f t="shared" si="3"/>
        <v>pendiente</v>
      </c>
      <c r="AE47" s="45" t="str">
        <f t="shared" si="4"/>
        <v>pendiente</v>
      </c>
      <c r="AF47" s="45" t="str">
        <f t="shared" si="5"/>
        <v>pendiente</v>
      </c>
      <c r="AG47" s="45" t="str">
        <f t="shared" si="6"/>
        <v>insuficiente</v>
      </c>
      <c r="AH47" s="45" t="str">
        <f t="shared" si="7"/>
        <v>pendiente</v>
      </c>
      <c r="AI47" s="45" t="str">
        <f t="shared" si="8"/>
        <v>NO</v>
      </c>
      <c r="AJ47" s="45" t="str">
        <f t="shared" si="9"/>
        <v>NO</v>
      </c>
      <c r="AK47" s="45" t="str">
        <f t="shared" si="10"/>
        <v>NO</v>
      </c>
      <c r="AL47" s="45"/>
      <c r="AM47" s="45"/>
      <c r="AN47" s="45"/>
      <c r="AO47" s="49"/>
      <c r="AP47" s="45"/>
      <c r="AQ47" s="45"/>
      <c r="AR47" s="45" t="str">
        <f t="shared" si="11"/>
        <v>NO</v>
      </c>
      <c r="AS47" s="43"/>
    </row>
    <row r="48" spans="1:45" ht="44" customHeight="1">
      <c r="A48" s="45">
        <v>40</v>
      </c>
      <c r="B48" s="43" t="str">
        <f>'T01 revisión'!A44</f>
        <v>peasantscapital</v>
      </c>
      <c r="C48" s="43" t="str">
        <f>'T01 revisión'!B44</f>
        <v>Peasants and Capital: Dominica in the World Economy</v>
      </c>
      <c r="D48" s="43" t="str">
        <f>'T01 revisión'!C44</f>
        <v>Michel-Rolph Trouillot</v>
      </c>
      <c r="E48" s="43" t="str">
        <f>'T01 revisión'!D44</f>
        <v>A02</v>
      </c>
      <c r="F48" s="43" t="str">
        <f>'T01 revisión'!E44</f>
        <v>anglófono (Haití/EE.UU.)</v>
      </c>
      <c r="G48" s="43" t="str">
        <f>'T01 revisión'!H44</f>
        <v>varias procedencias o territorios; abreviaturas por normalizar; función territorial no demostrada</v>
      </c>
      <c r="H48" s="45" t="str">
        <f t="shared" si="0"/>
        <v>B</v>
      </c>
      <c r="I48" s="45"/>
      <c r="J48" s="45" t="str">
        <f t="shared" si="1"/>
        <v>GPT + Claude ciegos; control abreviado</v>
      </c>
      <c r="K48" s="43"/>
      <c r="L48" s="43"/>
      <c r="M48" s="43"/>
      <c r="N48" s="43"/>
      <c r="O48" s="43"/>
      <c r="P48" s="43"/>
      <c r="Q48" s="43"/>
      <c r="R48" s="43"/>
      <c r="S48" s="43"/>
      <c r="T48" s="43"/>
      <c r="U48" s="43"/>
      <c r="V48" s="43"/>
      <c r="W48" s="43"/>
      <c r="X48" s="43"/>
      <c r="Y48" s="43"/>
      <c r="Z48" s="43"/>
      <c r="AA48" s="43"/>
      <c r="AB48" s="43"/>
      <c r="AC48" s="45" t="str">
        <f t="shared" si="2"/>
        <v>pendiente</v>
      </c>
      <c r="AD48" s="45" t="str">
        <f t="shared" si="3"/>
        <v>pendiente</v>
      </c>
      <c r="AE48" s="45" t="str">
        <f t="shared" si="4"/>
        <v>pendiente</v>
      </c>
      <c r="AF48" s="45" t="str">
        <f t="shared" si="5"/>
        <v>pendiente</v>
      </c>
      <c r="AG48" s="45" t="str">
        <f t="shared" si="6"/>
        <v>insuficiente</v>
      </c>
      <c r="AH48" s="45" t="str">
        <f t="shared" si="7"/>
        <v>pendiente</v>
      </c>
      <c r="AI48" s="45" t="str">
        <f t="shared" si="8"/>
        <v>SI</v>
      </c>
      <c r="AJ48" s="45" t="str">
        <f t="shared" si="9"/>
        <v>abreviado</v>
      </c>
      <c r="AK48" s="45" t="str">
        <f t="shared" si="10"/>
        <v>NO</v>
      </c>
      <c r="AL48" s="45"/>
      <c r="AM48" s="45"/>
      <c r="AN48" s="45"/>
      <c r="AO48" s="49"/>
      <c r="AP48" s="45"/>
      <c r="AQ48" s="45"/>
      <c r="AR48" s="45" t="str">
        <f t="shared" si="11"/>
        <v>NO</v>
      </c>
      <c r="AS48" s="43"/>
    </row>
    <row r="49" spans="1:45" ht="44" customHeight="1">
      <c r="A49" s="45">
        <v>41</v>
      </c>
      <c r="B49" s="43" t="str">
        <f>'T01 revisión'!A45</f>
        <v>chevannes</v>
      </c>
      <c r="C49" s="43" t="str">
        <f>'T01 revisión'!B45</f>
        <v>Rastafari: Roots and Ideology</v>
      </c>
      <c r="D49" s="43" t="str">
        <f>'T01 revisión'!C45</f>
        <v>Barry Chevannes</v>
      </c>
      <c r="E49" s="43" t="str">
        <f>'T01 revisión'!D45</f>
        <v>B05</v>
      </c>
      <c r="F49" s="43" t="str">
        <f>'T01 revisión'!E45</f>
        <v>anglófono (Jamaica)</v>
      </c>
      <c r="G49" s="43" t="str">
        <f>'T01 revisión'!H45</f>
        <v>función territorial no demostrada</v>
      </c>
      <c r="H49" s="45" t="str">
        <f t="shared" si="0"/>
        <v>A</v>
      </c>
      <c r="I49" s="45"/>
      <c r="J49" s="45" t="str">
        <f t="shared" si="1"/>
        <v>GPT + muestra Claude/humana</v>
      </c>
      <c r="K49" s="43"/>
      <c r="L49" s="43"/>
      <c r="M49" s="43"/>
      <c r="N49" s="43"/>
      <c r="O49" s="43"/>
      <c r="P49" s="43"/>
      <c r="Q49" s="43"/>
      <c r="R49" s="43"/>
      <c r="S49" s="43"/>
      <c r="T49" s="43"/>
      <c r="U49" s="43"/>
      <c r="V49" s="43"/>
      <c r="W49" s="43"/>
      <c r="X49" s="43"/>
      <c r="Y49" s="43"/>
      <c r="Z49" s="43"/>
      <c r="AA49" s="43"/>
      <c r="AB49" s="43"/>
      <c r="AC49" s="45" t="str">
        <f t="shared" si="2"/>
        <v>pendiente</v>
      </c>
      <c r="AD49" s="45" t="str">
        <f t="shared" si="3"/>
        <v>pendiente</v>
      </c>
      <c r="AE49" s="45" t="str">
        <f t="shared" si="4"/>
        <v>pendiente</v>
      </c>
      <c r="AF49" s="45" t="str">
        <f t="shared" si="5"/>
        <v>pendiente</v>
      </c>
      <c r="AG49" s="45" t="str">
        <f t="shared" si="6"/>
        <v>insuficiente</v>
      </c>
      <c r="AH49" s="45" t="str">
        <f t="shared" si="7"/>
        <v>pendiente</v>
      </c>
      <c r="AI49" s="45" t="str">
        <f t="shared" si="8"/>
        <v>NO</v>
      </c>
      <c r="AJ49" s="45" t="str">
        <f t="shared" si="9"/>
        <v>NO</v>
      </c>
      <c r="AK49" s="45" t="str">
        <f t="shared" si="10"/>
        <v>NO</v>
      </c>
      <c r="AL49" s="45"/>
      <c r="AM49" s="45"/>
      <c r="AN49" s="45"/>
      <c r="AO49" s="49"/>
      <c r="AP49" s="45"/>
      <c r="AQ49" s="45"/>
      <c r="AR49" s="45" t="str">
        <f t="shared" si="11"/>
        <v>NO</v>
      </c>
      <c r="AS49" s="43"/>
    </row>
    <row r="50" spans="1:45" ht="44" customHeight="1">
      <c r="A50" s="45">
        <v>42</v>
      </c>
      <c r="B50" s="43" t="str">
        <f>'T01 revisión'!A46</f>
        <v>escalante</v>
      </c>
      <c r="C50" s="43" t="str">
        <f>'T01 revisión'!B46</f>
        <v>El Palenque de San Basilio</v>
      </c>
      <c r="D50" s="43" t="str">
        <f>'T01 revisión'!C46</f>
        <v>Aquiles Escalante</v>
      </c>
      <c r="E50" s="43" t="str">
        <f>'T01 revisión'!D46</f>
        <v>B02</v>
      </c>
      <c r="F50" s="43" t="str">
        <f>'T01 revisión'!E46</f>
        <v>hispano (Colombia)</v>
      </c>
      <c r="G50" s="43" t="str">
        <f>'T01 revisión'!H46</f>
        <v>función territorial no demostrada</v>
      </c>
      <c r="H50" s="45" t="str">
        <f t="shared" si="0"/>
        <v>A</v>
      </c>
      <c r="I50" s="45"/>
      <c r="J50" s="45" t="str">
        <f t="shared" si="1"/>
        <v>GPT + muestra Claude/humana</v>
      </c>
      <c r="K50" s="43"/>
      <c r="L50" s="43"/>
      <c r="M50" s="43"/>
      <c r="N50" s="43"/>
      <c r="O50" s="43"/>
      <c r="P50" s="43"/>
      <c r="Q50" s="43"/>
      <c r="R50" s="43"/>
      <c r="S50" s="43"/>
      <c r="T50" s="43"/>
      <c r="U50" s="43"/>
      <c r="V50" s="43"/>
      <c r="W50" s="43"/>
      <c r="X50" s="43"/>
      <c r="Y50" s="43"/>
      <c r="Z50" s="43"/>
      <c r="AA50" s="43"/>
      <c r="AB50" s="43"/>
      <c r="AC50" s="45" t="str">
        <f t="shared" si="2"/>
        <v>pendiente</v>
      </c>
      <c r="AD50" s="45" t="str">
        <f t="shared" si="3"/>
        <v>pendiente</v>
      </c>
      <c r="AE50" s="45" t="str">
        <f t="shared" si="4"/>
        <v>pendiente</v>
      </c>
      <c r="AF50" s="45" t="str">
        <f t="shared" si="5"/>
        <v>pendiente</v>
      </c>
      <c r="AG50" s="45" t="str">
        <f t="shared" si="6"/>
        <v>insuficiente</v>
      </c>
      <c r="AH50" s="45" t="str">
        <f t="shared" si="7"/>
        <v>pendiente</v>
      </c>
      <c r="AI50" s="45" t="str">
        <f t="shared" si="8"/>
        <v>SI</v>
      </c>
      <c r="AJ50" s="45" t="str">
        <f t="shared" si="9"/>
        <v>NO</v>
      </c>
      <c r="AK50" s="45" t="str">
        <f t="shared" si="10"/>
        <v>NO</v>
      </c>
      <c r="AL50" s="45"/>
      <c r="AM50" s="45"/>
      <c r="AN50" s="45"/>
      <c r="AO50" s="49"/>
      <c r="AP50" s="45"/>
      <c r="AQ50" s="45"/>
      <c r="AR50" s="45" t="str">
        <f t="shared" si="11"/>
        <v>NO</v>
      </c>
      <c r="AS50" s="43"/>
    </row>
    <row r="51" spans="1:45" ht="44" customHeight="1">
      <c r="A51" s="45">
        <v>43</v>
      </c>
      <c r="B51" s="43" t="str">
        <f>'T01 revisión'!A47</f>
        <v>rebeldestiny</v>
      </c>
      <c r="C51" s="43" t="str">
        <f>'T01 revisión'!B47</f>
        <v>Rebel Destiny: Among the Bush Negroes of Dutch Guiana</v>
      </c>
      <c r="D51" s="43" t="str">
        <f>'T01 revisión'!C47</f>
        <v>Melville &amp; Frances Herskovits</v>
      </c>
      <c r="E51" s="43" t="str">
        <f>'T01 revisión'!D47</f>
        <v>B02</v>
      </c>
      <c r="F51" s="43" t="str">
        <f>'T01 revisión'!E47</f>
        <v>anglófono (EE.UU./Surinam neerlandés)</v>
      </c>
      <c r="G51" s="43" t="str">
        <f>'T01 revisión'!H47</f>
        <v>múltiples lenguas; varias procedencias o territorios; abreviaturas por normalizar; función territorial no demostrada</v>
      </c>
      <c r="H51" s="45" t="str">
        <f t="shared" si="0"/>
        <v>B</v>
      </c>
      <c r="I51" s="45"/>
      <c r="J51" s="45" t="str">
        <f t="shared" si="1"/>
        <v>GPT + Claude ciegos; control abreviado</v>
      </c>
      <c r="K51" s="43"/>
      <c r="L51" s="43"/>
      <c r="M51" s="43"/>
      <c r="N51" s="43"/>
      <c r="O51" s="43"/>
      <c r="P51" s="43"/>
      <c r="Q51" s="43"/>
      <c r="R51" s="43"/>
      <c r="S51" s="43"/>
      <c r="T51" s="43"/>
      <c r="U51" s="43"/>
      <c r="V51" s="43"/>
      <c r="W51" s="43"/>
      <c r="X51" s="43"/>
      <c r="Y51" s="43"/>
      <c r="Z51" s="43"/>
      <c r="AA51" s="43"/>
      <c r="AB51" s="43"/>
      <c r="AC51" s="45" t="str">
        <f t="shared" si="2"/>
        <v>pendiente</v>
      </c>
      <c r="AD51" s="45" t="str">
        <f t="shared" si="3"/>
        <v>pendiente</v>
      </c>
      <c r="AE51" s="45" t="str">
        <f t="shared" si="4"/>
        <v>pendiente</v>
      </c>
      <c r="AF51" s="45" t="str">
        <f t="shared" si="5"/>
        <v>pendiente</v>
      </c>
      <c r="AG51" s="45" t="str">
        <f t="shared" si="6"/>
        <v>insuficiente</v>
      </c>
      <c r="AH51" s="45" t="str">
        <f t="shared" si="7"/>
        <v>pendiente</v>
      </c>
      <c r="AI51" s="45" t="str">
        <f t="shared" si="8"/>
        <v>SI</v>
      </c>
      <c r="AJ51" s="45" t="str">
        <f t="shared" si="9"/>
        <v>abreviado</v>
      </c>
      <c r="AK51" s="45" t="str">
        <f t="shared" si="10"/>
        <v>NO</v>
      </c>
      <c r="AL51" s="45"/>
      <c r="AM51" s="45"/>
      <c r="AN51" s="45"/>
      <c r="AO51" s="49"/>
      <c r="AP51" s="45"/>
      <c r="AQ51" s="45"/>
      <c r="AR51" s="45" t="str">
        <f t="shared" si="11"/>
        <v>NO</v>
      </c>
      <c r="AS51" s="43"/>
    </row>
    <row r="52" spans="1:45" ht="44" customHeight="1">
      <c r="A52" s="45">
        <v>44</v>
      </c>
      <c r="B52" s="43" t="str">
        <f>'T01 revisión'!A48</f>
        <v>tellmyhorse</v>
      </c>
      <c r="C52" s="43" t="str">
        <f>'T01 revisión'!B48</f>
        <v>Tell My Horse: Voodoo and Life in Haiti and Jamaica</v>
      </c>
      <c r="D52" s="43" t="str">
        <f>'T01 revisión'!C48</f>
        <v>Zora Neale Hurston</v>
      </c>
      <c r="E52" s="43" t="str">
        <f>'T01 revisión'!D48</f>
        <v>B05</v>
      </c>
      <c r="F52" s="43" t="str">
        <f>'T01 revisión'!E48</f>
        <v>anglófono (EE.UU.)</v>
      </c>
      <c r="G52" s="43" t="str">
        <f>'T01 revisión'!H48</f>
        <v>abreviaturas por normalizar; función territorial no demostrada</v>
      </c>
      <c r="H52" s="45" t="str">
        <f t="shared" si="0"/>
        <v>A</v>
      </c>
      <c r="I52" s="45"/>
      <c r="J52" s="45" t="str">
        <f t="shared" si="1"/>
        <v>GPT + muestra Claude/humana</v>
      </c>
      <c r="K52" s="43"/>
      <c r="L52" s="43"/>
      <c r="M52" s="43"/>
      <c r="N52" s="43"/>
      <c r="O52" s="43"/>
      <c r="P52" s="43"/>
      <c r="Q52" s="43"/>
      <c r="R52" s="43"/>
      <c r="S52" s="43"/>
      <c r="T52" s="43"/>
      <c r="U52" s="43"/>
      <c r="V52" s="43"/>
      <c r="W52" s="43"/>
      <c r="X52" s="43"/>
      <c r="Y52" s="43"/>
      <c r="Z52" s="43"/>
      <c r="AA52" s="43"/>
      <c r="AB52" s="43"/>
      <c r="AC52" s="45" t="str">
        <f t="shared" si="2"/>
        <v>pendiente</v>
      </c>
      <c r="AD52" s="45" t="str">
        <f t="shared" si="3"/>
        <v>pendiente</v>
      </c>
      <c r="AE52" s="45" t="str">
        <f t="shared" si="4"/>
        <v>pendiente</v>
      </c>
      <c r="AF52" s="45" t="str">
        <f t="shared" si="5"/>
        <v>pendiente</v>
      </c>
      <c r="AG52" s="45" t="str">
        <f t="shared" si="6"/>
        <v>insuficiente</v>
      </c>
      <c r="AH52" s="45" t="str">
        <f t="shared" si="7"/>
        <v>pendiente</v>
      </c>
      <c r="AI52" s="45" t="str">
        <f t="shared" si="8"/>
        <v>NO</v>
      </c>
      <c r="AJ52" s="45" t="str">
        <f t="shared" si="9"/>
        <v>NO</v>
      </c>
      <c r="AK52" s="45" t="str">
        <f t="shared" si="10"/>
        <v>NO</v>
      </c>
      <c r="AL52" s="45"/>
      <c r="AM52" s="45"/>
      <c r="AN52" s="45"/>
      <c r="AO52" s="49"/>
      <c r="AP52" s="45"/>
      <c r="AQ52" s="45"/>
      <c r="AR52" s="45" t="str">
        <f t="shared" si="11"/>
        <v>NO</v>
      </c>
      <c r="AS52" s="43"/>
    </row>
    <row r="53" spans="1:45" ht="44" customHeight="1">
      <c r="A53" s="45">
        <v>45</v>
      </c>
      <c r="B53" s="43" t="str">
        <f>'T01 revisión'!A49</f>
        <v>palmiengangas</v>
      </c>
      <c r="C53" s="43" t="str">
        <f>'T01 revisión'!B49</f>
        <v>Thinking with Ngangas</v>
      </c>
      <c r="D53" s="43" t="str">
        <f>'T01 revisión'!C49</f>
        <v>Stephan Palmié</v>
      </c>
      <c r="E53" s="43" t="str">
        <f>'T01 revisión'!D49</f>
        <v>C04</v>
      </c>
      <c r="F53" s="43" t="str">
        <f>'T01 revisión'!E49</f>
        <v>anglófono (EE.UU.)</v>
      </c>
      <c r="G53" s="43" t="str">
        <f>'T01 revisión'!H49</f>
        <v>abreviaturas por normalizar; función territorial no demostrada</v>
      </c>
      <c r="H53" s="45" t="str">
        <f t="shared" si="0"/>
        <v>A</v>
      </c>
      <c r="I53" s="45"/>
      <c r="J53" s="45" t="str">
        <f t="shared" si="1"/>
        <v>GPT + muestra Claude/humana</v>
      </c>
      <c r="K53" s="43"/>
      <c r="L53" s="43"/>
      <c r="M53" s="43"/>
      <c r="N53" s="43"/>
      <c r="O53" s="43"/>
      <c r="P53" s="43"/>
      <c r="Q53" s="43"/>
      <c r="R53" s="43"/>
      <c r="S53" s="43"/>
      <c r="T53" s="43"/>
      <c r="U53" s="43"/>
      <c r="V53" s="43"/>
      <c r="W53" s="43"/>
      <c r="X53" s="43"/>
      <c r="Y53" s="43"/>
      <c r="Z53" s="43"/>
      <c r="AA53" s="43"/>
      <c r="AB53" s="43"/>
      <c r="AC53" s="45" t="str">
        <f t="shared" si="2"/>
        <v>pendiente</v>
      </c>
      <c r="AD53" s="45" t="str">
        <f t="shared" si="3"/>
        <v>pendiente</v>
      </c>
      <c r="AE53" s="45" t="str">
        <f t="shared" si="4"/>
        <v>pendiente</v>
      </c>
      <c r="AF53" s="45" t="str">
        <f t="shared" si="5"/>
        <v>pendiente</v>
      </c>
      <c r="AG53" s="45" t="str">
        <f t="shared" si="6"/>
        <v>insuficiente</v>
      </c>
      <c r="AH53" s="45" t="str">
        <f t="shared" si="7"/>
        <v>pendiente</v>
      </c>
      <c r="AI53" s="45" t="str">
        <f t="shared" si="8"/>
        <v>NO</v>
      </c>
      <c r="AJ53" s="45" t="str">
        <f t="shared" si="9"/>
        <v>NO</v>
      </c>
      <c r="AK53" s="45" t="str">
        <f t="shared" si="10"/>
        <v>NO</v>
      </c>
      <c r="AL53" s="45"/>
      <c r="AM53" s="45"/>
      <c r="AN53" s="45"/>
      <c r="AO53" s="49"/>
      <c r="AP53" s="45"/>
      <c r="AQ53" s="45"/>
      <c r="AR53" s="45" t="str">
        <f t="shared" si="11"/>
        <v>NO</v>
      </c>
      <c r="AS53" s="43"/>
    </row>
    <row r="54" spans="1:45" ht="44" customHeight="1">
      <c r="A54" s="45">
        <v>46</v>
      </c>
      <c r="B54" s="43" t="str">
        <f>'T01 revisión'!A50</f>
        <v>travelstooy</v>
      </c>
      <c r="C54" s="43" t="str">
        <f>'T01 revisión'!B50</f>
        <v>Travels with Tooy: History, Memory, and the African American Imagination</v>
      </c>
      <c r="D54" s="43" t="str">
        <f>'T01 revisión'!C50</f>
        <v>Richard Price</v>
      </c>
      <c r="E54" s="43" t="str">
        <f>'T01 revisión'!D50</f>
        <v>B05</v>
      </c>
      <c r="F54" s="43" t="str">
        <f>'T01 revisión'!E50</f>
        <v>anglófono (EE.UU./Surinam)</v>
      </c>
      <c r="G54" s="43" t="str">
        <f>'T01 revisión'!H50</f>
        <v>varias procedencias o territorios; abreviaturas por normalizar; función territorial no demostrada</v>
      </c>
      <c r="H54" s="45" t="str">
        <f t="shared" si="0"/>
        <v>B</v>
      </c>
      <c r="I54" s="45"/>
      <c r="J54" s="45" t="str">
        <f t="shared" si="1"/>
        <v>GPT + Claude ciegos; control abreviado</v>
      </c>
      <c r="K54" s="43"/>
      <c r="L54" s="43"/>
      <c r="M54" s="43"/>
      <c r="N54" s="43"/>
      <c r="O54" s="43"/>
      <c r="P54" s="43"/>
      <c r="Q54" s="43"/>
      <c r="R54" s="43"/>
      <c r="S54" s="43"/>
      <c r="T54" s="43"/>
      <c r="U54" s="43"/>
      <c r="V54" s="43"/>
      <c r="W54" s="43"/>
      <c r="X54" s="43"/>
      <c r="Y54" s="43"/>
      <c r="Z54" s="43"/>
      <c r="AA54" s="43"/>
      <c r="AB54" s="43"/>
      <c r="AC54" s="45" t="str">
        <f t="shared" si="2"/>
        <v>pendiente</v>
      </c>
      <c r="AD54" s="45" t="str">
        <f t="shared" si="3"/>
        <v>pendiente</v>
      </c>
      <c r="AE54" s="45" t="str">
        <f t="shared" si="4"/>
        <v>pendiente</v>
      </c>
      <c r="AF54" s="45" t="str">
        <f t="shared" si="5"/>
        <v>pendiente</v>
      </c>
      <c r="AG54" s="45" t="str">
        <f t="shared" si="6"/>
        <v>insuficiente</v>
      </c>
      <c r="AH54" s="45" t="str">
        <f t="shared" si="7"/>
        <v>pendiente</v>
      </c>
      <c r="AI54" s="45" t="str">
        <f t="shared" si="8"/>
        <v>SI</v>
      </c>
      <c r="AJ54" s="45" t="str">
        <f t="shared" si="9"/>
        <v>abreviado</v>
      </c>
      <c r="AK54" s="45" t="str">
        <f t="shared" si="10"/>
        <v>NO</v>
      </c>
      <c r="AL54" s="45"/>
      <c r="AM54" s="45"/>
      <c r="AN54" s="45"/>
      <c r="AO54" s="49"/>
      <c r="AP54" s="45"/>
      <c r="AQ54" s="45"/>
      <c r="AR54" s="45" t="str">
        <f t="shared" si="11"/>
        <v>NO</v>
      </c>
      <c r="AS54" s="43"/>
    </row>
    <row r="55" spans="1:45" ht="44" customHeight="1">
      <c r="A55" s="45">
        <v>47</v>
      </c>
      <c r="B55" s="43" t="str">
        <f>'T01 revisión'!A51</f>
        <v>truebornmaroons</v>
      </c>
      <c r="C55" s="43" t="str">
        <f>'T01 revisión'!B51</f>
        <v>True-Born Maroons</v>
      </c>
      <c r="D55" s="43" t="str">
        <f>'T01 revisión'!C51</f>
        <v>Kenneth Bilby</v>
      </c>
      <c r="E55" s="43" t="str">
        <f>'T01 revisión'!D51</f>
        <v>B02</v>
      </c>
      <c r="F55" s="43" t="str">
        <f>'T01 revisión'!E51</f>
        <v>anglófono (Jamaica/EE.UU.)</v>
      </c>
      <c r="G55" s="43" t="str">
        <f>'T01 revisión'!H51</f>
        <v>varias procedencias o territorios; abreviaturas por normalizar; función territorial no demostrada</v>
      </c>
      <c r="H55" s="45" t="str">
        <f t="shared" si="0"/>
        <v>B</v>
      </c>
      <c r="I55" s="45"/>
      <c r="J55" s="45" t="str">
        <f t="shared" si="1"/>
        <v>GPT + Claude ciegos; control abreviado</v>
      </c>
      <c r="K55" s="43"/>
      <c r="L55" s="43"/>
      <c r="M55" s="43"/>
      <c r="N55" s="43"/>
      <c r="O55" s="43"/>
      <c r="P55" s="43"/>
      <c r="Q55" s="43"/>
      <c r="R55" s="43"/>
      <c r="S55" s="43"/>
      <c r="T55" s="43"/>
      <c r="U55" s="43"/>
      <c r="V55" s="43"/>
      <c r="W55" s="43"/>
      <c r="X55" s="43"/>
      <c r="Y55" s="43"/>
      <c r="Z55" s="43"/>
      <c r="AA55" s="43"/>
      <c r="AB55" s="43"/>
      <c r="AC55" s="45" t="str">
        <f t="shared" si="2"/>
        <v>pendiente</v>
      </c>
      <c r="AD55" s="45" t="str">
        <f t="shared" si="3"/>
        <v>pendiente</v>
      </c>
      <c r="AE55" s="45" t="str">
        <f t="shared" si="4"/>
        <v>pendiente</v>
      </c>
      <c r="AF55" s="45" t="str">
        <f t="shared" si="5"/>
        <v>pendiente</v>
      </c>
      <c r="AG55" s="45" t="str">
        <f t="shared" si="6"/>
        <v>insuficiente</v>
      </c>
      <c r="AH55" s="45" t="str">
        <f t="shared" si="7"/>
        <v>pendiente</v>
      </c>
      <c r="AI55" s="45" t="str">
        <f t="shared" si="8"/>
        <v>SI</v>
      </c>
      <c r="AJ55" s="45" t="str">
        <f t="shared" si="9"/>
        <v>abreviado</v>
      </c>
      <c r="AK55" s="45" t="str">
        <f t="shared" si="10"/>
        <v>NO</v>
      </c>
      <c r="AL55" s="45"/>
      <c r="AM55" s="45"/>
      <c r="AN55" s="45"/>
      <c r="AO55" s="49"/>
      <c r="AP55" s="45"/>
      <c r="AQ55" s="45"/>
      <c r="AR55" s="45" t="str">
        <f t="shared" si="11"/>
        <v>NO</v>
      </c>
      <c r="AS55" s="43"/>
    </row>
    <row r="56" spans="1:45" ht="44" customHeight="1">
      <c r="A56" s="45">
        <v>48</v>
      </c>
      <c r="B56" s="43" t="str">
        <f>'T01 revisión'!A52</f>
        <v>palmiewizards</v>
      </c>
      <c r="C56" s="43" t="str">
        <f>'T01 revisión'!B52</f>
        <v>Wizards and Scientists</v>
      </c>
      <c r="D56" s="43" t="str">
        <f>'T01 revisión'!C52</f>
        <v>Stephan Palmié</v>
      </c>
      <c r="E56" s="43" t="str">
        <f>'T01 revisión'!D52</f>
        <v>C04</v>
      </c>
      <c r="F56" s="43" t="str">
        <f>'T01 revisión'!E52</f>
        <v>anglófono (EE.UU.)</v>
      </c>
      <c r="G56" s="43" t="str">
        <f>'T01 revisión'!H52</f>
        <v>abreviaturas por normalizar; función territorial no demostrada</v>
      </c>
      <c r="H56" s="45" t="str">
        <f t="shared" si="0"/>
        <v>A</v>
      </c>
      <c r="I56" s="45"/>
      <c r="J56" s="45" t="str">
        <f t="shared" si="1"/>
        <v>GPT + muestra Claude/humana</v>
      </c>
      <c r="K56" s="43"/>
      <c r="L56" s="43"/>
      <c r="M56" s="43"/>
      <c r="N56" s="43"/>
      <c r="O56" s="43"/>
      <c r="P56" s="43"/>
      <c r="Q56" s="43"/>
      <c r="R56" s="43"/>
      <c r="S56" s="43"/>
      <c r="T56" s="43"/>
      <c r="U56" s="43"/>
      <c r="V56" s="43"/>
      <c r="W56" s="43"/>
      <c r="X56" s="43"/>
      <c r="Y56" s="43"/>
      <c r="Z56" s="43"/>
      <c r="AA56" s="43"/>
      <c r="AB56" s="43"/>
      <c r="AC56" s="45" t="str">
        <f t="shared" si="2"/>
        <v>pendiente</v>
      </c>
      <c r="AD56" s="45" t="str">
        <f t="shared" si="3"/>
        <v>pendiente</v>
      </c>
      <c r="AE56" s="45" t="str">
        <f t="shared" si="4"/>
        <v>pendiente</v>
      </c>
      <c r="AF56" s="45" t="str">
        <f t="shared" si="5"/>
        <v>pendiente</v>
      </c>
      <c r="AG56" s="45" t="str">
        <f t="shared" si="6"/>
        <v>insuficiente</v>
      </c>
      <c r="AH56" s="45" t="str">
        <f t="shared" si="7"/>
        <v>pendiente</v>
      </c>
      <c r="AI56" s="45" t="str">
        <f t="shared" si="8"/>
        <v>NO</v>
      </c>
      <c r="AJ56" s="45" t="str">
        <f t="shared" si="9"/>
        <v>NO</v>
      </c>
      <c r="AK56" s="45" t="str">
        <f t="shared" si="10"/>
        <v>NO</v>
      </c>
      <c r="AL56" s="45"/>
      <c r="AM56" s="45"/>
      <c r="AN56" s="45"/>
      <c r="AO56" s="49"/>
      <c r="AP56" s="45"/>
      <c r="AQ56" s="45"/>
      <c r="AR56" s="45" t="str">
        <f t="shared" si="11"/>
        <v>NO</v>
      </c>
      <c r="AS56" s="43"/>
    </row>
    <row r="57" spans="1:45" ht="44" customHeight="1">
      <c r="A57" s="45">
        <v>49</v>
      </c>
      <c r="B57" s="43" t="str">
        <f>'T01 revisión'!A53</f>
        <v>pricemars</v>
      </c>
      <c r="C57" s="43" t="str">
        <f>'T01 revisión'!B53</f>
        <v>Ainsi parla l'oncle</v>
      </c>
      <c r="D57" s="43" t="str">
        <f>'T01 revisión'!C53</f>
        <v>Jean Price-Mars</v>
      </c>
      <c r="E57" s="43" t="str">
        <f>'T01 revisión'!D53</f>
        <v>C04</v>
      </c>
      <c r="F57" s="43" t="str">
        <f>'T01 revisión'!E53</f>
        <v>francófono (Haití)</v>
      </c>
      <c r="G57" s="43" t="str">
        <f>'T01 revisión'!H53</f>
        <v>función territorial no demostrada</v>
      </c>
      <c r="H57" s="45" t="str">
        <f t="shared" si="0"/>
        <v>A</v>
      </c>
      <c r="I57" s="45"/>
      <c r="J57" s="45" t="str">
        <f t="shared" si="1"/>
        <v>GPT + muestra Claude/humana</v>
      </c>
      <c r="K57" s="43"/>
      <c r="L57" s="43"/>
      <c r="M57" s="43"/>
      <c r="N57" s="43"/>
      <c r="O57" s="43"/>
      <c r="P57" s="43"/>
      <c r="Q57" s="43"/>
      <c r="R57" s="43"/>
      <c r="S57" s="43"/>
      <c r="T57" s="43"/>
      <c r="U57" s="43"/>
      <c r="V57" s="43"/>
      <c r="W57" s="43"/>
      <c r="X57" s="43"/>
      <c r="Y57" s="43"/>
      <c r="Z57" s="43"/>
      <c r="AA57" s="43"/>
      <c r="AB57" s="43"/>
      <c r="AC57" s="45" t="str">
        <f t="shared" si="2"/>
        <v>pendiente</v>
      </c>
      <c r="AD57" s="45" t="str">
        <f t="shared" si="3"/>
        <v>pendiente</v>
      </c>
      <c r="AE57" s="45" t="str">
        <f t="shared" si="4"/>
        <v>pendiente</v>
      </c>
      <c r="AF57" s="45" t="str">
        <f t="shared" si="5"/>
        <v>pendiente</v>
      </c>
      <c r="AG57" s="45" t="str">
        <f t="shared" si="6"/>
        <v>insuficiente</v>
      </c>
      <c r="AH57" s="45" t="str">
        <f t="shared" si="7"/>
        <v>pendiente</v>
      </c>
      <c r="AI57" s="45" t="str">
        <f t="shared" si="8"/>
        <v>SI</v>
      </c>
      <c r="AJ57" s="45" t="str">
        <f t="shared" si="9"/>
        <v>NO</v>
      </c>
      <c r="AK57" s="45" t="str">
        <f t="shared" si="10"/>
        <v>NO</v>
      </c>
      <c r="AL57" s="45"/>
      <c r="AM57" s="45"/>
      <c r="AN57" s="45"/>
      <c r="AO57" s="49"/>
      <c r="AP57" s="45"/>
      <c r="AQ57" s="45"/>
      <c r="AR57" s="45" t="str">
        <f t="shared" si="11"/>
        <v>NO</v>
      </c>
      <c r="AS57" s="43"/>
    </row>
    <row r="58" spans="1:45" ht="44" customHeight="1">
      <c r="A58" s="45">
        <v>50</v>
      </c>
      <c r="B58" s="43" t="str">
        <f>'T01 revisión'!A54</f>
        <v>alabi</v>
      </c>
      <c r="C58" s="43" t="str">
        <f>'T01 revisión'!B54</f>
        <v>Alabi's World</v>
      </c>
      <c r="D58" s="43" t="str">
        <f>'T01 revisión'!C54</f>
        <v>Richard Price</v>
      </c>
      <c r="E58" s="43" t="str">
        <f>'T01 revisión'!D54</f>
        <v>B01</v>
      </c>
      <c r="F58" s="43" t="str">
        <f>'T01 revisión'!E54</f>
        <v>anglófono (EE.UU./Surinam)</v>
      </c>
      <c r="G58" s="43" t="str">
        <f>'T01 revisión'!H54</f>
        <v>varias procedencias o territorios; abreviaturas por normalizar; función territorial no demostrada</v>
      </c>
      <c r="H58" s="45" t="str">
        <f t="shared" si="0"/>
        <v>B</v>
      </c>
      <c r="I58" s="45"/>
      <c r="J58" s="45" t="str">
        <f t="shared" si="1"/>
        <v>GPT + Claude ciegos; control abreviado</v>
      </c>
      <c r="K58" s="43"/>
      <c r="L58" s="43"/>
      <c r="M58" s="43"/>
      <c r="N58" s="43"/>
      <c r="O58" s="43"/>
      <c r="P58" s="43"/>
      <c r="Q58" s="43"/>
      <c r="R58" s="43"/>
      <c r="S58" s="43"/>
      <c r="T58" s="43"/>
      <c r="U58" s="43"/>
      <c r="V58" s="43"/>
      <c r="W58" s="43"/>
      <c r="X58" s="43"/>
      <c r="Y58" s="43"/>
      <c r="Z58" s="43"/>
      <c r="AA58" s="43"/>
      <c r="AB58" s="43"/>
      <c r="AC58" s="45" t="str">
        <f t="shared" si="2"/>
        <v>pendiente</v>
      </c>
      <c r="AD58" s="45" t="str">
        <f t="shared" si="3"/>
        <v>pendiente</v>
      </c>
      <c r="AE58" s="45" t="str">
        <f t="shared" si="4"/>
        <v>pendiente</v>
      </c>
      <c r="AF58" s="45" t="str">
        <f t="shared" si="5"/>
        <v>pendiente</v>
      </c>
      <c r="AG58" s="45" t="str">
        <f t="shared" si="6"/>
        <v>insuficiente</v>
      </c>
      <c r="AH58" s="45" t="str">
        <f t="shared" si="7"/>
        <v>pendiente</v>
      </c>
      <c r="AI58" s="45" t="str">
        <f t="shared" si="8"/>
        <v>SI</v>
      </c>
      <c r="AJ58" s="45" t="str">
        <f t="shared" si="9"/>
        <v>abreviado</v>
      </c>
      <c r="AK58" s="45" t="str">
        <f t="shared" si="10"/>
        <v>NO</v>
      </c>
      <c r="AL58" s="45"/>
      <c r="AM58" s="45"/>
      <c r="AN58" s="45"/>
      <c r="AO58" s="49"/>
      <c r="AP58" s="45"/>
      <c r="AQ58" s="45"/>
      <c r="AR58" s="45" t="str">
        <f t="shared" si="11"/>
        <v>NO</v>
      </c>
      <c r="AS58" s="43"/>
    </row>
    <row r="59" spans="1:45" ht="44" customHeight="1">
      <c r="A59" s="45">
        <v>51</v>
      </c>
      <c r="B59" s="43" t="str">
        <f>'T01 revisión'!A55</f>
        <v>exceptviolence</v>
      </c>
      <c r="C59" s="43" t="str">
        <f>'T01 revisión'!B55</f>
        <v>Exceptional Violence: Embodied Citizenship in Transnational Jamaica</v>
      </c>
      <c r="D59" s="43" t="str">
        <f>'T01 revisión'!C55</f>
        <v>Deborah A. Thomas</v>
      </c>
      <c r="E59" s="43" t="str">
        <f>'T01 revisión'!D55</f>
        <v>DE01</v>
      </c>
      <c r="F59" s="43" t="str">
        <f>'T01 revisión'!E55</f>
        <v>anglófono (Jamaica/EE.UU.)</v>
      </c>
      <c r="G59" s="43" t="str">
        <f>'T01 revisión'!H55</f>
        <v>varias procedencias o territorios; abreviaturas por normalizar; función territorial no demostrada</v>
      </c>
      <c r="H59" s="45" t="str">
        <f t="shared" si="0"/>
        <v>B</v>
      </c>
      <c r="I59" s="45"/>
      <c r="J59" s="45" t="str">
        <f t="shared" si="1"/>
        <v>GPT + Claude ciegos; control abreviado</v>
      </c>
      <c r="K59" s="43"/>
      <c r="L59" s="43"/>
      <c r="M59" s="43"/>
      <c r="N59" s="43"/>
      <c r="O59" s="43"/>
      <c r="P59" s="43"/>
      <c r="Q59" s="43"/>
      <c r="R59" s="43"/>
      <c r="S59" s="43"/>
      <c r="T59" s="43"/>
      <c r="U59" s="43"/>
      <c r="V59" s="43"/>
      <c r="W59" s="43"/>
      <c r="X59" s="43"/>
      <c r="Y59" s="43"/>
      <c r="Z59" s="43"/>
      <c r="AA59" s="43"/>
      <c r="AB59" s="43"/>
      <c r="AC59" s="45" t="str">
        <f t="shared" si="2"/>
        <v>pendiente</v>
      </c>
      <c r="AD59" s="45" t="str">
        <f t="shared" si="3"/>
        <v>pendiente</v>
      </c>
      <c r="AE59" s="45" t="str">
        <f t="shared" si="4"/>
        <v>pendiente</v>
      </c>
      <c r="AF59" s="45" t="str">
        <f t="shared" si="5"/>
        <v>pendiente</v>
      </c>
      <c r="AG59" s="45" t="str">
        <f t="shared" si="6"/>
        <v>insuficiente</v>
      </c>
      <c r="AH59" s="45" t="str">
        <f t="shared" si="7"/>
        <v>pendiente</v>
      </c>
      <c r="AI59" s="45" t="str">
        <f t="shared" si="8"/>
        <v>SI</v>
      </c>
      <c r="AJ59" s="45" t="str">
        <f t="shared" si="9"/>
        <v>abreviado</v>
      </c>
      <c r="AK59" s="45" t="str">
        <f t="shared" si="10"/>
        <v>NO</v>
      </c>
      <c r="AL59" s="45"/>
      <c r="AM59" s="45"/>
      <c r="AN59" s="45"/>
      <c r="AO59" s="49"/>
      <c r="AP59" s="45"/>
      <c r="AQ59" s="45"/>
      <c r="AR59" s="45" t="str">
        <f t="shared" si="11"/>
        <v>NO</v>
      </c>
      <c r="AS59" s="43"/>
    </row>
    <row r="60" spans="1:45" ht="44" customHeight="1">
      <c r="A60" s="45">
        <v>52</v>
      </c>
      <c r="B60" s="43" t="str">
        <f>'T01 revisión'!A56</f>
        <v>modernblackness</v>
      </c>
      <c r="C60" s="43" t="str">
        <f>'T01 revisión'!B56</f>
        <v>Modern Blackness: Nationalism, Globalization, and the Politics of Culture in Jamaica</v>
      </c>
      <c r="D60" s="43" t="str">
        <f>'T01 revisión'!C56</f>
        <v>Deborah A. Thomas</v>
      </c>
      <c r="E60" s="43" t="str">
        <f>'T01 revisión'!D56</f>
        <v>A03</v>
      </c>
      <c r="F60" s="43" t="str">
        <f>'T01 revisión'!E56</f>
        <v>anglófono (Jamaica/EE.UU.)</v>
      </c>
      <c r="G60" s="43" t="str">
        <f>'T01 revisión'!H56</f>
        <v>varias procedencias o territorios; abreviaturas por normalizar; función territorial no demostrada</v>
      </c>
      <c r="H60" s="45" t="str">
        <f t="shared" si="0"/>
        <v>B</v>
      </c>
      <c r="I60" s="45"/>
      <c r="J60" s="45" t="str">
        <f t="shared" si="1"/>
        <v>GPT + Claude ciegos; control abreviado</v>
      </c>
      <c r="K60" s="43"/>
      <c r="L60" s="43"/>
      <c r="M60" s="43"/>
      <c r="N60" s="43"/>
      <c r="O60" s="43"/>
      <c r="P60" s="43"/>
      <c r="Q60" s="43"/>
      <c r="R60" s="43"/>
      <c r="S60" s="43"/>
      <c r="T60" s="43"/>
      <c r="U60" s="43"/>
      <c r="V60" s="43"/>
      <c r="W60" s="43"/>
      <c r="X60" s="43"/>
      <c r="Y60" s="43"/>
      <c r="Z60" s="43"/>
      <c r="AA60" s="43"/>
      <c r="AB60" s="43"/>
      <c r="AC60" s="45" t="str">
        <f t="shared" si="2"/>
        <v>pendiente</v>
      </c>
      <c r="AD60" s="45" t="str">
        <f t="shared" si="3"/>
        <v>pendiente</v>
      </c>
      <c r="AE60" s="45" t="str">
        <f t="shared" si="4"/>
        <v>pendiente</v>
      </c>
      <c r="AF60" s="45" t="str">
        <f t="shared" si="5"/>
        <v>pendiente</v>
      </c>
      <c r="AG60" s="45" t="str">
        <f t="shared" si="6"/>
        <v>insuficiente</v>
      </c>
      <c r="AH60" s="45" t="str">
        <f t="shared" si="7"/>
        <v>pendiente</v>
      </c>
      <c r="AI60" s="45" t="str">
        <f t="shared" si="8"/>
        <v>SI</v>
      </c>
      <c r="AJ60" s="45" t="str">
        <f t="shared" si="9"/>
        <v>abreviado</v>
      </c>
      <c r="AK60" s="45" t="str">
        <f t="shared" si="10"/>
        <v>NO</v>
      </c>
      <c r="AL60" s="45"/>
      <c r="AM60" s="45"/>
      <c r="AN60" s="45"/>
      <c r="AO60" s="49"/>
      <c r="AP60" s="45"/>
      <c r="AQ60" s="45"/>
      <c r="AR60" s="45" t="str">
        <f t="shared" si="11"/>
        <v>NO</v>
      </c>
      <c r="AS60" s="43"/>
    </row>
    <row r="61" spans="1:45" ht="44" customHeight="1">
      <c r="A61" s="45">
        <v>53</v>
      </c>
      <c r="B61" s="43" t="str">
        <f>'T01 revisión'!A57</f>
        <v>citizenshipedge</v>
      </c>
      <c r="C61" s="43" t="str">
        <f>'T01 revisión'!B57</f>
        <v>Citizenship on the Edge: Sex, Gender, Race</v>
      </c>
      <c r="D61" s="43" t="str">
        <f>'T01 revisión'!C57</f>
        <v>Nancy J. Hirschmann &amp; Deborah A. Thomas (eds.)</v>
      </c>
      <c r="E61" s="43" t="str">
        <f>'T01 revisión'!D57</f>
        <v>B01</v>
      </c>
      <c r="F61" s="43" t="str">
        <f>'T01 revisión'!E57</f>
        <v>comparado (teoría política y etnografía)</v>
      </c>
      <c r="G61" s="43" t="str">
        <f>'T01 revisión'!H57</f>
        <v>sin lengua explícita; mezcla escala comparativa; mezcla tema, método o escala; función territorial no demostrada</v>
      </c>
      <c r="H61" s="45" t="str">
        <f t="shared" si="0"/>
        <v>C</v>
      </c>
      <c r="I61" s="45"/>
      <c r="J61" s="45" t="str">
        <f t="shared" si="1"/>
        <v>GPT + Claude ciegos; control humano obligatorio</v>
      </c>
      <c r="K61" s="43"/>
      <c r="L61" s="43"/>
      <c r="M61" s="43"/>
      <c r="N61" s="43"/>
      <c r="O61" s="43"/>
      <c r="P61" s="43"/>
      <c r="Q61" s="43"/>
      <c r="R61" s="43"/>
      <c r="S61" s="43"/>
      <c r="T61" s="43"/>
      <c r="U61" s="43"/>
      <c r="V61" s="43"/>
      <c r="W61" s="43"/>
      <c r="X61" s="43"/>
      <c r="Y61" s="43"/>
      <c r="Z61" s="43"/>
      <c r="AA61" s="43"/>
      <c r="AB61" s="43"/>
      <c r="AC61" s="45" t="str">
        <f t="shared" si="2"/>
        <v>pendiente</v>
      </c>
      <c r="AD61" s="45" t="str">
        <f t="shared" si="3"/>
        <v>pendiente</v>
      </c>
      <c r="AE61" s="45" t="str">
        <f t="shared" si="4"/>
        <v>pendiente</v>
      </c>
      <c r="AF61" s="45" t="str">
        <f t="shared" si="5"/>
        <v>pendiente</v>
      </c>
      <c r="AG61" s="45" t="str">
        <f t="shared" si="6"/>
        <v>insuficiente</v>
      </c>
      <c r="AH61" s="45" t="str">
        <f t="shared" si="7"/>
        <v>pendiente</v>
      </c>
      <c r="AI61" s="45" t="str">
        <f t="shared" si="8"/>
        <v>SI</v>
      </c>
      <c r="AJ61" s="45" t="str">
        <f t="shared" si="9"/>
        <v>obligatorio</v>
      </c>
      <c r="AK61" s="45" t="str">
        <f t="shared" si="10"/>
        <v>SI</v>
      </c>
      <c r="AL61" s="45"/>
      <c r="AM61" s="45"/>
      <c r="AN61" s="45"/>
      <c r="AO61" s="49"/>
      <c r="AP61" s="45"/>
      <c r="AQ61" s="45"/>
      <c r="AR61" s="45" t="str">
        <f t="shared" si="11"/>
        <v>NO</v>
      </c>
      <c r="AS61" s="43"/>
    </row>
    <row r="62" spans="1:45" ht="44" customHeight="1">
      <c r="A62" s="45">
        <v>54</v>
      </c>
      <c r="B62" s="43" t="str">
        <f>'T01 revisión'!A58</f>
        <v>politicallife</v>
      </c>
      <c r="C62" s="43" t="str">
        <f>'T01 revisión'!B58</f>
        <v>Political Life in the Wake of the Plantation: Sovereignty, Witnessing, Repair</v>
      </c>
      <c r="D62" s="43" t="str">
        <f>'T01 revisión'!C58</f>
        <v>Deborah A. Thomas</v>
      </c>
      <c r="E62" s="43" t="str">
        <f>'T01 revisión'!D58</f>
        <v>A02</v>
      </c>
      <c r="F62" s="43" t="str">
        <f>'T01 revisión'!E58</f>
        <v>anglófono (Jamaica/EE.UU.)</v>
      </c>
      <c r="G62" s="43" t="str">
        <f>'T01 revisión'!H58</f>
        <v>varias procedencias o territorios; abreviaturas por normalizar; función territorial no demostrada</v>
      </c>
      <c r="H62" s="45" t="str">
        <f t="shared" si="0"/>
        <v>B</v>
      </c>
      <c r="I62" s="45"/>
      <c r="J62" s="45" t="str">
        <f t="shared" si="1"/>
        <v>GPT + Claude ciegos; control abreviado</v>
      </c>
      <c r="K62" s="43"/>
      <c r="L62" s="43"/>
      <c r="M62" s="43"/>
      <c r="N62" s="43"/>
      <c r="O62" s="43"/>
      <c r="P62" s="43"/>
      <c r="Q62" s="43"/>
      <c r="R62" s="43"/>
      <c r="S62" s="43"/>
      <c r="T62" s="43"/>
      <c r="U62" s="43"/>
      <c r="V62" s="43"/>
      <c r="W62" s="43"/>
      <c r="X62" s="43"/>
      <c r="Y62" s="43"/>
      <c r="Z62" s="43"/>
      <c r="AA62" s="43"/>
      <c r="AB62" s="43"/>
      <c r="AC62" s="45" t="str">
        <f t="shared" si="2"/>
        <v>pendiente</v>
      </c>
      <c r="AD62" s="45" t="str">
        <f t="shared" si="3"/>
        <v>pendiente</v>
      </c>
      <c r="AE62" s="45" t="str">
        <f t="shared" si="4"/>
        <v>pendiente</v>
      </c>
      <c r="AF62" s="45" t="str">
        <f t="shared" si="5"/>
        <v>pendiente</v>
      </c>
      <c r="AG62" s="45" t="str">
        <f t="shared" si="6"/>
        <v>insuficiente</v>
      </c>
      <c r="AH62" s="45" t="str">
        <f t="shared" si="7"/>
        <v>pendiente</v>
      </c>
      <c r="AI62" s="45" t="str">
        <f t="shared" si="8"/>
        <v>SI</v>
      </c>
      <c r="AJ62" s="45" t="str">
        <f t="shared" si="9"/>
        <v>abreviado</v>
      </c>
      <c r="AK62" s="45" t="str">
        <f t="shared" si="10"/>
        <v>NO</v>
      </c>
      <c r="AL62" s="45"/>
      <c r="AM62" s="45"/>
      <c r="AN62" s="45"/>
      <c r="AO62" s="49"/>
      <c r="AP62" s="45"/>
      <c r="AQ62" s="45"/>
      <c r="AR62" s="45" t="str">
        <f t="shared" si="11"/>
        <v>NO</v>
      </c>
      <c r="AS62" s="43"/>
    </row>
    <row r="63" spans="1:45" ht="44" customHeight="1">
      <c r="A63" s="45">
        <v>55</v>
      </c>
      <c r="B63" s="43" t="str">
        <f>'T01 revisión'!A59</f>
        <v>downtownladies</v>
      </c>
      <c r="C63" s="43" t="str">
        <f>'T01 revisión'!B59</f>
        <v>Downtown Ladies: Informal Commercial Importers, a Haitian Anthropologist, and Self-Making in Jamaica</v>
      </c>
      <c r="D63" s="43" t="str">
        <f>'T01 revisión'!C59</f>
        <v>Gina Athena Ulysse</v>
      </c>
      <c r="E63" s="43" t="str">
        <f>'T01 revisión'!D59</f>
        <v>A01</v>
      </c>
      <c r="F63" s="43" t="str">
        <f>'T01 revisión'!E59</f>
        <v>anglófono (EE.UU./Haití)</v>
      </c>
      <c r="G63" s="43" t="str">
        <f>'T01 revisión'!H59</f>
        <v>varias procedencias o territorios; abreviaturas por normalizar; función territorial no demostrada</v>
      </c>
      <c r="H63" s="45" t="str">
        <f t="shared" si="0"/>
        <v>B</v>
      </c>
      <c r="I63" s="45"/>
      <c r="J63" s="45" t="str">
        <f t="shared" si="1"/>
        <v>GPT + Claude ciegos; control abreviado</v>
      </c>
      <c r="K63" s="43"/>
      <c r="L63" s="43"/>
      <c r="M63" s="43"/>
      <c r="N63" s="43"/>
      <c r="O63" s="43"/>
      <c r="P63" s="43"/>
      <c r="Q63" s="43"/>
      <c r="R63" s="43"/>
      <c r="S63" s="43"/>
      <c r="T63" s="43"/>
      <c r="U63" s="43"/>
      <c r="V63" s="43"/>
      <c r="W63" s="43"/>
      <c r="X63" s="43"/>
      <c r="Y63" s="43"/>
      <c r="Z63" s="43"/>
      <c r="AA63" s="43"/>
      <c r="AB63" s="43"/>
      <c r="AC63" s="45" t="str">
        <f t="shared" si="2"/>
        <v>pendiente</v>
      </c>
      <c r="AD63" s="45" t="str">
        <f t="shared" si="3"/>
        <v>pendiente</v>
      </c>
      <c r="AE63" s="45" t="str">
        <f t="shared" si="4"/>
        <v>pendiente</v>
      </c>
      <c r="AF63" s="45" t="str">
        <f t="shared" si="5"/>
        <v>pendiente</v>
      </c>
      <c r="AG63" s="45" t="str">
        <f t="shared" si="6"/>
        <v>insuficiente</v>
      </c>
      <c r="AH63" s="45" t="str">
        <f t="shared" si="7"/>
        <v>pendiente</v>
      </c>
      <c r="AI63" s="45" t="str">
        <f t="shared" si="8"/>
        <v>SI</v>
      </c>
      <c r="AJ63" s="45" t="str">
        <f t="shared" si="9"/>
        <v>abreviado</v>
      </c>
      <c r="AK63" s="45" t="str">
        <f t="shared" si="10"/>
        <v>NO</v>
      </c>
      <c r="AL63" s="45"/>
      <c r="AM63" s="45"/>
      <c r="AN63" s="45"/>
      <c r="AO63" s="49"/>
      <c r="AP63" s="45"/>
      <c r="AQ63" s="45"/>
      <c r="AR63" s="45" t="str">
        <f t="shared" si="11"/>
        <v>NO</v>
      </c>
      <c r="AS63" s="43"/>
    </row>
    <row r="64" spans="1:45" ht="44" customHeight="1">
      <c r="A64" s="45">
        <v>56</v>
      </c>
      <c r="B64" s="43" t="str">
        <f>'T01 revisión'!A60</f>
        <v>reddock</v>
      </c>
      <c r="C64" s="43" t="str">
        <f>'T01 revisión'!B60</f>
        <v>Women, Labour and Politics in Trinidad and Tobago: A History</v>
      </c>
      <c r="D64" s="43" t="str">
        <f>'T01 revisión'!C60</f>
        <v>Rhoda Reddock</v>
      </c>
      <c r="E64" s="43" t="str">
        <f>'T01 revisión'!D60</f>
        <v>A01</v>
      </c>
      <c r="F64" s="43" t="str">
        <f>'T01 revisión'!E60</f>
        <v>anglófono (Trinidad)</v>
      </c>
      <c r="G64" s="43" t="str">
        <f>'T01 revisión'!H60</f>
        <v>función territorial no demostrada</v>
      </c>
      <c r="H64" s="45" t="str">
        <f t="shared" si="0"/>
        <v>A</v>
      </c>
      <c r="I64" s="45"/>
      <c r="J64" s="45" t="str">
        <f t="shared" si="1"/>
        <v>GPT + muestra Claude/humana</v>
      </c>
      <c r="K64" s="43"/>
      <c r="L64" s="43"/>
      <c r="M64" s="43"/>
      <c r="N64" s="43"/>
      <c r="O64" s="43"/>
      <c r="P64" s="43"/>
      <c r="Q64" s="43"/>
      <c r="R64" s="43"/>
      <c r="S64" s="43"/>
      <c r="T64" s="43"/>
      <c r="U64" s="43"/>
      <c r="V64" s="43"/>
      <c r="W64" s="43"/>
      <c r="X64" s="43"/>
      <c r="Y64" s="43"/>
      <c r="Z64" s="43"/>
      <c r="AA64" s="43"/>
      <c r="AB64" s="43"/>
      <c r="AC64" s="45" t="str">
        <f t="shared" si="2"/>
        <v>pendiente</v>
      </c>
      <c r="AD64" s="45" t="str">
        <f t="shared" si="3"/>
        <v>pendiente</v>
      </c>
      <c r="AE64" s="45" t="str">
        <f t="shared" si="4"/>
        <v>pendiente</v>
      </c>
      <c r="AF64" s="45" t="str">
        <f t="shared" si="5"/>
        <v>pendiente</v>
      </c>
      <c r="AG64" s="45" t="str">
        <f t="shared" si="6"/>
        <v>insuficiente</v>
      </c>
      <c r="AH64" s="45" t="str">
        <f t="shared" si="7"/>
        <v>pendiente</v>
      </c>
      <c r="AI64" s="45" t="str">
        <f t="shared" si="8"/>
        <v>SI</v>
      </c>
      <c r="AJ64" s="45" t="str">
        <f t="shared" si="9"/>
        <v>NO</v>
      </c>
      <c r="AK64" s="45" t="str">
        <f t="shared" si="10"/>
        <v>NO</v>
      </c>
      <c r="AL64" s="45"/>
      <c r="AM64" s="45"/>
      <c r="AN64" s="45"/>
      <c r="AO64" s="49"/>
      <c r="AP64" s="45"/>
      <c r="AQ64" s="45"/>
      <c r="AR64" s="45" t="str">
        <f t="shared" si="11"/>
        <v>NO</v>
      </c>
      <c r="AS64" s="43"/>
    </row>
    <row r="65" spans="1:45" ht="44" customHeight="1">
      <c r="A65" s="45">
        <v>57</v>
      </c>
      <c r="B65" s="43" t="str">
        <f>'T01 revisión'!A61</f>
        <v>caribjourneys</v>
      </c>
      <c r="C65" s="43" t="str">
        <f>'T01 revisión'!B61</f>
        <v>Caribbean Journeys: An Ethnography of Migration and Home in Three Family Networks</v>
      </c>
      <c r="D65" s="43" t="str">
        <f>'T01 revisión'!C61</f>
        <v>Karen Fog Olwig</v>
      </c>
      <c r="E65" s="43" t="str">
        <f>'T01 revisión'!D61</f>
        <v>B03</v>
      </c>
      <c r="F65" s="43" t="str">
        <f>'T01 revisión'!E61</f>
        <v>anglófono (Dinamarca/Caribe)</v>
      </c>
      <c r="G65" s="43" t="str">
        <f>'T01 revisión'!H61</f>
        <v>varias procedencias o territorios; función territorial no demostrada</v>
      </c>
      <c r="H65" s="45" t="str">
        <f t="shared" si="0"/>
        <v>B</v>
      </c>
      <c r="I65" s="45"/>
      <c r="J65" s="45" t="str">
        <f t="shared" si="1"/>
        <v>GPT + Claude ciegos; control abreviado</v>
      </c>
      <c r="K65" s="43"/>
      <c r="L65" s="43"/>
      <c r="M65" s="43"/>
      <c r="N65" s="43"/>
      <c r="O65" s="43"/>
      <c r="P65" s="43"/>
      <c r="Q65" s="43"/>
      <c r="R65" s="43"/>
      <c r="S65" s="43"/>
      <c r="T65" s="43"/>
      <c r="U65" s="43"/>
      <c r="V65" s="43"/>
      <c r="W65" s="43"/>
      <c r="X65" s="43"/>
      <c r="Y65" s="43"/>
      <c r="Z65" s="43"/>
      <c r="AA65" s="43"/>
      <c r="AB65" s="43"/>
      <c r="AC65" s="45" t="str">
        <f t="shared" si="2"/>
        <v>pendiente</v>
      </c>
      <c r="AD65" s="45" t="str">
        <f t="shared" si="3"/>
        <v>pendiente</v>
      </c>
      <c r="AE65" s="45" t="str">
        <f t="shared" si="4"/>
        <v>pendiente</v>
      </c>
      <c r="AF65" s="45" t="str">
        <f t="shared" si="5"/>
        <v>pendiente</v>
      </c>
      <c r="AG65" s="45" t="str">
        <f t="shared" si="6"/>
        <v>insuficiente</v>
      </c>
      <c r="AH65" s="45" t="str">
        <f t="shared" si="7"/>
        <v>pendiente</v>
      </c>
      <c r="AI65" s="45" t="str">
        <f t="shared" si="8"/>
        <v>SI</v>
      </c>
      <c r="AJ65" s="45" t="str">
        <f t="shared" si="9"/>
        <v>abreviado</v>
      </c>
      <c r="AK65" s="45" t="str">
        <f t="shared" si="10"/>
        <v>NO</v>
      </c>
      <c r="AL65" s="45"/>
      <c r="AM65" s="45"/>
      <c r="AN65" s="45"/>
      <c r="AO65" s="49"/>
      <c r="AP65" s="45"/>
      <c r="AQ65" s="45"/>
      <c r="AR65" s="45" t="str">
        <f t="shared" si="11"/>
        <v>NO</v>
      </c>
      <c r="AS65" s="43"/>
    </row>
    <row r="66" spans="1:45" ht="44" customHeight="1">
      <c r="A66" s="45">
        <v>58</v>
      </c>
      <c r="B66" s="43" t="str">
        <f>'T01 revisión'!A62</f>
        <v>globalculture</v>
      </c>
      <c r="C66" s="43" t="str">
        <f>'T01 revisión'!B62</f>
        <v>Global Culture, Island Identity: Continuity and Change in the Afro-Caribbean Community of Nevis</v>
      </c>
      <c r="D66" s="43" t="str">
        <f>'T01 revisión'!C62</f>
        <v>Karen Fog Olwig</v>
      </c>
      <c r="E66" s="43" t="str">
        <f>'T01 revisión'!D62</f>
        <v>B02</v>
      </c>
      <c r="F66" s="43" t="str">
        <f>'T01 revisión'!E62</f>
        <v>anglófono (Dinamarca/Caribe)</v>
      </c>
      <c r="G66" s="43" t="str">
        <f>'T01 revisión'!H62</f>
        <v>varias procedencias o territorios; función territorial no demostrada</v>
      </c>
      <c r="H66" s="45" t="str">
        <f t="shared" si="0"/>
        <v>B</v>
      </c>
      <c r="I66" s="45"/>
      <c r="J66" s="45" t="str">
        <f t="shared" si="1"/>
        <v>GPT + Claude ciegos; control abreviado</v>
      </c>
      <c r="K66" s="43"/>
      <c r="L66" s="43"/>
      <c r="M66" s="43"/>
      <c r="N66" s="43"/>
      <c r="O66" s="43"/>
      <c r="P66" s="43"/>
      <c r="Q66" s="43"/>
      <c r="R66" s="43"/>
      <c r="S66" s="43"/>
      <c r="T66" s="43"/>
      <c r="U66" s="43"/>
      <c r="V66" s="43"/>
      <c r="W66" s="43"/>
      <c r="X66" s="43"/>
      <c r="Y66" s="43"/>
      <c r="Z66" s="43"/>
      <c r="AA66" s="43"/>
      <c r="AB66" s="43"/>
      <c r="AC66" s="45" t="str">
        <f t="shared" si="2"/>
        <v>pendiente</v>
      </c>
      <c r="AD66" s="45" t="str">
        <f t="shared" si="3"/>
        <v>pendiente</v>
      </c>
      <c r="AE66" s="45" t="str">
        <f t="shared" si="4"/>
        <v>pendiente</v>
      </c>
      <c r="AF66" s="45" t="str">
        <f t="shared" si="5"/>
        <v>pendiente</v>
      </c>
      <c r="AG66" s="45" t="str">
        <f t="shared" si="6"/>
        <v>insuficiente</v>
      </c>
      <c r="AH66" s="45" t="str">
        <f t="shared" si="7"/>
        <v>pendiente</v>
      </c>
      <c r="AI66" s="45" t="str">
        <f t="shared" si="8"/>
        <v>SI</v>
      </c>
      <c r="AJ66" s="45" t="str">
        <f t="shared" si="9"/>
        <v>abreviado</v>
      </c>
      <c r="AK66" s="45" t="str">
        <f t="shared" si="10"/>
        <v>NO</v>
      </c>
      <c r="AL66" s="45"/>
      <c r="AM66" s="45"/>
      <c r="AN66" s="45"/>
      <c r="AO66" s="49"/>
      <c r="AP66" s="45"/>
      <c r="AQ66" s="45"/>
      <c r="AR66" s="45" t="str">
        <f t="shared" si="11"/>
        <v>NO</v>
      </c>
      <c r="AS66" s="43"/>
    </row>
    <row r="67" spans="1:45" ht="44" customHeight="1">
      <c r="A67" s="45">
        <v>59</v>
      </c>
      <c r="B67" s="43" t="str">
        <f>'T01 revisión'!A63</f>
        <v>islandscity</v>
      </c>
      <c r="C67" s="43" t="str">
        <f>'T01 revisión'!B63</f>
        <v>Islands in the City: West Indian Migration to New York</v>
      </c>
      <c r="D67" s="43" t="str">
        <f>'T01 revisión'!C63</f>
        <v>Nancy Foner (ed.)</v>
      </c>
      <c r="E67" s="43" t="str">
        <f>'T01 revisión'!D63</f>
        <v>A02</v>
      </c>
      <c r="F67" s="43" t="str">
        <f>'T01 revisión'!E63</f>
        <v>anglófono (EE.UU./Antillas)</v>
      </c>
      <c r="G67" s="43" t="str">
        <f>'T01 revisión'!H63</f>
        <v>varias procedencias o territorios; abreviaturas por normalizar; función territorial no demostrada</v>
      </c>
      <c r="H67" s="45" t="str">
        <f t="shared" si="0"/>
        <v>B</v>
      </c>
      <c r="I67" s="45"/>
      <c r="J67" s="45" t="str">
        <f t="shared" si="1"/>
        <v>GPT + Claude ciegos; control abreviado</v>
      </c>
      <c r="K67" s="43"/>
      <c r="L67" s="43"/>
      <c r="M67" s="43"/>
      <c r="N67" s="43"/>
      <c r="O67" s="43"/>
      <c r="P67" s="43"/>
      <c r="Q67" s="43"/>
      <c r="R67" s="43"/>
      <c r="S67" s="43"/>
      <c r="T67" s="43"/>
      <c r="U67" s="43"/>
      <c r="V67" s="43"/>
      <c r="W67" s="43"/>
      <c r="X67" s="43"/>
      <c r="Y67" s="43"/>
      <c r="Z67" s="43"/>
      <c r="AA67" s="43"/>
      <c r="AB67" s="43"/>
      <c r="AC67" s="45" t="str">
        <f t="shared" si="2"/>
        <v>pendiente</v>
      </c>
      <c r="AD67" s="45" t="str">
        <f t="shared" si="3"/>
        <v>pendiente</v>
      </c>
      <c r="AE67" s="45" t="str">
        <f t="shared" si="4"/>
        <v>pendiente</v>
      </c>
      <c r="AF67" s="45" t="str">
        <f t="shared" si="5"/>
        <v>pendiente</v>
      </c>
      <c r="AG67" s="45" t="str">
        <f t="shared" si="6"/>
        <v>insuficiente</v>
      </c>
      <c r="AH67" s="45" t="str">
        <f t="shared" si="7"/>
        <v>pendiente</v>
      </c>
      <c r="AI67" s="45" t="str">
        <f t="shared" si="8"/>
        <v>SI</v>
      </c>
      <c r="AJ67" s="45" t="str">
        <f t="shared" si="9"/>
        <v>abreviado</v>
      </c>
      <c r="AK67" s="45" t="str">
        <f t="shared" si="10"/>
        <v>NO</v>
      </c>
      <c r="AL67" s="45"/>
      <c r="AM67" s="45"/>
      <c r="AN67" s="45"/>
      <c r="AO67" s="49"/>
      <c r="AP67" s="45"/>
      <c r="AQ67" s="45"/>
      <c r="AR67" s="45" t="str">
        <f t="shared" si="11"/>
        <v>NO</v>
      </c>
      <c r="AS67" s="43"/>
    </row>
    <row r="68" spans="1:45" ht="44" customHeight="1">
      <c r="A68" s="45">
        <v>60</v>
      </c>
      <c r="B68" s="43" t="str">
        <f>'T01 revisión'!A64</f>
        <v>callaloonation</v>
      </c>
      <c r="C68" s="43" t="str">
        <f>'T01 revisión'!B64</f>
        <v>Callaloo Nation: Metaphors of Race and Religious Identity among South Asians in Trinidad</v>
      </c>
      <c r="D68" s="43" t="str">
        <f>'T01 revisión'!C64</f>
        <v>Aisha Khan</v>
      </c>
      <c r="E68" s="43" t="str">
        <f>'T01 revisión'!D64</f>
        <v>B04</v>
      </c>
      <c r="F68" s="43" t="str">
        <f>'T01 revisión'!E64</f>
        <v>anglófono (Trinidad/EE.UU.)</v>
      </c>
      <c r="G68" s="43" t="str">
        <f>'T01 revisión'!H64</f>
        <v>varias procedencias o territorios; abreviaturas por normalizar; función territorial no demostrada</v>
      </c>
      <c r="H68" s="45" t="str">
        <f t="shared" si="0"/>
        <v>B</v>
      </c>
      <c r="I68" s="45"/>
      <c r="J68" s="45" t="str">
        <f t="shared" si="1"/>
        <v>GPT + Claude ciegos; control abreviado</v>
      </c>
      <c r="K68" s="43"/>
      <c r="L68" s="43"/>
      <c r="M68" s="43"/>
      <c r="N68" s="43"/>
      <c r="O68" s="43"/>
      <c r="P68" s="43"/>
      <c r="Q68" s="43"/>
      <c r="R68" s="43"/>
      <c r="S68" s="43"/>
      <c r="T68" s="43"/>
      <c r="U68" s="43"/>
      <c r="V68" s="43"/>
      <c r="W68" s="43"/>
      <c r="X68" s="43"/>
      <c r="Y68" s="43"/>
      <c r="Z68" s="43"/>
      <c r="AA68" s="43"/>
      <c r="AB68" s="43"/>
      <c r="AC68" s="45" t="str">
        <f t="shared" si="2"/>
        <v>pendiente</v>
      </c>
      <c r="AD68" s="45" t="str">
        <f t="shared" si="3"/>
        <v>pendiente</v>
      </c>
      <c r="AE68" s="45" t="str">
        <f t="shared" si="4"/>
        <v>pendiente</v>
      </c>
      <c r="AF68" s="45" t="str">
        <f t="shared" si="5"/>
        <v>pendiente</v>
      </c>
      <c r="AG68" s="45" t="str">
        <f t="shared" si="6"/>
        <v>insuficiente</v>
      </c>
      <c r="AH68" s="45" t="str">
        <f t="shared" si="7"/>
        <v>pendiente</v>
      </c>
      <c r="AI68" s="45" t="str">
        <f t="shared" si="8"/>
        <v>SI</v>
      </c>
      <c r="AJ68" s="45" t="str">
        <f t="shared" si="9"/>
        <v>abreviado</v>
      </c>
      <c r="AK68" s="45" t="str">
        <f t="shared" si="10"/>
        <v>NO</v>
      </c>
      <c r="AL68" s="45"/>
      <c r="AM68" s="45"/>
      <c r="AN68" s="45"/>
      <c r="AO68" s="49"/>
      <c r="AP68" s="45"/>
      <c r="AQ68" s="45"/>
      <c r="AR68" s="45" t="str">
        <f t="shared" si="11"/>
        <v>NO</v>
      </c>
      <c r="AS68" s="43"/>
    </row>
    <row r="69" spans="1:45" ht="44" customHeight="1">
      <c r="A69" s="45">
        <v>61</v>
      </c>
      <c r="B69" s="43" t="str">
        <f>'T01 revisión'!A65</f>
        <v>reconfdominic</v>
      </c>
      <c r="C69" s="43" t="str">
        <f>'T01 revisión'!B65</f>
        <v>Reconfiguring Dominicanness</v>
      </c>
      <c r="D69" s="43" t="str">
        <f>'T01 revisión'!C65</f>
        <v>Kimberly Eison Simmons</v>
      </c>
      <c r="E69" s="43" t="str">
        <f>'T01 revisión'!D65</f>
        <v>DE01</v>
      </c>
      <c r="F69" s="43" t="str">
        <f>'T01 revisión'!E65</f>
        <v>anglófono (EE.UU./Rep. Dominicana)</v>
      </c>
      <c r="G69" s="43" t="str">
        <f>'T01 revisión'!H65</f>
        <v>varias procedencias o territorios; abreviaturas por normalizar; función territorial no demostrada</v>
      </c>
      <c r="H69" s="45" t="str">
        <f t="shared" si="0"/>
        <v>B</v>
      </c>
      <c r="I69" s="45"/>
      <c r="J69" s="45" t="str">
        <f t="shared" si="1"/>
        <v>GPT + Claude ciegos; control abreviado</v>
      </c>
      <c r="K69" s="43"/>
      <c r="L69" s="43"/>
      <c r="M69" s="43"/>
      <c r="N69" s="43"/>
      <c r="O69" s="43"/>
      <c r="P69" s="43"/>
      <c r="Q69" s="43"/>
      <c r="R69" s="43"/>
      <c r="S69" s="43"/>
      <c r="T69" s="43"/>
      <c r="U69" s="43"/>
      <c r="V69" s="43"/>
      <c r="W69" s="43"/>
      <c r="X69" s="43"/>
      <c r="Y69" s="43"/>
      <c r="Z69" s="43"/>
      <c r="AA69" s="43"/>
      <c r="AB69" s="43"/>
      <c r="AC69" s="45" t="str">
        <f t="shared" si="2"/>
        <v>pendiente</v>
      </c>
      <c r="AD69" s="45" t="str">
        <f t="shared" si="3"/>
        <v>pendiente</v>
      </c>
      <c r="AE69" s="45" t="str">
        <f t="shared" si="4"/>
        <v>pendiente</v>
      </c>
      <c r="AF69" s="45" t="str">
        <f t="shared" si="5"/>
        <v>pendiente</v>
      </c>
      <c r="AG69" s="45" t="str">
        <f t="shared" si="6"/>
        <v>insuficiente</v>
      </c>
      <c r="AH69" s="45" t="str">
        <f t="shared" si="7"/>
        <v>pendiente</v>
      </c>
      <c r="AI69" s="45" t="str">
        <f t="shared" si="8"/>
        <v>SI</v>
      </c>
      <c r="AJ69" s="45" t="str">
        <f t="shared" si="9"/>
        <v>abreviado</v>
      </c>
      <c r="AK69" s="45" t="str">
        <f t="shared" si="10"/>
        <v>NO</v>
      </c>
      <c r="AL69" s="45"/>
      <c r="AM69" s="45"/>
      <c r="AN69" s="45"/>
      <c r="AO69" s="49"/>
      <c r="AP69" s="45"/>
      <c r="AQ69" s="45"/>
      <c r="AR69" s="45" t="str">
        <f t="shared" si="11"/>
        <v>NO</v>
      </c>
      <c r="AS69" s="43"/>
    </row>
    <row r="70" spans="1:45" ht="44" customHeight="1">
      <c r="A70" s="45">
        <v>62</v>
      </c>
      <c r="B70" s="43" t="str">
        <f>'T01 revisión'!A66</f>
        <v>cuijla</v>
      </c>
      <c r="C70" s="43" t="str">
        <f>'T01 revisión'!B66</f>
        <v>Cuijla: Esbozo etnográfico de un pueblo negro</v>
      </c>
      <c r="D70" s="43" t="str">
        <f>'T01 revisión'!C66</f>
        <v>Gonzalo Aguirre Beltrán</v>
      </c>
      <c r="E70" s="43" t="str">
        <f>'T01 revisión'!D66</f>
        <v>B02</v>
      </c>
      <c r="F70" s="43" t="str">
        <f>'T01 revisión'!E66</f>
        <v>hispano (México)</v>
      </c>
      <c r="G70" s="43" t="str">
        <f>'T01 revisión'!H66</f>
        <v>función territorial no demostrada</v>
      </c>
      <c r="H70" s="45" t="str">
        <f t="shared" si="0"/>
        <v>A</v>
      </c>
      <c r="I70" s="45"/>
      <c r="J70" s="45" t="str">
        <f t="shared" si="1"/>
        <v>GPT + muestra Claude/humana</v>
      </c>
      <c r="K70" s="43"/>
      <c r="L70" s="43"/>
      <c r="M70" s="43"/>
      <c r="N70" s="43"/>
      <c r="O70" s="43"/>
      <c r="P70" s="43"/>
      <c r="Q70" s="43"/>
      <c r="R70" s="43"/>
      <c r="S70" s="43"/>
      <c r="T70" s="43"/>
      <c r="U70" s="43"/>
      <c r="V70" s="43"/>
      <c r="W70" s="43"/>
      <c r="X70" s="43"/>
      <c r="Y70" s="43"/>
      <c r="Z70" s="43"/>
      <c r="AA70" s="43"/>
      <c r="AB70" s="43"/>
      <c r="AC70" s="45" t="str">
        <f t="shared" si="2"/>
        <v>pendiente</v>
      </c>
      <c r="AD70" s="45" t="str">
        <f t="shared" si="3"/>
        <v>pendiente</v>
      </c>
      <c r="AE70" s="45" t="str">
        <f t="shared" si="4"/>
        <v>pendiente</v>
      </c>
      <c r="AF70" s="45" t="str">
        <f t="shared" si="5"/>
        <v>pendiente</v>
      </c>
      <c r="AG70" s="45" t="str">
        <f t="shared" si="6"/>
        <v>insuficiente</v>
      </c>
      <c r="AH70" s="45" t="str">
        <f t="shared" si="7"/>
        <v>pendiente</v>
      </c>
      <c r="AI70" s="45" t="str">
        <f t="shared" si="8"/>
        <v>NO</v>
      </c>
      <c r="AJ70" s="45" t="str">
        <f t="shared" si="9"/>
        <v>NO</v>
      </c>
      <c r="AK70" s="45" t="str">
        <f t="shared" si="10"/>
        <v>NO</v>
      </c>
      <c r="AL70" s="45"/>
      <c r="AM70" s="45"/>
      <c r="AN70" s="45"/>
      <c r="AO70" s="49"/>
      <c r="AP70" s="45"/>
      <c r="AQ70" s="45"/>
      <c r="AR70" s="45" t="str">
        <f t="shared" si="11"/>
        <v>NO</v>
      </c>
      <c r="AS70" s="43"/>
    </row>
    <row r="71" spans="1:45" ht="44" customHeight="1">
      <c r="A71" s="45">
        <v>63</v>
      </c>
      <c r="B71" s="43" t="str">
        <f>'T01 revisión'!A67</f>
        <v>chocolatecorn</v>
      </c>
      <c r="C71" s="43" t="str">
        <f>'T01 revisión'!B67</f>
        <v>Chocolate and Corn Flour: History, Race, and Place in the Making of Black Mexico</v>
      </c>
      <c r="D71" s="43" t="str">
        <f>'T01 revisión'!C67</f>
        <v>Laura A. Lewis</v>
      </c>
      <c r="E71" s="43" t="str">
        <f>'T01 revisión'!D67</f>
        <v>C03</v>
      </c>
      <c r="F71" s="43" t="str">
        <f>'T01 revisión'!E67</f>
        <v>anglófono (EE.UU./México)</v>
      </c>
      <c r="G71" s="43" t="str">
        <f>'T01 revisión'!H67</f>
        <v>varias procedencias o territorios; abreviaturas por normalizar; función territorial no demostrada</v>
      </c>
      <c r="H71" s="45" t="str">
        <f t="shared" si="0"/>
        <v>B</v>
      </c>
      <c r="I71" s="45"/>
      <c r="J71" s="45" t="str">
        <f t="shared" si="1"/>
        <v>GPT + Claude ciegos; control abreviado</v>
      </c>
      <c r="K71" s="43"/>
      <c r="L71" s="43"/>
      <c r="M71" s="43"/>
      <c r="N71" s="43"/>
      <c r="O71" s="43"/>
      <c r="P71" s="43"/>
      <c r="Q71" s="43"/>
      <c r="R71" s="43"/>
      <c r="S71" s="43"/>
      <c r="T71" s="43"/>
      <c r="U71" s="43"/>
      <c r="V71" s="43"/>
      <c r="W71" s="43"/>
      <c r="X71" s="43"/>
      <c r="Y71" s="43"/>
      <c r="Z71" s="43"/>
      <c r="AA71" s="43"/>
      <c r="AB71" s="43"/>
      <c r="AC71" s="45" t="str">
        <f t="shared" si="2"/>
        <v>pendiente</v>
      </c>
      <c r="AD71" s="45" t="str">
        <f t="shared" si="3"/>
        <v>pendiente</v>
      </c>
      <c r="AE71" s="45" t="str">
        <f t="shared" si="4"/>
        <v>pendiente</v>
      </c>
      <c r="AF71" s="45" t="str">
        <f t="shared" si="5"/>
        <v>pendiente</v>
      </c>
      <c r="AG71" s="45" t="str">
        <f t="shared" si="6"/>
        <v>insuficiente</v>
      </c>
      <c r="AH71" s="45" t="str">
        <f t="shared" si="7"/>
        <v>pendiente</v>
      </c>
      <c r="AI71" s="45" t="str">
        <f t="shared" si="8"/>
        <v>SI</v>
      </c>
      <c r="AJ71" s="45" t="str">
        <f t="shared" si="9"/>
        <v>abreviado</v>
      </c>
      <c r="AK71" s="45" t="str">
        <f t="shared" si="10"/>
        <v>NO</v>
      </c>
      <c r="AL71" s="45"/>
      <c r="AM71" s="45"/>
      <c r="AN71" s="45"/>
      <c r="AO71" s="49"/>
      <c r="AP71" s="45"/>
      <c r="AQ71" s="45"/>
      <c r="AR71" s="45" t="str">
        <f t="shared" si="11"/>
        <v>NO</v>
      </c>
      <c r="AS71" s="43"/>
    </row>
    <row r="72" spans="1:45" ht="44" customHeight="1">
      <c r="A72" s="45">
        <v>64</v>
      </c>
      <c r="B72" s="43" t="str">
        <f>'T01 revisión'!A68</f>
        <v>womenancestors</v>
      </c>
      <c r="C72" s="43" t="str">
        <f>'T01 revisión'!B68</f>
        <v>Women and the Ancestors: Black Carib Kinship and Ritual</v>
      </c>
      <c r="D72" s="43" t="str">
        <f>'T01 revisión'!C68</f>
        <v>Virginia Kerns</v>
      </c>
      <c r="E72" s="43" t="str">
        <f>'T01 revisión'!D68</f>
        <v>B01</v>
      </c>
      <c r="F72" s="43" t="str">
        <f>'T01 revisión'!E68</f>
        <v>anglófono (EE.UU./Belice)</v>
      </c>
      <c r="G72" s="43" t="str">
        <f>'T01 revisión'!H68</f>
        <v>varias procedencias o territorios; abreviaturas por normalizar; función territorial no demostrada</v>
      </c>
      <c r="H72" s="45" t="str">
        <f t="shared" si="0"/>
        <v>B</v>
      </c>
      <c r="I72" s="45"/>
      <c r="J72" s="45" t="str">
        <f t="shared" si="1"/>
        <v>GPT + Claude ciegos; control abreviado</v>
      </c>
      <c r="K72" s="43"/>
      <c r="L72" s="43"/>
      <c r="M72" s="43"/>
      <c r="N72" s="43"/>
      <c r="O72" s="43"/>
      <c r="P72" s="43"/>
      <c r="Q72" s="43"/>
      <c r="R72" s="43"/>
      <c r="S72" s="43"/>
      <c r="T72" s="43"/>
      <c r="U72" s="43"/>
      <c r="V72" s="43"/>
      <c r="W72" s="43"/>
      <c r="X72" s="43"/>
      <c r="Y72" s="43"/>
      <c r="Z72" s="43"/>
      <c r="AA72" s="43"/>
      <c r="AB72" s="43"/>
      <c r="AC72" s="45" t="str">
        <f t="shared" si="2"/>
        <v>pendiente</v>
      </c>
      <c r="AD72" s="45" t="str">
        <f t="shared" si="3"/>
        <v>pendiente</v>
      </c>
      <c r="AE72" s="45" t="str">
        <f t="shared" si="4"/>
        <v>pendiente</v>
      </c>
      <c r="AF72" s="45" t="str">
        <f t="shared" si="5"/>
        <v>pendiente</v>
      </c>
      <c r="AG72" s="45" t="str">
        <f t="shared" si="6"/>
        <v>insuficiente</v>
      </c>
      <c r="AH72" s="45" t="str">
        <f t="shared" si="7"/>
        <v>pendiente</v>
      </c>
      <c r="AI72" s="45" t="str">
        <f t="shared" si="8"/>
        <v>SI</v>
      </c>
      <c r="AJ72" s="45" t="str">
        <f t="shared" si="9"/>
        <v>abreviado</v>
      </c>
      <c r="AK72" s="45" t="str">
        <f t="shared" si="10"/>
        <v>NO</v>
      </c>
      <c r="AL72" s="45"/>
      <c r="AM72" s="45"/>
      <c r="AN72" s="45"/>
      <c r="AO72" s="49"/>
      <c r="AP72" s="45"/>
      <c r="AQ72" s="45"/>
      <c r="AR72" s="45" t="str">
        <f t="shared" si="11"/>
        <v>NO</v>
      </c>
      <c r="AS72" s="43"/>
    </row>
    <row r="73" spans="1:45" ht="44" customHeight="1">
      <c r="A73" s="45">
        <v>65</v>
      </c>
      <c r="B73" s="43" t="str">
        <f>'T01 revisión'!A69</f>
        <v>afrocentroam</v>
      </c>
      <c r="C73" s="43" t="str">
        <f>'T01 revisión'!B69</f>
        <v>Afro Central Americans in New York City: Garifuna Tales of Transnational Movements in Racialized Space</v>
      </c>
      <c r="D73" s="43" t="str">
        <f>'T01 revisión'!C69</f>
        <v>Sarah England</v>
      </c>
      <c r="E73" s="43" t="str">
        <f>'T01 revisión'!D69</f>
        <v>A02</v>
      </c>
      <c r="F73" s="43" t="str">
        <f>'T01 revisión'!E69</f>
        <v>anglófono (EE.UU./Honduras)</v>
      </c>
      <c r="G73" s="43" t="str">
        <f>'T01 revisión'!H69</f>
        <v>varias procedencias o territorios; abreviaturas por normalizar; función territorial no demostrada</v>
      </c>
      <c r="H73" s="45" t="str">
        <f t="shared" ref="H73:H136" si="12">IF(OR(ISNUMBER(SEARCH(" / ",C73)),LEFT(F73,9)="comparado",ISNUMBER(SEARCH("entrada compuesta",G73))),"C",IF(OR(ISNUMBER(SEARCH("/",F73)),ISNUMBER(SEARCH("múltiples",G73)),ISNUMBER(SEARCH("trayectoria",G73)),ISNUMBER(SEARCH("diáspora",G73)),ISNUMBER(SEARCH("temporalidad",G73))),"B","A"))</f>
        <v>B</v>
      </c>
      <c r="I73" s="45"/>
      <c r="J73" s="45" t="str">
        <f t="shared" ref="J73:J136" si="13">IF(IF(I73="",H73,I73)="A","GPT + muestra Claude/humana",IF(IF(I73="",H73,I73)="B","GPT + Claude ciegos; control abreviado","GPT + Claude ciegos; control humano obligatorio"))</f>
        <v>GPT + Claude ciegos; control abreviado</v>
      </c>
      <c r="K73" s="43"/>
      <c r="L73" s="43"/>
      <c r="M73" s="43"/>
      <c r="N73" s="43"/>
      <c r="O73" s="43"/>
      <c r="P73" s="43"/>
      <c r="Q73" s="43"/>
      <c r="R73" s="43"/>
      <c r="S73" s="43"/>
      <c r="T73" s="43"/>
      <c r="U73" s="43"/>
      <c r="V73" s="43"/>
      <c r="W73" s="43"/>
      <c r="X73" s="43"/>
      <c r="Y73" s="43"/>
      <c r="Z73" s="43"/>
      <c r="AA73" s="43"/>
      <c r="AB73" s="43"/>
      <c r="AC73" s="45" t="str">
        <f t="shared" ref="AC73:AC136" si="14">IF(OR(L73="",U73=""),"pendiente",IF(L73=U73,"acuerdo","desacuerdo"))</f>
        <v>pendiente</v>
      </c>
      <c r="AD73" s="45" t="str">
        <f t="shared" ref="AD73:AD136" si="15">IF(OR(M73="",V73=""),"pendiente",IF(M73=V73,"acuerdo","desacuerdo"))</f>
        <v>pendiente</v>
      </c>
      <c r="AE73" s="45" t="str">
        <f t="shared" ref="AE73:AE136" si="16">IF(OR(N73="",W73=""),"pendiente",IF(N73=W73,"acuerdo","desacuerdo"))</f>
        <v>pendiente</v>
      </c>
      <c r="AF73" s="45" t="str">
        <f t="shared" ref="AF73:AF136" si="17">IF(OR(O73="",X73=""),"pendiente",IF(O73=X73,"acuerdo","desacuerdo"))</f>
        <v>pendiente</v>
      </c>
      <c r="AG73" s="45" t="str">
        <f t="shared" ref="AG73:AG136" si="18">IF(AI73="NO",IF(AND(P73&lt;&gt;"",Q73&lt;&gt;""),"GPT completa","insuficiente"),IF(AND(P73&lt;&gt;"",Q73&lt;&gt;"",Y73&lt;&gt;"",Z73&lt;&gt;""),"ambos completa","insuficiente"))</f>
        <v>insuficiente</v>
      </c>
      <c r="AH73" s="45" t="str">
        <f t="shared" ref="AH73:AH136" si="19">IF(AI73="NO",IF(AG73="GPT completa","dictamen_unico_A","pendiente"),IF(OR(AC73="pendiente",AD73="pendiente",AE73="pendiente",AF73="pendiente"),"pendiente",IF(AND(AC73="acuerdo",AD73="acuerdo",AE73="acuerdo",AF73="acuerdo",AG73="ambos completa"),"consenso_con_evidencia",IF(AG73="insuficiente","consenso_sin_evidencia_suficiente","desacuerdo"))))</f>
        <v>pendiente</v>
      </c>
      <c r="AI73" s="45" t="str">
        <f t="shared" ref="AI73:AI136" si="20">IF(IF(I73="",H73,I73)="A",IF(MOD(A73,7)=0,"SI","NO"),"SI")</f>
        <v>SI</v>
      </c>
      <c r="AJ73" s="45" t="str">
        <f t="shared" ref="AJ73:AJ136" si="21">IF(IF(I73="",H73,I73)="C","obligatorio",IF(IF(I73="",H73,I73)="B","abreviado",IF(MOD(A73,10)=0,"muestra","NO")))</f>
        <v>abreviado</v>
      </c>
      <c r="AK73" s="45" t="str">
        <f t="shared" ref="AK73:AK136" si="22">IF(OR(IF(I73="",H73,I73)="C",AH73="desacuerdo",AH73="consenso_sin_evidencia_suficiente",AND(AG73="insuficiente",OR(P73&lt;&gt;"",Q73&lt;&gt;"",Y73&lt;&gt;"",Z73&lt;&gt;""))),"SI","NO")</f>
        <v>NO</v>
      </c>
      <c r="AL73" s="45"/>
      <c r="AM73" s="45"/>
      <c r="AN73" s="45"/>
      <c r="AO73" s="49"/>
      <c r="AP73" s="45"/>
      <c r="AQ73" s="45"/>
      <c r="AR73" s="45" t="str">
        <f t="shared" ref="AR73:AR136" si="23">IF(AND(AL73="revisada",AM73&lt;&gt;"",AN73&lt;&gt;"",AO73&lt;&gt;"",AP73="pasa",AQ73="aprobada"),"SI","NO")</f>
        <v>NO</v>
      </c>
      <c r="AS73" s="43"/>
    </row>
    <row r="74" spans="1:45" ht="44" customHeight="1">
      <c r="A74" s="45">
        <v>66</v>
      </c>
      <c r="B74" s="43" t="str">
        <f>'T01 revisión'!A70</f>
        <v>cunin</v>
      </c>
      <c r="C74" s="43" t="str">
        <f>'T01 revisión'!B70</f>
        <v>Identidades a flor de piel: lo 'negro' entre apariencias y pertenencias</v>
      </c>
      <c r="D74" s="43" t="str">
        <f>'T01 revisión'!C70</f>
        <v>Elisabeth Cunin</v>
      </c>
      <c r="E74" s="43" t="str">
        <f>'T01 revisión'!D70</f>
        <v>DE01</v>
      </c>
      <c r="F74" s="43" t="str">
        <f>'T01 revisión'!E70</f>
        <v>francófono (Francia/Colombia)</v>
      </c>
      <c r="G74" s="43" t="str">
        <f>'T01 revisión'!H70</f>
        <v>varias procedencias o territorios; función territorial no demostrada</v>
      </c>
      <c r="H74" s="45" t="str">
        <f t="shared" si="12"/>
        <v>B</v>
      </c>
      <c r="I74" s="45"/>
      <c r="J74" s="45" t="str">
        <f t="shared" si="13"/>
        <v>GPT + Claude ciegos; control abreviado</v>
      </c>
      <c r="K74" s="43"/>
      <c r="L74" s="43"/>
      <c r="M74" s="43"/>
      <c r="N74" s="43"/>
      <c r="O74" s="43"/>
      <c r="P74" s="43"/>
      <c r="Q74" s="43"/>
      <c r="R74" s="43"/>
      <c r="S74" s="43"/>
      <c r="T74" s="43"/>
      <c r="U74" s="43"/>
      <c r="V74" s="43"/>
      <c r="W74" s="43"/>
      <c r="X74" s="43"/>
      <c r="Y74" s="43"/>
      <c r="Z74" s="43"/>
      <c r="AA74" s="43"/>
      <c r="AB74" s="43"/>
      <c r="AC74" s="45" t="str">
        <f t="shared" si="14"/>
        <v>pendiente</v>
      </c>
      <c r="AD74" s="45" t="str">
        <f t="shared" si="15"/>
        <v>pendiente</v>
      </c>
      <c r="AE74" s="45" t="str">
        <f t="shared" si="16"/>
        <v>pendiente</v>
      </c>
      <c r="AF74" s="45" t="str">
        <f t="shared" si="17"/>
        <v>pendiente</v>
      </c>
      <c r="AG74" s="45" t="str">
        <f t="shared" si="18"/>
        <v>insuficiente</v>
      </c>
      <c r="AH74" s="45" t="str">
        <f t="shared" si="19"/>
        <v>pendiente</v>
      </c>
      <c r="AI74" s="45" t="str">
        <f t="shared" si="20"/>
        <v>SI</v>
      </c>
      <c r="AJ74" s="45" t="str">
        <f t="shared" si="21"/>
        <v>abreviado</v>
      </c>
      <c r="AK74" s="45" t="str">
        <f t="shared" si="22"/>
        <v>NO</v>
      </c>
      <c r="AL74" s="45"/>
      <c r="AM74" s="45"/>
      <c r="AN74" s="45"/>
      <c r="AO74" s="49"/>
      <c r="AP74" s="45"/>
      <c r="AQ74" s="45"/>
      <c r="AR74" s="45" t="str">
        <f t="shared" si="23"/>
        <v>NO</v>
      </c>
      <c r="AS74" s="43"/>
    </row>
    <row r="75" spans="1:45" ht="44" customHeight="1">
      <c r="A75" s="45">
        <v>67</v>
      </c>
      <c r="B75" s="43" t="str">
        <f>'T01 revisión'!A71</f>
        <v>figueroa</v>
      </c>
      <c r="C75" s="43" t="str">
        <f>'T01 revisión'!B71</f>
        <v>Realismo mágico, vallenato y violencia política en el Caribe colombiano</v>
      </c>
      <c r="D75" s="43" t="str">
        <f>'T01 revisión'!C71</f>
        <v>José Antonio Figueroa</v>
      </c>
      <c r="E75" s="43" t="str">
        <f>'T01 revisión'!D71</f>
        <v>S01</v>
      </c>
      <c r="F75" s="43" t="str">
        <f>'T01 revisión'!E71</f>
        <v>hispano (Colombia)</v>
      </c>
      <c r="G75" s="43" t="str">
        <f>'T01 revisión'!H71</f>
        <v>función territorial no demostrada</v>
      </c>
      <c r="H75" s="45" t="str">
        <f t="shared" si="12"/>
        <v>A</v>
      </c>
      <c r="I75" s="45"/>
      <c r="J75" s="45" t="str">
        <f t="shared" si="13"/>
        <v>GPT + muestra Claude/humana</v>
      </c>
      <c r="K75" s="43"/>
      <c r="L75" s="43"/>
      <c r="M75" s="43"/>
      <c r="N75" s="43"/>
      <c r="O75" s="43"/>
      <c r="P75" s="43"/>
      <c r="Q75" s="43"/>
      <c r="R75" s="43"/>
      <c r="S75" s="43"/>
      <c r="T75" s="43"/>
      <c r="U75" s="43"/>
      <c r="V75" s="43"/>
      <c r="W75" s="43"/>
      <c r="X75" s="43"/>
      <c r="Y75" s="43"/>
      <c r="Z75" s="43"/>
      <c r="AA75" s="43"/>
      <c r="AB75" s="43"/>
      <c r="AC75" s="45" t="str">
        <f t="shared" si="14"/>
        <v>pendiente</v>
      </c>
      <c r="AD75" s="45" t="str">
        <f t="shared" si="15"/>
        <v>pendiente</v>
      </c>
      <c r="AE75" s="45" t="str">
        <f t="shared" si="16"/>
        <v>pendiente</v>
      </c>
      <c r="AF75" s="45" t="str">
        <f t="shared" si="17"/>
        <v>pendiente</v>
      </c>
      <c r="AG75" s="45" t="str">
        <f t="shared" si="18"/>
        <v>insuficiente</v>
      </c>
      <c r="AH75" s="45" t="str">
        <f t="shared" si="19"/>
        <v>pendiente</v>
      </c>
      <c r="AI75" s="45" t="str">
        <f t="shared" si="20"/>
        <v>NO</v>
      </c>
      <c r="AJ75" s="45" t="str">
        <f t="shared" si="21"/>
        <v>NO</v>
      </c>
      <c r="AK75" s="45" t="str">
        <f t="shared" si="22"/>
        <v>NO</v>
      </c>
      <c r="AL75" s="45"/>
      <c r="AM75" s="45"/>
      <c r="AN75" s="45"/>
      <c r="AO75" s="49"/>
      <c r="AP75" s="45"/>
      <c r="AQ75" s="45"/>
      <c r="AR75" s="45" t="str">
        <f t="shared" si="23"/>
        <v>NO</v>
      </c>
      <c r="AS75" s="43"/>
    </row>
    <row r="76" spans="1:45" ht="44" customHeight="1">
      <c r="A76" s="45">
        <v>68</v>
      </c>
      <c r="B76" s="43" t="str">
        <f>'T01 revisión'!A72</f>
        <v>tinsley</v>
      </c>
      <c r="C76" s="43" t="str">
        <f>'T01 revisión'!B72</f>
        <v>Ezili's Mirrors: Imagining Black Queer Genders</v>
      </c>
      <c r="D76" s="43" t="str">
        <f>'T01 revisión'!C72</f>
        <v>Omise'eke Natasha Tinsley</v>
      </c>
      <c r="E76" s="43" t="str">
        <f>'T01 revisión'!D72</f>
        <v>B01</v>
      </c>
      <c r="F76" s="43" t="str">
        <f>'T01 revisión'!E72</f>
        <v>anglófono (EE.UU./Caribe)</v>
      </c>
      <c r="G76" s="43" t="str">
        <f>'T01 revisión'!H72</f>
        <v>varias procedencias o territorios; abreviaturas por normalizar; función territorial no demostrada</v>
      </c>
      <c r="H76" s="45" t="str">
        <f t="shared" si="12"/>
        <v>B</v>
      </c>
      <c r="I76" s="45"/>
      <c r="J76" s="45" t="str">
        <f t="shared" si="13"/>
        <v>GPT + Claude ciegos; control abreviado</v>
      </c>
      <c r="K76" s="43"/>
      <c r="L76" s="43"/>
      <c r="M76" s="43"/>
      <c r="N76" s="43"/>
      <c r="O76" s="43"/>
      <c r="P76" s="43"/>
      <c r="Q76" s="43"/>
      <c r="R76" s="43"/>
      <c r="S76" s="43"/>
      <c r="T76" s="43"/>
      <c r="U76" s="43"/>
      <c r="V76" s="43"/>
      <c r="W76" s="43"/>
      <c r="X76" s="43"/>
      <c r="Y76" s="43"/>
      <c r="Z76" s="43"/>
      <c r="AA76" s="43"/>
      <c r="AB76" s="43"/>
      <c r="AC76" s="45" t="str">
        <f t="shared" si="14"/>
        <v>pendiente</v>
      </c>
      <c r="AD76" s="45" t="str">
        <f t="shared" si="15"/>
        <v>pendiente</v>
      </c>
      <c r="AE76" s="45" t="str">
        <f t="shared" si="16"/>
        <v>pendiente</v>
      </c>
      <c r="AF76" s="45" t="str">
        <f t="shared" si="17"/>
        <v>pendiente</v>
      </c>
      <c r="AG76" s="45" t="str">
        <f t="shared" si="18"/>
        <v>insuficiente</v>
      </c>
      <c r="AH76" s="45" t="str">
        <f t="shared" si="19"/>
        <v>pendiente</v>
      </c>
      <c r="AI76" s="45" t="str">
        <f t="shared" si="20"/>
        <v>SI</v>
      </c>
      <c r="AJ76" s="45" t="str">
        <f t="shared" si="21"/>
        <v>abreviado</v>
      </c>
      <c r="AK76" s="45" t="str">
        <f t="shared" si="22"/>
        <v>NO</v>
      </c>
      <c r="AL76" s="45"/>
      <c r="AM76" s="45"/>
      <c r="AN76" s="45"/>
      <c r="AO76" s="49"/>
      <c r="AP76" s="45"/>
      <c r="AQ76" s="45"/>
      <c r="AR76" s="45" t="str">
        <f t="shared" si="23"/>
        <v>NO</v>
      </c>
      <c r="AS76" s="43"/>
    </row>
    <row r="77" spans="1:45" ht="44" customHeight="1">
      <c r="A77" s="45">
        <v>69</v>
      </c>
      <c r="B77" s="43" t="str">
        <f>'T01 revisión'!A73</f>
        <v>alexander</v>
      </c>
      <c r="C77" s="43" t="str">
        <f>'T01 revisión'!B73</f>
        <v>Pedagogies of Crossing: Feminism, Sexual Politics, Memory, and the Sacred</v>
      </c>
      <c r="D77" s="43" t="str">
        <f>'T01 revisión'!C73</f>
        <v>M. Jacqui Alexander</v>
      </c>
      <c r="E77" s="43" t="str">
        <f>'T01 revisión'!D73</f>
        <v>B01</v>
      </c>
      <c r="F77" s="43" t="str">
        <f>'T01 revisión'!E73</f>
        <v>anglófono (Trinidad)</v>
      </c>
      <c r="G77" s="43" t="str">
        <f>'T01 revisión'!H73</f>
        <v>función territorial no demostrada</v>
      </c>
      <c r="H77" s="45" t="str">
        <f t="shared" si="12"/>
        <v>A</v>
      </c>
      <c r="I77" s="45"/>
      <c r="J77" s="45" t="str">
        <f t="shared" si="13"/>
        <v>GPT + muestra Claude/humana</v>
      </c>
      <c r="K77" s="43"/>
      <c r="L77" s="43"/>
      <c r="M77" s="43"/>
      <c r="N77" s="43"/>
      <c r="O77" s="43"/>
      <c r="P77" s="43"/>
      <c r="Q77" s="43"/>
      <c r="R77" s="43"/>
      <c r="S77" s="43"/>
      <c r="T77" s="43"/>
      <c r="U77" s="43"/>
      <c r="V77" s="43"/>
      <c r="W77" s="43"/>
      <c r="X77" s="43"/>
      <c r="Y77" s="43"/>
      <c r="Z77" s="43"/>
      <c r="AA77" s="43"/>
      <c r="AB77" s="43"/>
      <c r="AC77" s="45" t="str">
        <f t="shared" si="14"/>
        <v>pendiente</v>
      </c>
      <c r="AD77" s="45" t="str">
        <f t="shared" si="15"/>
        <v>pendiente</v>
      </c>
      <c r="AE77" s="45" t="str">
        <f t="shared" si="16"/>
        <v>pendiente</v>
      </c>
      <c r="AF77" s="45" t="str">
        <f t="shared" si="17"/>
        <v>pendiente</v>
      </c>
      <c r="AG77" s="45" t="str">
        <f t="shared" si="18"/>
        <v>insuficiente</v>
      </c>
      <c r="AH77" s="45" t="str">
        <f t="shared" si="19"/>
        <v>pendiente</v>
      </c>
      <c r="AI77" s="45" t="str">
        <f t="shared" si="20"/>
        <v>NO</v>
      </c>
      <c r="AJ77" s="45" t="str">
        <f t="shared" si="21"/>
        <v>NO</v>
      </c>
      <c r="AK77" s="45" t="str">
        <f t="shared" si="22"/>
        <v>NO</v>
      </c>
      <c r="AL77" s="45"/>
      <c r="AM77" s="45"/>
      <c r="AN77" s="45"/>
      <c r="AO77" s="49"/>
      <c r="AP77" s="45"/>
      <c r="AQ77" s="45"/>
      <c r="AR77" s="45" t="str">
        <f t="shared" si="23"/>
        <v>NO</v>
      </c>
      <c r="AS77" s="43"/>
    </row>
    <row r="78" spans="1:45" ht="44" customHeight="1">
      <c r="A78" s="45">
        <v>70</v>
      </c>
      <c r="B78" s="43" t="str">
        <f>'T01 revisión'!A74</f>
        <v>curiel</v>
      </c>
      <c r="C78" s="43" t="str">
        <f>'T01 revisión'!B74</f>
        <v>La Nación Heterosexual</v>
      </c>
      <c r="D78" s="43" t="str">
        <f>'T01 revisión'!C74</f>
        <v>Ochy Curiel</v>
      </c>
      <c r="E78" s="43" t="str">
        <f>'T01 revisión'!D74</f>
        <v>C01</v>
      </c>
      <c r="F78" s="43" t="str">
        <f>'T01 revisión'!E74</f>
        <v>hispano (Rep. Dominicana/Colombia)</v>
      </c>
      <c r="G78" s="43" t="str">
        <f>'T01 revisión'!H74</f>
        <v>varias procedencias o territorios; función territorial no demostrada</v>
      </c>
      <c r="H78" s="45" t="str">
        <f t="shared" si="12"/>
        <v>B</v>
      </c>
      <c r="I78" s="45"/>
      <c r="J78" s="45" t="str">
        <f t="shared" si="13"/>
        <v>GPT + Claude ciegos; control abreviado</v>
      </c>
      <c r="K78" s="43"/>
      <c r="L78" s="43"/>
      <c r="M78" s="43"/>
      <c r="N78" s="43"/>
      <c r="O78" s="43"/>
      <c r="P78" s="43"/>
      <c r="Q78" s="43"/>
      <c r="R78" s="43"/>
      <c r="S78" s="43"/>
      <c r="T78" s="43"/>
      <c r="U78" s="43"/>
      <c r="V78" s="43"/>
      <c r="W78" s="43"/>
      <c r="X78" s="43"/>
      <c r="Y78" s="43"/>
      <c r="Z78" s="43"/>
      <c r="AA78" s="43"/>
      <c r="AB78" s="43"/>
      <c r="AC78" s="45" t="str">
        <f t="shared" si="14"/>
        <v>pendiente</v>
      </c>
      <c r="AD78" s="45" t="str">
        <f t="shared" si="15"/>
        <v>pendiente</v>
      </c>
      <c r="AE78" s="45" t="str">
        <f t="shared" si="16"/>
        <v>pendiente</v>
      </c>
      <c r="AF78" s="45" t="str">
        <f t="shared" si="17"/>
        <v>pendiente</v>
      </c>
      <c r="AG78" s="45" t="str">
        <f t="shared" si="18"/>
        <v>insuficiente</v>
      </c>
      <c r="AH78" s="45" t="str">
        <f t="shared" si="19"/>
        <v>pendiente</v>
      </c>
      <c r="AI78" s="45" t="str">
        <f t="shared" si="20"/>
        <v>SI</v>
      </c>
      <c r="AJ78" s="45" t="str">
        <f t="shared" si="21"/>
        <v>abreviado</v>
      </c>
      <c r="AK78" s="45" t="str">
        <f t="shared" si="22"/>
        <v>NO</v>
      </c>
      <c r="AL78" s="45"/>
      <c r="AM78" s="45"/>
      <c r="AN78" s="45"/>
      <c r="AO78" s="49"/>
      <c r="AP78" s="45"/>
      <c r="AQ78" s="45"/>
      <c r="AR78" s="45" t="str">
        <f t="shared" si="23"/>
        <v>NO</v>
      </c>
      <c r="AS78" s="43"/>
    </row>
    <row r="79" spans="1:45" ht="44" customHeight="1">
      <c r="A79" s="45">
        <v>71</v>
      </c>
      <c r="B79" s="43" t="str">
        <f>'T01 revisión'!A75</f>
        <v>shellererotic</v>
      </c>
      <c r="C79" s="43" t="str">
        <f>'T01 revisión'!B75</f>
        <v>Citizenship from Below: Erotic Agency and Caribbean Freedom</v>
      </c>
      <c r="D79" s="43" t="str">
        <f>'T01 revisión'!C75</f>
        <v>Mimi Sheller</v>
      </c>
      <c r="E79" s="43" t="str">
        <f>'T01 revisión'!D75</f>
        <v>B01</v>
      </c>
      <c r="F79" s="43" t="str">
        <f>'T01 revisión'!E75</f>
        <v>anglófono (EE.UU./Caribe)</v>
      </c>
      <c r="G79" s="43" t="str">
        <f>'T01 revisión'!H75</f>
        <v>varias procedencias o territorios; abreviaturas por normalizar; función territorial no demostrada</v>
      </c>
      <c r="H79" s="45" t="str">
        <f t="shared" si="12"/>
        <v>B</v>
      </c>
      <c r="I79" s="45"/>
      <c r="J79" s="45" t="str">
        <f t="shared" si="13"/>
        <v>GPT + Claude ciegos; control abreviado</v>
      </c>
      <c r="K79" s="43"/>
      <c r="L79" s="43"/>
      <c r="M79" s="43"/>
      <c r="N79" s="43"/>
      <c r="O79" s="43"/>
      <c r="P79" s="43"/>
      <c r="Q79" s="43"/>
      <c r="R79" s="43"/>
      <c r="S79" s="43"/>
      <c r="T79" s="43"/>
      <c r="U79" s="43"/>
      <c r="V79" s="43"/>
      <c r="W79" s="43"/>
      <c r="X79" s="43"/>
      <c r="Y79" s="43"/>
      <c r="Z79" s="43"/>
      <c r="AA79" s="43"/>
      <c r="AB79" s="43"/>
      <c r="AC79" s="45" t="str">
        <f t="shared" si="14"/>
        <v>pendiente</v>
      </c>
      <c r="AD79" s="45" t="str">
        <f t="shared" si="15"/>
        <v>pendiente</v>
      </c>
      <c r="AE79" s="45" t="str">
        <f t="shared" si="16"/>
        <v>pendiente</v>
      </c>
      <c r="AF79" s="45" t="str">
        <f t="shared" si="17"/>
        <v>pendiente</v>
      </c>
      <c r="AG79" s="45" t="str">
        <f t="shared" si="18"/>
        <v>insuficiente</v>
      </c>
      <c r="AH79" s="45" t="str">
        <f t="shared" si="19"/>
        <v>pendiente</v>
      </c>
      <c r="AI79" s="45" t="str">
        <f t="shared" si="20"/>
        <v>SI</v>
      </c>
      <c r="AJ79" s="45" t="str">
        <f t="shared" si="21"/>
        <v>abreviado</v>
      </c>
      <c r="AK79" s="45" t="str">
        <f t="shared" si="22"/>
        <v>NO</v>
      </c>
      <c r="AL79" s="45"/>
      <c r="AM79" s="45"/>
      <c r="AN79" s="45"/>
      <c r="AO79" s="49"/>
      <c r="AP79" s="45"/>
      <c r="AQ79" s="45"/>
      <c r="AR79" s="45" t="str">
        <f t="shared" si="23"/>
        <v>NO</v>
      </c>
      <c r="AS79" s="43"/>
    </row>
    <row r="80" spans="1:45" ht="44" customHeight="1">
      <c r="A80" s="45">
        <v>72</v>
      </c>
      <c r="B80" s="43" t="str">
        <f>'T01 revisión'!A76</f>
        <v>ramadan</v>
      </c>
      <c r="C80" s="43" t="str">
        <f>'T01 revisión'!B76</f>
        <v>Constructing Spiritual Blackness: Rastafari in Puerto Rico</v>
      </c>
      <c r="D80" s="43" t="str">
        <f>'T01 revisión'!C76</f>
        <v>Omar Ramadan-Santiago</v>
      </c>
      <c r="E80" s="43" t="str">
        <f>'T01 revisión'!D76</f>
        <v>B05</v>
      </c>
      <c r="F80" s="43" t="str">
        <f>'T01 revisión'!E76</f>
        <v>anglófono (EE.UU./Puerto Rico)</v>
      </c>
      <c r="G80" s="43" t="str">
        <f>'T01 revisión'!H76</f>
        <v>varias procedencias o territorios; abreviaturas por normalizar; función territorial no demostrada</v>
      </c>
      <c r="H80" s="45" t="str">
        <f t="shared" si="12"/>
        <v>B</v>
      </c>
      <c r="I80" s="45"/>
      <c r="J80" s="45" t="str">
        <f t="shared" si="13"/>
        <v>GPT + Claude ciegos; control abreviado</v>
      </c>
      <c r="K80" s="43"/>
      <c r="L80" s="43"/>
      <c r="M80" s="43"/>
      <c r="N80" s="43"/>
      <c r="O80" s="43"/>
      <c r="P80" s="43"/>
      <c r="Q80" s="43"/>
      <c r="R80" s="43"/>
      <c r="S80" s="43"/>
      <c r="T80" s="43"/>
      <c r="U80" s="43"/>
      <c r="V80" s="43"/>
      <c r="W80" s="43"/>
      <c r="X80" s="43"/>
      <c r="Y80" s="43"/>
      <c r="Z80" s="43"/>
      <c r="AA80" s="43"/>
      <c r="AB80" s="43"/>
      <c r="AC80" s="45" t="str">
        <f t="shared" si="14"/>
        <v>pendiente</v>
      </c>
      <c r="AD80" s="45" t="str">
        <f t="shared" si="15"/>
        <v>pendiente</v>
      </c>
      <c r="AE80" s="45" t="str">
        <f t="shared" si="16"/>
        <v>pendiente</v>
      </c>
      <c r="AF80" s="45" t="str">
        <f t="shared" si="17"/>
        <v>pendiente</v>
      </c>
      <c r="AG80" s="45" t="str">
        <f t="shared" si="18"/>
        <v>insuficiente</v>
      </c>
      <c r="AH80" s="45" t="str">
        <f t="shared" si="19"/>
        <v>pendiente</v>
      </c>
      <c r="AI80" s="45" t="str">
        <f t="shared" si="20"/>
        <v>SI</v>
      </c>
      <c r="AJ80" s="45" t="str">
        <f t="shared" si="21"/>
        <v>abreviado</v>
      </c>
      <c r="AK80" s="45" t="str">
        <f t="shared" si="22"/>
        <v>NO</v>
      </c>
      <c r="AL80" s="45"/>
      <c r="AM80" s="45"/>
      <c r="AN80" s="45"/>
      <c r="AO80" s="49"/>
      <c r="AP80" s="45"/>
      <c r="AQ80" s="45"/>
      <c r="AR80" s="45" t="str">
        <f t="shared" si="23"/>
        <v>NO</v>
      </c>
      <c r="AS80" s="43"/>
    </row>
    <row r="81" spans="1:45" ht="44" customHeight="1">
      <c r="A81" s="45">
        <v>73</v>
      </c>
      <c r="B81" s="43" t="str">
        <f>'T01 revisión'!A77</f>
        <v>islandfutures</v>
      </c>
      <c r="C81" s="43" t="str">
        <f>'T01 revisión'!B77</f>
        <v>Island Futures: Caribbean Survival in the Anthropocene</v>
      </c>
      <c r="D81" s="43" t="str">
        <f>'T01 revisión'!C77</f>
        <v>Mimi Sheller</v>
      </c>
      <c r="E81" s="43" t="str">
        <f>'T01 revisión'!D77</f>
        <v>C01</v>
      </c>
      <c r="F81" s="43" t="str">
        <f>'T01 revisión'!E77</f>
        <v>anglófono (EE.UU./Caribe)</v>
      </c>
      <c r="G81" s="43" t="str">
        <f>'T01 revisión'!H77</f>
        <v>varias procedencias o territorios; abreviaturas por normalizar; función territorial no demostrada</v>
      </c>
      <c r="H81" s="45" t="str">
        <f t="shared" si="12"/>
        <v>B</v>
      </c>
      <c r="I81" s="45"/>
      <c r="J81" s="45" t="str">
        <f t="shared" si="13"/>
        <v>GPT + Claude ciegos; control abreviado</v>
      </c>
      <c r="K81" s="43"/>
      <c r="L81" s="43"/>
      <c r="M81" s="43"/>
      <c r="N81" s="43"/>
      <c r="O81" s="43"/>
      <c r="P81" s="43"/>
      <c r="Q81" s="43"/>
      <c r="R81" s="43"/>
      <c r="S81" s="43"/>
      <c r="T81" s="43"/>
      <c r="U81" s="43"/>
      <c r="V81" s="43"/>
      <c r="W81" s="43"/>
      <c r="X81" s="43"/>
      <c r="Y81" s="43"/>
      <c r="Z81" s="43"/>
      <c r="AA81" s="43"/>
      <c r="AB81" s="43"/>
      <c r="AC81" s="45" t="str">
        <f t="shared" si="14"/>
        <v>pendiente</v>
      </c>
      <c r="AD81" s="45" t="str">
        <f t="shared" si="15"/>
        <v>pendiente</v>
      </c>
      <c r="AE81" s="45" t="str">
        <f t="shared" si="16"/>
        <v>pendiente</v>
      </c>
      <c r="AF81" s="45" t="str">
        <f t="shared" si="17"/>
        <v>pendiente</v>
      </c>
      <c r="AG81" s="45" t="str">
        <f t="shared" si="18"/>
        <v>insuficiente</v>
      </c>
      <c r="AH81" s="45" t="str">
        <f t="shared" si="19"/>
        <v>pendiente</v>
      </c>
      <c r="AI81" s="45" t="str">
        <f t="shared" si="20"/>
        <v>SI</v>
      </c>
      <c r="AJ81" s="45" t="str">
        <f t="shared" si="21"/>
        <v>abreviado</v>
      </c>
      <c r="AK81" s="45" t="str">
        <f t="shared" si="22"/>
        <v>NO</v>
      </c>
      <c r="AL81" s="45"/>
      <c r="AM81" s="45"/>
      <c r="AN81" s="45"/>
      <c r="AO81" s="49"/>
      <c r="AP81" s="45"/>
      <c r="AQ81" s="45"/>
      <c r="AR81" s="45" t="str">
        <f t="shared" si="23"/>
        <v>NO</v>
      </c>
      <c r="AS81" s="43"/>
    </row>
    <row r="82" spans="1:45" ht="44" customHeight="1">
      <c r="A82" s="45">
        <v>74</v>
      </c>
      <c r="B82" s="43" t="str">
        <f>'T01 revisión'!A78</f>
        <v>lara</v>
      </c>
      <c r="C82" s="43" t="str">
        <f>'T01 revisión'!B78</f>
        <v>Queer Freedom: Black Sovereignty</v>
      </c>
      <c r="D82" s="43" t="str">
        <f>'T01 revisión'!C78</f>
        <v>Ana-Maurine Lara</v>
      </c>
      <c r="E82" s="43" t="str">
        <f>'T01 revisión'!D78</f>
        <v>B01</v>
      </c>
      <c r="F82" s="43" t="str">
        <f>'T01 revisión'!E78</f>
        <v>anglófono (EE.UU./Rep. Dominicana)</v>
      </c>
      <c r="G82" s="43" t="str">
        <f>'T01 revisión'!H78</f>
        <v>varias procedencias o territorios; abreviaturas por normalizar; función territorial no demostrada</v>
      </c>
      <c r="H82" s="45" t="str">
        <f t="shared" si="12"/>
        <v>B</v>
      </c>
      <c r="I82" s="45"/>
      <c r="J82" s="45" t="str">
        <f t="shared" si="13"/>
        <v>GPT + Claude ciegos; control abreviado</v>
      </c>
      <c r="K82" s="43"/>
      <c r="L82" s="43"/>
      <c r="M82" s="43"/>
      <c r="N82" s="43"/>
      <c r="O82" s="43"/>
      <c r="P82" s="43"/>
      <c r="Q82" s="43"/>
      <c r="R82" s="43"/>
      <c r="S82" s="43"/>
      <c r="T82" s="43"/>
      <c r="U82" s="43"/>
      <c r="V82" s="43"/>
      <c r="W82" s="43"/>
      <c r="X82" s="43"/>
      <c r="Y82" s="43"/>
      <c r="Z82" s="43"/>
      <c r="AA82" s="43"/>
      <c r="AB82" s="43"/>
      <c r="AC82" s="45" t="str">
        <f t="shared" si="14"/>
        <v>pendiente</v>
      </c>
      <c r="AD82" s="45" t="str">
        <f t="shared" si="15"/>
        <v>pendiente</v>
      </c>
      <c r="AE82" s="45" t="str">
        <f t="shared" si="16"/>
        <v>pendiente</v>
      </c>
      <c r="AF82" s="45" t="str">
        <f t="shared" si="17"/>
        <v>pendiente</v>
      </c>
      <c r="AG82" s="45" t="str">
        <f t="shared" si="18"/>
        <v>insuficiente</v>
      </c>
      <c r="AH82" s="45" t="str">
        <f t="shared" si="19"/>
        <v>pendiente</v>
      </c>
      <c r="AI82" s="45" t="str">
        <f t="shared" si="20"/>
        <v>SI</v>
      </c>
      <c r="AJ82" s="45" t="str">
        <f t="shared" si="21"/>
        <v>abreviado</v>
      </c>
      <c r="AK82" s="45" t="str">
        <f t="shared" si="22"/>
        <v>NO</v>
      </c>
      <c r="AL82" s="45"/>
      <c r="AM82" s="45"/>
      <c r="AN82" s="45"/>
      <c r="AO82" s="49"/>
      <c r="AP82" s="45"/>
      <c r="AQ82" s="45"/>
      <c r="AR82" s="45" t="str">
        <f t="shared" si="23"/>
        <v>NO</v>
      </c>
      <c r="AS82" s="43"/>
    </row>
    <row r="83" spans="1:45" ht="44" customHeight="1">
      <c r="A83" s="45">
        <v>75</v>
      </c>
      <c r="B83" s="43" t="str">
        <f>'T01 revisión'!A79</f>
        <v>mintzarea</v>
      </c>
      <c r="C83" s="43" t="str">
        <f>'T01 revisión'!B79</f>
        <v>El Caribe como área sociocultural</v>
      </c>
      <c r="D83" s="43" t="str">
        <f>'T01 revisión'!C79</f>
        <v>Sidney W. Mintz</v>
      </c>
      <c r="E83" s="43" t="str">
        <f>'T01 revisión'!D79</f>
        <v>C01</v>
      </c>
      <c r="F83" s="43" t="str">
        <f>'T01 revisión'!E79</f>
        <v>anglófono (EE.UU.)</v>
      </c>
      <c r="G83" s="43" t="str">
        <f>'T01 revisión'!H79</f>
        <v>abreviaturas por normalizar; función territorial no demostrada</v>
      </c>
      <c r="H83" s="45" t="str">
        <f t="shared" si="12"/>
        <v>A</v>
      </c>
      <c r="I83" s="45"/>
      <c r="J83" s="45" t="str">
        <f t="shared" si="13"/>
        <v>GPT + muestra Claude/humana</v>
      </c>
      <c r="K83" s="43"/>
      <c r="L83" s="43"/>
      <c r="M83" s="43"/>
      <c r="N83" s="43"/>
      <c r="O83" s="43"/>
      <c r="P83" s="43"/>
      <c r="Q83" s="43"/>
      <c r="R83" s="43"/>
      <c r="S83" s="43"/>
      <c r="T83" s="43"/>
      <c r="U83" s="43"/>
      <c r="V83" s="43"/>
      <c r="W83" s="43"/>
      <c r="X83" s="43"/>
      <c r="Y83" s="43"/>
      <c r="Z83" s="43"/>
      <c r="AA83" s="43"/>
      <c r="AB83" s="43"/>
      <c r="AC83" s="45" t="str">
        <f t="shared" si="14"/>
        <v>pendiente</v>
      </c>
      <c r="AD83" s="45" t="str">
        <f t="shared" si="15"/>
        <v>pendiente</v>
      </c>
      <c r="AE83" s="45" t="str">
        <f t="shared" si="16"/>
        <v>pendiente</v>
      </c>
      <c r="AF83" s="45" t="str">
        <f t="shared" si="17"/>
        <v>pendiente</v>
      </c>
      <c r="AG83" s="45" t="str">
        <f t="shared" si="18"/>
        <v>insuficiente</v>
      </c>
      <c r="AH83" s="45" t="str">
        <f t="shared" si="19"/>
        <v>pendiente</v>
      </c>
      <c r="AI83" s="45" t="str">
        <f t="shared" si="20"/>
        <v>NO</v>
      </c>
      <c r="AJ83" s="45" t="str">
        <f t="shared" si="21"/>
        <v>NO</v>
      </c>
      <c r="AK83" s="45" t="str">
        <f t="shared" si="22"/>
        <v>NO</v>
      </c>
      <c r="AL83" s="45"/>
      <c r="AM83" s="45"/>
      <c r="AN83" s="45"/>
      <c r="AO83" s="49"/>
      <c r="AP83" s="45"/>
      <c r="AQ83" s="45"/>
      <c r="AR83" s="45" t="str">
        <f t="shared" si="23"/>
        <v>NO</v>
      </c>
      <c r="AS83" s="43"/>
    </row>
    <row r="84" spans="1:45" ht="44" customHeight="1">
      <c r="A84" s="45">
        <v>76</v>
      </c>
      <c r="B84" s="43" t="str">
        <f>'T01 revisión'!A80</f>
        <v>gill</v>
      </c>
      <c r="C84" s="43" t="str">
        <f>'T01 revisión'!B80</f>
        <v>Erotic Islands: Art and Activism in the Queer Caribbean</v>
      </c>
      <c r="D84" s="43" t="str">
        <f>'T01 revisión'!C80</f>
        <v>Lyndon K. Gill</v>
      </c>
      <c r="E84" s="43" t="str">
        <f>'T01 revisión'!D80</f>
        <v>A01</v>
      </c>
      <c r="F84" s="43" t="str">
        <f>'T01 revisión'!E80</f>
        <v>anglófono (Trinidad/EE.UU.)</v>
      </c>
      <c r="G84" s="43" t="str">
        <f>'T01 revisión'!H80</f>
        <v>varias procedencias o territorios; abreviaturas por normalizar; función territorial no demostrada</v>
      </c>
      <c r="H84" s="45" t="str">
        <f t="shared" si="12"/>
        <v>B</v>
      </c>
      <c r="I84" s="45"/>
      <c r="J84" s="45" t="str">
        <f t="shared" si="13"/>
        <v>GPT + Claude ciegos; control abreviado</v>
      </c>
      <c r="K84" s="43"/>
      <c r="L84" s="43"/>
      <c r="M84" s="43"/>
      <c r="N84" s="43"/>
      <c r="O84" s="43"/>
      <c r="P84" s="43"/>
      <c r="Q84" s="43"/>
      <c r="R84" s="43"/>
      <c r="S84" s="43"/>
      <c r="T84" s="43"/>
      <c r="U84" s="43"/>
      <c r="V84" s="43"/>
      <c r="W84" s="43"/>
      <c r="X84" s="43"/>
      <c r="Y84" s="43"/>
      <c r="Z84" s="43"/>
      <c r="AA84" s="43"/>
      <c r="AB84" s="43"/>
      <c r="AC84" s="45" t="str">
        <f t="shared" si="14"/>
        <v>pendiente</v>
      </c>
      <c r="AD84" s="45" t="str">
        <f t="shared" si="15"/>
        <v>pendiente</v>
      </c>
      <c r="AE84" s="45" t="str">
        <f t="shared" si="16"/>
        <v>pendiente</v>
      </c>
      <c r="AF84" s="45" t="str">
        <f t="shared" si="17"/>
        <v>pendiente</v>
      </c>
      <c r="AG84" s="45" t="str">
        <f t="shared" si="18"/>
        <v>insuficiente</v>
      </c>
      <c r="AH84" s="45" t="str">
        <f t="shared" si="19"/>
        <v>pendiente</v>
      </c>
      <c r="AI84" s="45" t="str">
        <f t="shared" si="20"/>
        <v>SI</v>
      </c>
      <c r="AJ84" s="45" t="str">
        <f t="shared" si="21"/>
        <v>abreviado</v>
      </c>
      <c r="AK84" s="45" t="str">
        <f t="shared" si="22"/>
        <v>NO</v>
      </c>
      <c r="AL84" s="45"/>
      <c r="AM84" s="45"/>
      <c r="AN84" s="45"/>
      <c r="AO84" s="49"/>
      <c r="AP84" s="45"/>
      <c r="AQ84" s="45"/>
      <c r="AR84" s="45" t="str">
        <f t="shared" si="23"/>
        <v>NO</v>
      </c>
      <c r="AS84" s="43"/>
    </row>
    <row r="85" spans="1:45" ht="44" customHeight="1">
      <c r="A85" s="45">
        <v>77</v>
      </c>
      <c r="B85" s="43" t="str">
        <f>'T01 revisión'!A81</f>
        <v>deere</v>
      </c>
      <c r="C85" s="43" t="str">
        <f>'T01 revisión'!B81</f>
        <v>The Invention of Order: On the Coloniality of Space</v>
      </c>
      <c r="D85" s="43" t="str">
        <f>'T01 revisión'!C81</f>
        <v>Don Thomas Deere</v>
      </c>
      <c r="E85" s="43" t="str">
        <f>'T01 revisión'!D81</f>
        <v>DE01</v>
      </c>
      <c r="F85" s="43" t="str">
        <f>'T01 revisión'!E81</f>
        <v>comparado (teoría decolonial americana)</v>
      </c>
      <c r="G85" s="43" t="str">
        <f>'T01 revisión'!H81</f>
        <v>sin lengua explícita; mezcla escala comparativa; mezcla tema, método o escala; función territorial no demostrada</v>
      </c>
      <c r="H85" s="45" t="str">
        <f t="shared" si="12"/>
        <v>C</v>
      </c>
      <c r="I85" s="45"/>
      <c r="J85" s="45" t="str">
        <f t="shared" si="13"/>
        <v>GPT + Claude ciegos; control humano obligatorio</v>
      </c>
      <c r="K85" s="43"/>
      <c r="L85" s="43"/>
      <c r="M85" s="43"/>
      <c r="N85" s="43"/>
      <c r="O85" s="43"/>
      <c r="P85" s="43"/>
      <c r="Q85" s="43"/>
      <c r="R85" s="43"/>
      <c r="S85" s="43"/>
      <c r="T85" s="43"/>
      <c r="U85" s="43"/>
      <c r="V85" s="43"/>
      <c r="W85" s="43"/>
      <c r="X85" s="43"/>
      <c r="Y85" s="43"/>
      <c r="Z85" s="43"/>
      <c r="AA85" s="43"/>
      <c r="AB85" s="43"/>
      <c r="AC85" s="45" t="str">
        <f t="shared" si="14"/>
        <v>pendiente</v>
      </c>
      <c r="AD85" s="45" t="str">
        <f t="shared" si="15"/>
        <v>pendiente</v>
      </c>
      <c r="AE85" s="45" t="str">
        <f t="shared" si="16"/>
        <v>pendiente</v>
      </c>
      <c r="AF85" s="45" t="str">
        <f t="shared" si="17"/>
        <v>pendiente</v>
      </c>
      <c r="AG85" s="45" t="str">
        <f t="shared" si="18"/>
        <v>insuficiente</v>
      </c>
      <c r="AH85" s="45" t="str">
        <f t="shared" si="19"/>
        <v>pendiente</v>
      </c>
      <c r="AI85" s="45" t="str">
        <f t="shared" si="20"/>
        <v>SI</v>
      </c>
      <c r="AJ85" s="45" t="str">
        <f t="shared" si="21"/>
        <v>obligatorio</v>
      </c>
      <c r="AK85" s="45" t="str">
        <f t="shared" si="22"/>
        <v>SI</v>
      </c>
      <c r="AL85" s="45"/>
      <c r="AM85" s="45"/>
      <c r="AN85" s="45"/>
      <c r="AO85" s="49"/>
      <c r="AP85" s="45"/>
      <c r="AQ85" s="45"/>
      <c r="AR85" s="45" t="str">
        <f t="shared" si="23"/>
        <v>NO</v>
      </c>
      <c r="AS85" s="43"/>
    </row>
    <row r="86" spans="1:45" ht="44" customHeight="1">
      <c r="A86" s="45">
        <v>78</v>
      </c>
      <c r="B86" s="43" t="str">
        <f>'T01 revisión'!A82</f>
        <v>abello</v>
      </c>
      <c r="C86" s="43" t="str">
        <f>'T01 revisión'!B82</f>
        <v>La isla encallada: el Caribe colombiano en el archipiélago</v>
      </c>
      <c r="D86" s="43" t="str">
        <f>'T01 revisión'!C82</f>
        <v>Alberto Abello Vives</v>
      </c>
      <c r="E86" s="43" t="str">
        <f>'T01 revisión'!D82</f>
        <v>C02</v>
      </c>
      <c r="F86" s="43" t="str">
        <f>'T01 revisión'!E82</f>
        <v>hispano (Colombia)</v>
      </c>
      <c r="G86" s="43" t="str">
        <f>'T01 revisión'!H82</f>
        <v>función territorial no demostrada</v>
      </c>
      <c r="H86" s="45" t="str">
        <f t="shared" si="12"/>
        <v>A</v>
      </c>
      <c r="I86" s="45"/>
      <c r="J86" s="45" t="str">
        <f t="shared" si="13"/>
        <v>GPT + muestra Claude/humana</v>
      </c>
      <c r="K86" s="43"/>
      <c r="L86" s="43"/>
      <c r="M86" s="43"/>
      <c r="N86" s="43"/>
      <c r="O86" s="43"/>
      <c r="P86" s="43"/>
      <c r="Q86" s="43"/>
      <c r="R86" s="43"/>
      <c r="S86" s="43"/>
      <c r="T86" s="43"/>
      <c r="U86" s="43"/>
      <c r="V86" s="43"/>
      <c r="W86" s="43"/>
      <c r="X86" s="43"/>
      <c r="Y86" s="43"/>
      <c r="Z86" s="43"/>
      <c r="AA86" s="43"/>
      <c r="AB86" s="43"/>
      <c r="AC86" s="45" t="str">
        <f t="shared" si="14"/>
        <v>pendiente</v>
      </c>
      <c r="AD86" s="45" t="str">
        <f t="shared" si="15"/>
        <v>pendiente</v>
      </c>
      <c r="AE86" s="45" t="str">
        <f t="shared" si="16"/>
        <v>pendiente</v>
      </c>
      <c r="AF86" s="45" t="str">
        <f t="shared" si="17"/>
        <v>pendiente</v>
      </c>
      <c r="AG86" s="45" t="str">
        <f t="shared" si="18"/>
        <v>insuficiente</v>
      </c>
      <c r="AH86" s="45" t="str">
        <f t="shared" si="19"/>
        <v>pendiente</v>
      </c>
      <c r="AI86" s="45" t="str">
        <f t="shared" si="20"/>
        <v>NO</v>
      </c>
      <c r="AJ86" s="45" t="str">
        <f t="shared" si="21"/>
        <v>NO</v>
      </c>
      <c r="AK86" s="45" t="str">
        <f t="shared" si="22"/>
        <v>NO</v>
      </c>
      <c r="AL86" s="45"/>
      <c r="AM86" s="45"/>
      <c r="AN86" s="45"/>
      <c r="AO86" s="49"/>
      <c r="AP86" s="45"/>
      <c r="AQ86" s="45"/>
      <c r="AR86" s="45" t="str">
        <f t="shared" si="23"/>
        <v>NO</v>
      </c>
      <c r="AS86" s="43"/>
    </row>
    <row r="87" spans="1:45" ht="44" customHeight="1">
      <c r="A87" s="45">
        <v>79</v>
      </c>
      <c r="B87" s="43" t="str">
        <f>'T01 revisión'!A83</f>
        <v>benitez</v>
      </c>
      <c r="C87" s="43" t="str">
        <f>'T01 revisión'!B83</f>
        <v>La isla que se repite / The Repeating Island</v>
      </c>
      <c r="D87" s="43" t="str">
        <f>'T01 revisión'!C83</f>
        <v>Antonio Benítez Rojo</v>
      </c>
      <c r="E87" s="43" t="str">
        <f>'T01 revisión'!D83</f>
        <v>S01</v>
      </c>
      <c r="F87" s="43" t="str">
        <f>'T01 revisión'!E83</f>
        <v>hispano (Cuba)</v>
      </c>
      <c r="G87" s="43" t="str">
        <f>'T01 revisión'!H83</f>
        <v>función territorial no demostrada</v>
      </c>
      <c r="H87" s="45" t="str">
        <f t="shared" si="12"/>
        <v>C</v>
      </c>
      <c r="I87" s="45"/>
      <c r="J87" s="45" t="str">
        <f t="shared" si="13"/>
        <v>GPT + Claude ciegos; control humano obligatorio</v>
      </c>
      <c r="K87" s="43" t="s">
        <v>3022</v>
      </c>
      <c r="L87" s="43"/>
      <c r="M87" s="43"/>
      <c r="N87" s="43" t="s">
        <v>2950</v>
      </c>
      <c r="O87" s="43"/>
      <c r="P87" s="43" t="s">
        <v>3023</v>
      </c>
      <c r="Q87" s="43" t="s">
        <v>3024</v>
      </c>
      <c r="R87" s="43" t="s">
        <v>3025</v>
      </c>
      <c r="S87" s="43" t="s">
        <v>2270</v>
      </c>
      <c r="T87" s="43"/>
      <c r="U87" s="43"/>
      <c r="V87" s="43"/>
      <c r="W87" s="43"/>
      <c r="X87" s="43"/>
      <c r="Y87" s="43"/>
      <c r="Z87" s="43"/>
      <c r="AA87" s="43"/>
      <c r="AB87" s="43"/>
      <c r="AC87" s="45" t="str">
        <f t="shared" si="14"/>
        <v>pendiente</v>
      </c>
      <c r="AD87" s="45" t="str">
        <f t="shared" si="15"/>
        <v>pendiente</v>
      </c>
      <c r="AE87" s="45" t="str">
        <f t="shared" si="16"/>
        <v>pendiente</v>
      </c>
      <c r="AF87" s="45" t="str">
        <f t="shared" si="17"/>
        <v>pendiente</v>
      </c>
      <c r="AG87" s="45" t="str">
        <f t="shared" si="18"/>
        <v>insuficiente</v>
      </c>
      <c r="AH87" s="45" t="str">
        <f t="shared" si="19"/>
        <v>pendiente</v>
      </c>
      <c r="AI87" s="45" t="str">
        <f t="shared" si="20"/>
        <v>SI</v>
      </c>
      <c r="AJ87" s="45" t="str">
        <f t="shared" si="21"/>
        <v>obligatorio</v>
      </c>
      <c r="AK87" s="45" t="str">
        <f t="shared" si="22"/>
        <v>SI</v>
      </c>
      <c r="AL87" s="45"/>
      <c r="AM87" s="45"/>
      <c r="AN87" s="45"/>
      <c r="AO87" s="49"/>
      <c r="AP87" s="45"/>
      <c r="AQ87" s="45"/>
      <c r="AR87" s="45" t="str">
        <f t="shared" si="23"/>
        <v>NO</v>
      </c>
      <c r="AS87" s="43" t="s">
        <v>3026</v>
      </c>
    </row>
    <row r="88" spans="1:45" ht="44" customHeight="1">
      <c r="A88" s="45">
        <v>80</v>
      </c>
      <c r="B88" s="43" t="str">
        <f>'T01 revisión'!A84</f>
        <v>cesaire</v>
      </c>
      <c r="C88" s="43" t="str">
        <f>'T01 revisión'!B84</f>
        <v>Discurso sobre el colonialismo</v>
      </c>
      <c r="D88" s="43" t="str">
        <f>'T01 revisión'!C84</f>
        <v>Aimé Césaire</v>
      </c>
      <c r="E88" s="43" t="str">
        <f>'T01 revisión'!D84</f>
        <v>DE01</v>
      </c>
      <c r="F88" s="43" t="str">
        <f>'T01 revisión'!E84</f>
        <v>francófono (Martinica)</v>
      </c>
      <c r="G88" s="43" t="str">
        <f>'T01 revisión'!H84</f>
        <v>función territorial no demostrada</v>
      </c>
      <c r="H88" s="45" t="str">
        <f t="shared" si="12"/>
        <v>A</v>
      </c>
      <c r="I88" s="45"/>
      <c r="J88" s="45" t="str">
        <f t="shared" si="13"/>
        <v>GPT + muestra Claude/humana</v>
      </c>
      <c r="K88" s="43"/>
      <c r="L88" s="43"/>
      <c r="M88" s="43"/>
      <c r="N88" s="43"/>
      <c r="O88" s="43"/>
      <c r="P88" s="43"/>
      <c r="Q88" s="43"/>
      <c r="R88" s="43"/>
      <c r="S88" s="43"/>
      <c r="T88" s="43"/>
      <c r="U88" s="43"/>
      <c r="V88" s="43"/>
      <c r="W88" s="43"/>
      <c r="X88" s="43"/>
      <c r="Y88" s="43"/>
      <c r="Z88" s="43"/>
      <c r="AA88" s="43"/>
      <c r="AB88" s="43"/>
      <c r="AC88" s="45" t="str">
        <f t="shared" si="14"/>
        <v>pendiente</v>
      </c>
      <c r="AD88" s="45" t="str">
        <f t="shared" si="15"/>
        <v>pendiente</v>
      </c>
      <c r="AE88" s="45" t="str">
        <f t="shared" si="16"/>
        <v>pendiente</v>
      </c>
      <c r="AF88" s="45" t="str">
        <f t="shared" si="17"/>
        <v>pendiente</v>
      </c>
      <c r="AG88" s="45" t="str">
        <f t="shared" si="18"/>
        <v>insuficiente</v>
      </c>
      <c r="AH88" s="45" t="str">
        <f t="shared" si="19"/>
        <v>pendiente</v>
      </c>
      <c r="AI88" s="45" t="str">
        <f t="shared" si="20"/>
        <v>NO</v>
      </c>
      <c r="AJ88" s="45" t="str">
        <f t="shared" si="21"/>
        <v>muestra</v>
      </c>
      <c r="AK88" s="45" t="str">
        <f t="shared" si="22"/>
        <v>NO</v>
      </c>
      <c r="AL88" s="45"/>
      <c r="AM88" s="45"/>
      <c r="AN88" s="45"/>
      <c r="AO88" s="49"/>
      <c r="AP88" s="45"/>
      <c r="AQ88" s="45"/>
      <c r="AR88" s="45" t="str">
        <f t="shared" si="23"/>
        <v>NO</v>
      </c>
      <c r="AS88" s="43"/>
    </row>
    <row r="89" spans="1:45" ht="44" customHeight="1">
      <c r="A89" s="45">
        <v>81</v>
      </c>
      <c r="B89" s="43" t="str">
        <f>'T01 revisión'!A85</f>
        <v>fanon</v>
      </c>
      <c r="C89" s="43" t="str">
        <f>'T01 revisión'!B85</f>
        <v>Piel negra, máscaras blancas</v>
      </c>
      <c r="D89" s="43" t="str">
        <f>'T01 revisión'!C85</f>
        <v>Frantz Fanon</v>
      </c>
      <c r="E89" s="43" t="str">
        <f>'T01 revisión'!D85</f>
        <v>C01</v>
      </c>
      <c r="F89" s="43" t="str">
        <f>'T01 revisión'!E85</f>
        <v>francófono (Martinica/Francia)</v>
      </c>
      <c r="G89" s="43" t="str">
        <f>'T01 revisión'!H85</f>
        <v>varias procedencias o territorios; función territorial no demostrada</v>
      </c>
      <c r="H89" s="45" t="str">
        <f t="shared" si="12"/>
        <v>B</v>
      </c>
      <c r="I89" s="45"/>
      <c r="J89" s="45" t="str">
        <f t="shared" si="13"/>
        <v>GPT + Claude ciegos; control abreviado</v>
      </c>
      <c r="K89" s="43"/>
      <c r="L89" s="43"/>
      <c r="M89" s="43"/>
      <c r="N89" s="43"/>
      <c r="O89" s="43"/>
      <c r="P89" s="43"/>
      <c r="Q89" s="43"/>
      <c r="R89" s="43"/>
      <c r="S89" s="43"/>
      <c r="T89" s="43"/>
      <c r="U89" s="43"/>
      <c r="V89" s="43"/>
      <c r="W89" s="43"/>
      <c r="X89" s="43"/>
      <c r="Y89" s="43"/>
      <c r="Z89" s="43"/>
      <c r="AA89" s="43"/>
      <c r="AB89" s="43"/>
      <c r="AC89" s="45" t="str">
        <f t="shared" si="14"/>
        <v>pendiente</v>
      </c>
      <c r="AD89" s="45" t="str">
        <f t="shared" si="15"/>
        <v>pendiente</v>
      </c>
      <c r="AE89" s="45" t="str">
        <f t="shared" si="16"/>
        <v>pendiente</v>
      </c>
      <c r="AF89" s="45" t="str">
        <f t="shared" si="17"/>
        <v>pendiente</v>
      </c>
      <c r="AG89" s="45" t="str">
        <f t="shared" si="18"/>
        <v>insuficiente</v>
      </c>
      <c r="AH89" s="45" t="str">
        <f t="shared" si="19"/>
        <v>pendiente</v>
      </c>
      <c r="AI89" s="45" t="str">
        <f t="shared" si="20"/>
        <v>SI</v>
      </c>
      <c r="AJ89" s="45" t="str">
        <f t="shared" si="21"/>
        <v>abreviado</v>
      </c>
      <c r="AK89" s="45" t="str">
        <f t="shared" si="22"/>
        <v>NO</v>
      </c>
      <c r="AL89" s="45"/>
      <c r="AM89" s="45"/>
      <c r="AN89" s="45"/>
      <c r="AO89" s="49"/>
      <c r="AP89" s="45"/>
      <c r="AQ89" s="45"/>
      <c r="AR89" s="45" t="str">
        <f t="shared" si="23"/>
        <v>NO</v>
      </c>
      <c r="AS89" s="43"/>
    </row>
    <row r="90" spans="1:45" ht="44" customHeight="1">
      <c r="A90" s="45">
        <v>82</v>
      </c>
      <c r="B90" s="43" t="str">
        <f>'T01 revisión'!A86</f>
        <v>james</v>
      </c>
      <c r="C90" s="43" t="str">
        <f>'T01 revisión'!B86</f>
        <v>The Black Jacobins: Toussaint L'Ouverture and the San Domingo Revolution</v>
      </c>
      <c r="D90" s="43" t="str">
        <f>'T01 revisión'!C86</f>
        <v>C.L.R. James</v>
      </c>
      <c r="E90" s="43" t="str">
        <f>'T01 revisión'!D86</f>
        <v>C01</v>
      </c>
      <c r="F90" s="43" t="str">
        <f>'T01 revisión'!E86</f>
        <v>anglófono (Trinidad)</v>
      </c>
      <c r="G90" s="43" t="str">
        <f>'T01 revisión'!H86</f>
        <v>función territorial no demostrada</v>
      </c>
      <c r="H90" s="45" t="str">
        <f t="shared" si="12"/>
        <v>A</v>
      </c>
      <c r="I90" s="45"/>
      <c r="J90" s="45" t="str">
        <f t="shared" si="13"/>
        <v>GPT + muestra Claude/humana</v>
      </c>
      <c r="K90" s="43"/>
      <c r="L90" s="43"/>
      <c r="M90" s="43"/>
      <c r="N90" s="43"/>
      <c r="O90" s="43"/>
      <c r="P90" s="43"/>
      <c r="Q90" s="43"/>
      <c r="R90" s="43"/>
      <c r="S90" s="43"/>
      <c r="T90" s="43"/>
      <c r="U90" s="43"/>
      <c r="V90" s="43"/>
      <c r="W90" s="43"/>
      <c r="X90" s="43"/>
      <c r="Y90" s="43"/>
      <c r="Z90" s="43"/>
      <c r="AA90" s="43"/>
      <c r="AB90" s="43"/>
      <c r="AC90" s="45" t="str">
        <f t="shared" si="14"/>
        <v>pendiente</v>
      </c>
      <c r="AD90" s="45" t="str">
        <f t="shared" si="15"/>
        <v>pendiente</v>
      </c>
      <c r="AE90" s="45" t="str">
        <f t="shared" si="16"/>
        <v>pendiente</v>
      </c>
      <c r="AF90" s="45" t="str">
        <f t="shared" si="17"/>
        <v>pendiente</v>
      </c>
      <c r="AG90" s="45" t="str">
        <f t="shared" si="18"/>
        <v>insuficiente</v>
      </c>
      <c r="AH90" s="45" t="str">
        <f t="shared" si="19"/>
        <v>pendiente</v>
      </c>
      <c r="AI90" s="45" t="str">
        <f t="shared" si="20"/>
        <v>NO</v>
      </c>
      <c r="AJ90" s="45" t="str">
        <f t="shared" si="21"/>
        <v>NO</v>
      </c>
      <c r="AK90" s="45" t="str">
        <f t="shared" si="22"/>
        <v>NO</v>
      </c>
      <c r="AL90" s="45"/>
      <c r="AM90" s="45"/>
      <c r="AN90" s="45"/>
      <c r="AO90" s="49"/>
      <c r="AP90" s="45"/>
      <c r="AQ90" s="45"/>
      <c r="AR90" s="45" t="str">
        <f t="shared" si="23"/>
        <v>NO</v>
      </c>
      <c r="AS90" s="43"/>
    </row>
    <row r="91" spans="1:45" ht="44" customHeight="1">
      <c r="A91" s="45">
        <v>83</v>
      </c>
      <c r="B91" s="43" t="str">
        <f>'T01 revisión'!A87</f>
        <v>trouillotsilencing</v>
      </c>
      <c r="C91" s="43" t="str">
        <f>'T01 revisión'!B87</f>
        <v>Silenciando el pasado: el poder y la producción de la Historia</v>
      </c>
      <c r="D91" s="43" t="str">
        <f>'T01 revisión'!C87</f>
        <v>Michel-Rolph Trouillot</v>
      </c>
      <c r="E91" s="43" t="str">
        <f>'T01 revisión'!D87</f>
        <v>C04</v>
      </c>
      <c r="F91" s="43" t="str">
        <f>'T01 revisión'!E87</f>
        <v>anglófono (EE.UU./Haití)</v>
      </c>
      <c r="G91" s="43" t="str">
        <f>'T01 revisión'!H87</f>
        <v>varias procedencias o territorios; abreviaturas por normalizar; función territorial no demostrada</v>
      </c>
      <c r="H91" s="45" t="str">
        <f t="shared" si="12"/>
        <v>B</v>
      </c>
      <c r="I91" s="45"/>
      <c r="J91" s="45" t="str">
        <f t="shared" si="13"/>
        <v>GPT + Claude ciegos; control abreviado</v>
      </c>
      <c r="K91" s="43"/>
      <c r="L91" s="43"/>
      <c r="M91" s="43"/>
      <c r="N91" s="43"/>
      <c r="O91" s="43"/>
      <c r="P91" s="43"/>
      <c r="Q91" s="43"/>
      <c r="R91" s="43"/>
      <c r="S91" s="43"/>
      <c r="T91" s="43"/>
      <c r="U91" s="43"/>
      <c r="V91" s="43"/>
      <c r="W91" s="43"/>
      <c r="X91" s="43"/>
      <c r="Y91" s="43"/>
      <c r="Z91" s="43"/>
      <c r="AA91" s="43"/>
      <c r="AB91" s="43"/>
      <c r="AC91" s="45" t="str">
        <f t="shared" si="14"/>
        <v>pendiente</v>
      </c>
      <c r="AD91" s="45" t="str">
        <f t="shared" si="15"/>
        <v>pendiente</v>
      </c>
      <c r="AE91" s="45" t="str">
        <f t="shared" si="16"/>
        <v>pendiente</v>
      </c>
      <c r="AF91" s="45" t="str">
        <f t="shared" si="17"/>
        <v>pendiente</v>
      </c>
      <c r="AG91" s="45" t="str">
        <f t="shared" si="18"/>
        <v>insuficiente</v>
      </c>
      <c r="AH91" s="45" t="str">
        <f t="shared" si="19"/>
        <v>pendiente</v>
      </c>
      <c r="AI91" s="45" t="str">
        <f t="shared" si="20"/>
        <v>SI</v>
      </c>
      <c r="AJ91" s="45" t="str">
        <f t="shared" si="21"/>
        <v>abreviado</v>
      </c>
      <c r="AK91" s="45" t="str">
        <f t="shared" si="22"/>
        <v>NO</v>
      </c>
      <c r="AL91" s="45"/>
      <c r="AM91" s="45"/>
      <c r="AN91" s="45"/>
      <c r="AO91" s="49"/>
      <c r="AP91" s="45"/>
      <c r="AQ91" s="45"/>
      <c r="AR91" s="45" t="str">
        <f t="shared" si="23"/>
        <v>NO</v>
      </c>
      <c r="AS91" s="43"/>
    </row>
    <row r="92" spans="1:45" ht="44" customHeight="1">
      <c r="A92" s="45">
        <v>84</v>
      </c>
      <c r="B92" s="43" t="str">
        <f>'T01 revisión'!A88</f>
        <v>brownreaper</v>
      </c>
      <c r="C92" s="43" t="str">
        <f>'T01 revisión'!B88</f>
        <v>The Reaper's Garden: Death and Power in the World of Atlantic Slavery</v>
      </c>
      <c r="D92" s="43" t="str">
        <f>'T01 revisión'!C88</f>
        <v>Vincent Brown</v>
      </c>
      <c r="E92" s="43" t="str">
        <f>'T01 revisión'!D88</f>
        <v>A02</v>
      </c>
      <c r="F92" s="43" t="str">
        <f>'T01 revisión'!E88</f>
        <v>anglófono (EE.UU.)</v>
      </c>
      <c r="G92" s="43" t="str">
        <f>'T01 revisión'!H88</f>
        <v>abreviaturas por normalizar; función territorial no demostrada</v>
      </c>
      <c r="H92" s="45" t="str">
        <f t="shared" si="12"/>
        <v>A</v>
      </c>
      <c r="I92" s="45"/>
      <c r="J92" s="45" t="str">
        <f t="shared" si="13"/>
        <v>GPT + muestra Claude/humana</v>
      </c>
      <c r="K92" s="43"/>
      <c r="L92" s="43"/>
      <c r="M92" s="43"/>
      <c r="N92" s="43"/>
      <c r="O92" s="43"/>
      <c r="P92" s="43"/>
      <c r="Q92" s="43"/>
      <c r="R92" s="43"/>
      <c r="S92" s="43"/>
      <c r="T92" s="43"/>
      <c r="U92" s="43"/>
      <c r="V92" s="43"/>
      <c r="W92" s="43"/>
      <c r="X92" s="43"/>
      <c r="Y92" s="43"/>
      <c r="Z92" s="43"/>
      <c r="AA92" s="43"/>
      <c r="AB92" s="43"/>
      <c r="AC92" s="45" t="str">
        <f t="shared" si="14"/>
        <v>pendiente</v>
      </c>
      <c r="AD92" s="45" t="str">
        <f t="shared" si="15"/>
        <v>pendiente</v>
      </c>
      <c r="AE92" s="45" t="str">
        <f t="shared" si="16"/>
        <v>pendiente</v>
      </c>
      <c r="AF92" s="45" t="str">
        <f t="shared" si="17"/>
        <v>pendiente</v>
      </c>
      <c r="AG92" s="45" t="str">
        <f t="shared" si="18"/>
        <v>insuficiente</v>
      </c>
      <c r="AH92" s="45" t="str">
        <f t="shared" si="19"/>
        <v>pendiente</v>
      </c>
      <c r="AI92" s="45" t="str">
        <f t="shared" si="20"/>
        <v>SI</v>
      </c>
      <c r="AJ92" s="45" t="str">
        <f t="shared" si="21"/>
        <v>NO</v>
      </c>
      <c r="AK92" s="45" t="str">
        <f t="shared" si="22"/>
        <v>NO</v>
      </c>
      <c r="AL92" s="45"/>
      <c r="AM92" s="45"/>
      <c r="AN92" s="45"/>
      <c r="AO92" s="49"/>
      <c r="AP92" s="45"/>
      <c r="AQ92" s="45"/>
      <c r="AR92" s="45" t="str">
        <f t="shared" si="23"/>
        <v>NO</v>
      </c>
      <c r="AS92" s="43"/>
    </row>
    <row r="93" spans="1:45" ht="44" customHeight="1">
      <c r="A93" s="45">
        <v>85</v>
      </c>
      <c r="B93" s="43" t="str">
        <f>'T01 revisión'!A89</f>
        <v>kempadoo</v>
      </c>
      <c r="C93" s="43" t="str">
        <f>'T01 revisión'!B89</f>
        <v>Sexing the Caribbean: Gender, Race and Sexual Labor</v>
      </c>
      <c r="D93" s="43" t="str">
        <f>'T01 revisión'!C89</f>
        <v>Kamala Kempadoo</v>
      </c>
      <c r="E93" s="43" t="str">
        <f>'T01 revisión'!D89</f>
        <v>A01</v>
      </c>
      <c r="F93" s="43" t="str">
        <f>'T01 revisión'!E89</f>
        <v>anglófono (Guyana/Canadá)</v>
      </c>
      <c r="G93" s="43" t="str">
        <f>'T01 revisión'!H89</f>
        <v>varias procedencias o territorios; función territorial no demostrada</v>
      </c>
      <c r="H93" s="45" t="str">
        <f t="shared" si="12"/>
        <v>B</v>
      </c>
      <c r="I93" s="45"/>
      <c r="J93" s="45" t="str">
        <f t="shared" si="13"/>
        <v>GPT + Claude ciegos; control abreviado</v>
      </c>
      <c r="K93" s="43"/>
      <c r="L93" s="43"/>
      <c r="M93" s="43"/>
      <c r="N93" s="43"/>
      <c r="O93" s="43"/>
      <c r="P93" s="43"/>
      <c r="Q93" s="43"/>
      <c r="R93" s="43"/>
      <c r="S93" s="43"/>
      <c r="T93" s="43"/>
      <c r="U93" s="43"/>
      <c r="V93" s="43"/>
      <c r="W93" s="43"/>
      <c r="X93" s="43"/>
      <c r="Y93" s="43"/>
      <c r="Z93" s="43"/>
      <c r="AA93" s="43"/>
      <c r="AB93" s="43"/>
      <c r="AC93" s="45" t="str">
        <f t="shared" si="14"/>
        <v>pendiente</v>
      </c>
      <c r="AD93" s="45" t="str">
        <f t="shared" si="15"/>
        <v>pendiente</v>
      </c>
      <c r="AE93" s="45" t="str">
        <f t="shared" si="16"/>
        <v>pendiente</v>
      </c>
      <c r="AF93" s="45" t="str">
        <f t="shared" si="17"/>
        <v>pendiente</v>
      </c>
      <c r="AG93" s="45" t="str">
        <f t="shared" si="18"/>
        <v>insuficiente</v>
      </c>
      <c r="AH93" s="45" t="str">
        <f t="shared" si="19"/>
        <v>pendiente</v>
      </c>
      <c r="AI93" s="45" t="str">
        <f t="shared" si="20"/>
        <v>SI</v>
      </c>
      <c r="AJ93" s="45" t="str">
        <f t="shared" si="21"/>
        <v>abreviado</v>
      </c>
      <c r="AK93" s="45" t="str">
        <f t="shared" si="22"/>
        <v>NO</v>
      </c>
      <c r="AL93" s="45"/>
      <c r="AM93" s="45"/>
      <c r="AN93" s="45"/>
      <c r="AO93" s="49"/>
      <c r="AP93" s="45"/>
      <c r="AQ93" s="45"/>
      <c r="AR93" s="45" t="str">
        <f t="shared" si="23"/>
        <v>NO</v>
      </c>
      <c r="AS93" s="43"/>
    </row>
    <row r="94" spans="1:45" ht="44" customHeight="1">
      <c r="A94" s="45">
        <v>86</v>
      </c>
      <c r="B94" s="43" t="str">
        <f>'T01 revisión'!A90</f>
        <v>kingisland</v>
      </c>
      <c r="C94" s="43" t="str">
        <f>'T01 revisión'!B90</f>
        <v>Island Bodies: Transgressive Sexualities in the Caribbean Imagination</v>
      </c>
      <c r="D94" s="43" t="str">
        <f>'T01 revisión'!C90</f>
        <v>Rosamond S. King</v>
      </c>
      <c r="E94" s="43" t="str">
        <f>'T01 revisión'!D90</f>
        <v>B01</v>
      </c>
      <c r="F94" s="43" t="str">
        <f>'T01 revisión'!E90</f>
        <v>comparado (anglófono/francófono/hispano/neerlandés)</v>
      </c>
      <c r="G94" s="43" t="str">
        <f>'T01 revisión'!H90</f>
        <v>múltiples lenguas; mezcla escala comparativa; varias procedencias o territorios; función territorial no demostrada</v>
      </c>
      <c r="H94" s="45" t="str">
        <f t="shared" si="12"/>
        <v>C</v>
      </c>
      <c r="I94" s="45"/>
      <c r="J94" s="45" t="str">
        <f t="shared" si="13"/>
        <v>GPT + Claude ciegos; control humano obligatorio</v>
      </c>
      <c r="K94" s="43" t="s">
        <v>3027</v>
      </c>
      <c r="L94" s="43" t="s">
        <v>2340</v>
      </c>
      <c r="M94" s="43"/>
      <c r="N94" s="43" t="s">
        <v>3028</v>
      </c>
      <c r="O94" s="43"/>
      <c r="P94" s="43" t="s">
        <v>3029</v>
      </c>
      <c r="Q94" s="43" t="s">
        <v>3030</v>
      </c>
      <c r="R94" s="43" t="s">
        <v>3031</v>
      </c>
      <c r="S94" s="43" t="s">
        <v>2270</v>
      </c>
      <c r="T94" s="43"/>
      <c r="U94" s="43"/>
      <c r="V94" s="43"/>
      <c r="W94" s="43"/>
      <c r="X94" s="43"/>
      <c r="Y94" s="43"/>
      <c r="Z94" s="43"/>
      <c r="AA94" s="43"/>
      <c r="AB94" s="43"/>
      <c r="AC94" s="45" t="str">
        <f t="shared" si="14"/>
        <v>pendiente</v>
      </c>
      <c r="AD94" s="45" t="str">
        <f t="shared" si="15"/>
        <v>pendiente</v>
      </c>
      <c r="AE94" s="45" t="str">
        <f t="shared" si="16"/>
        <v>pendiente</v>
      </c>
      <c r="AF94" s="45" t="str">
        <f t="shared" si="17"/>
        <v>pendiente</v>
      </c>
      <c r="AG94" s="45" t="str">
        <f t="shared" si="18"/>
        <v>insuficiente</v>
      </c>
      <c r="AH94" s="45" t="str">
        <f t="shared" si="19"/>
        <v>pendiente</v>
      </c>
      <c r="AI94" s="45" t="str">
        <f t="shared" si="20"/>
        <v>SI</v>
      </c>
      <c r="AJ94" s="45" t="str">
        <f t="shared" si="21"/>
        <v>obligatorio</v>
      </c>
      <c r="AK94" s="45" t="str">
        <f t="shared" si="22"/>
        <v>SI</v>
      </c>
      <c r="AL94" s="45"/>
      <c r="AM94" s="45"/>
      <c r="AN94" s="45"/>
      <c r="AO94" s="49"/>
      <c r="AP94" s="45"/>
      <c r="AQ94" s="45"/>
      <c r="AR94" s="45" t="str">
        <f t="shared" si="23"/>
        <v>NO</v>
      </c>
      <c r="AS94" s="43" t="s">
        <v>3032</v>
      </c>
    </row>
    <row r="95" spans="1:45" ht="44" customHeight="1">
      <c r="A95" s="45">
        <v>87</v>
      </c>
      <c r="B95" s="43" t="str">
        <f>'T01 revisión'!A91</f>
        <v>fuentesdispossessed</v>
      </c>
      <c r="C95" s="43" t="str">
        <f>'T01 revisión'!B91</f>
        <v>Dispossessed Lives: Enslaved Women, Violence, and the Archive</v>
      </c>
      <c r="D95" s="43" t="str">
        <f>'T01 revisión'!C91</f>
        <v>Marisa J. Fuentes</v>
      </c>
      <c r="E95" s="43" t="str">
        <f>'T01 revisión'!D91</f>
        <v>A01</v>
      </c>
      <c r="F95" s="43" t="str">
        <f>'T01 revisión'!E91</f>
        <v>anglófono (EE.UU.)</v>
      </c>
      <c r="G95" s="43" t="str">
        <f>'T01 revisión'!H91</f>
        <v>abreviaturas por normalizar; función territorial no demostrada</v>
      </c>
      <c r="H95" s="45" t="str">
        <f t="shared" si="12"/>
        <v>A</v>
      </c>
      <c r="I95" s="45"/>
      <c r="J95" s="45" t="str">
        <f t="shared" si="13"/>
        <v>GPT + muestra Claude/humana</v>
      </c>
      <c r="K95" s="43"/>
      <c r="L95" s="43"/>
      <c r="M95" s="43"/>
      <c r="N95" s="43"/>
      <c r="O95" s="43"/>
      <c r="P95" s="43"/>
      <c r="Q95" s="43"/>
      <c r="R95" s="43"/>
      <c r="S95" s="43"/>
      <c r="T95" s="43"/>
      <c r="U95" s="43"/>
      <c r="V95" s="43"/>
      <c r="W95" s="43"/>
      <c r="X95" s="43"/>
      <c r="Y95" s="43"/>
      <c r="Z95" s="43"/>
      <c r="AA95" s="43"/>
      <c r="AB95" s="43"/>
      <c r="AC95" s="45" t="str">
        <f t="shared" si="14"/>
        <v>pendiente</v>
      </c>
      <c r="AD95" s="45" t="str">
        <f t="shared" si="15"/>
        <v>pendiente</v>
      </c>
      <c r="AE95" s="45" t="str">
        <f t="shared" si="16"/>
        <v>pendiente</v>
      </c>
      <c r="AF95" s="45" t="str">
        <f t="shared" si="17"/>
        <v>pendiente</v>
      </c>
      <c r="AG95" s="45" t="str">
        <f t="shared" si="18"/>
        <v>insuficiente</v>
      </c>
      <c r="AH95" s="45" t="str">
        <f t="shared" si="19"/>
        <v>pendiente</v>
      </c>
      <c r="AI95" s="45" t="str">
        <f t="shared" si="20"/>
        <v>NO</v>
      </c>
      <c r="AJ95" s="45" t="str">
        <f t="shared" si="21"/>
        <v>NO</v>
      </c>
      <c r="AK95" s="45" t="str">
        <f t="shared" si="22"/>
        <v>NO</v>
      </c>
      <c r="AL95" s="45"/>
      <c r="AM95" s="45"/>
      <c r="AN95" s="45"/>
      <c r="AO95" s="49"/>
      <c r="AP95" s="45"/>
      <c r="AQ95" s="45"/>
      <c r="AR95" s="45" t="str">
        <f t="shared" si="23"/>
        <v>NO</v>
      </c>
      <c r="AS95" s="43"/>
    </row>
    <row r="96" spans="1:45" ht="44" customHeight="1">
      <c r="A96" s="45">
        <v>88</v>
      </c>
      <c r="B96" s="43" t="str">
        <f>'T01 revisión'!A92</f>
        <v>bollandbelize</v>
      </c>
      <c r="C96" s="43" t="str">
        <f>'T01 revisión'!B92</f>
        <v>The Formation of a Colonial Society: Belize, From Conquest to Crown Colony</v>
      </c>
      <c r="D96" s="43" t="str">
        <f>'T01 revisión'!C92</f>
        <v>O. Nigel Bolland</v>
      </c>
      <c r="E96" s="43" t="str">
        <f>'T01 revisión'!D92</f>
        <v>C01</v>
      </c>
      <c r="F96" s="43" t="str">
        <f>'T01 revisión'!E92</f>
        <v>anglófono (Belice/R.U.)</v>
      </c>
      <c r="G96" s="43" t="str">
        <f>'T01 revisión'!H92</f>
        <v>varias procedencias o territorios; abreviaturas por normalizar; función territorial no demostrada</v>
      </c>
      <c r="H96" s="45" t="str">
        <f t="shared" si="12"/>
        <v>B</v>
      </c>
      <c r="I96" s="45"/>
      <c r="J96" s="45" t="str">
        <f t="shared" si="13"/>
        <v>GPT + Claude ciegos; control abreviado</v>
      </c>
      <c r="K96" s="43"/>
      <c r="L96" s="43"/>
      <c r="M96" s="43"/>
      <c r="N96" s="43"/>
      <c r="O96" s="43"/>
      <c r="P96" s="43"/>
      <c r="Q96" s="43"/>
      <c r="R96" s="43"/>
      <c r="S96" s="43"/>
      <c r="T96" s="43"/>
      <c r="U96" s="43"/>
      <c r="V96" s="43"/>
      <c r="W96" s="43"/>
      <c r="X96" s="43"/>
      <c r="Y96" s="43"/>
      <c r="Z96" s="43"/>
      <c r="AA96" s="43"/>
      <c r="AB96" s="43"/>
      <c r="AC96" s="45" t="str">
        <f t="shared" si="14"/>
        <v>pendiente</v>
      </c>
      <c r="AD96" s="45" t="str">
        <f t="shared" si="15"/>
        <v>pendiente</v>
      </c>
      <c r="AE96" s="45" t="str">
        <f t="shared" si="16"/>
        <v>pendiente</v>
      </c>
      <c r="AF96" s="45" t="str">
        <f t="shared" si="17"/>
        <v>pendiente</v>
      </c>
      <c r="AG96" s="45" t="str">
        <f t="shared" si="18"/>
        <v>insuficiente</v>
      </c>
      <c r="AH96" s="45" t="str">
        <f t="shared" si="19"/>
        <v>pendiente</v>
      </c>
      <c r="AI96" s="45" t="str">
        <f t="shared" si="20"/>
        <v>SI</v>
      </c>
      <c r="AJ96" s="45" t="str">
        <f t="shared" si="21"/>
        <v>abreviado</v>
      </c>
      <c r="AK96" s="45" t="str">
        <f t="shared" si="22"/>
        <v>NO</v>
      </c>
      <c r="AL96" s="45"/>
      <c r="AM96" s="45"/>
      <c r="AN96" s="45"/>
      <c r="AO96" s="49"/>
      <c r="AP96" s="45"/>
      <c r="AQ96" s="45"/>
      <c r="AR96" s="45" t="str">
        <f t="shared" si="23"/>
        <v>NO</v>
      </c>
      <c r="AS96" s="43"/>
    </row>
    <row r="97" spans="1:45" ht="44" customHeight="1">
      <c r="A97" s="45">
        <v>89</v>
      </c>
      <c r="B97" s="43" t="str">
        <f>'T01 revisión'!A93</f>
        <v>hintzen</v>
      </c>
      <c r="C97" s="43" t="str">
        <f>'T01 revisión'!B93</f>
        <v>The Costs of Regime Survival: Racial Mobilization, Elite Domination and Control of the State in Guyana and Trinidad</v>
      </c>
      <c r="D97" s="43" t="str">
        <f>'T01 revisión'!C93</f>
        <v>Percy C. Hintzen</v>
      </c>
      <c r="E97" s="43" t="str">
        <f>'T01 revisión'!D93</f>
        <v>A02</v>
      </c>
      <c r="F97" s="43" t="str">
        <f>'T01 revisión'!E93</f>
        <v>anglófono (Guyana/Trinidad)</v>
      </c>
      <c r="G97" s="43" t="str">
        <f>'T01 revisión'!H93</f>
        <v>varias procedencias o territorios; función territorial no demostrada</v>
      </c>
      <c r="H97" s="45" t="str">
        <f t="shared" si="12"/>
        <v>B</v>
      </c>
      <c r="I97" s="45"/>
      <c r="J97" s="45" t="str">
        <f t="shared" si="13"/>
        <v>GPT + Claude ciegos; control abreviado</v>
      </c>
      <c r="K97" s="43"/>
      <c r="L97" s="43"/>
      <c r="M97" s="43"/>
      <c r="N97" s="43"/>
      <c r="O97" s="43"/>
      <c r="P97" s="43"/>
      <c r="Q97" s="43"/>
      <c r="R97" s="43"/>
      <c r="S97" s="43"/>
      <c r="T97" s="43"/>
      <c r="U97" s="43"/>
      <c r="V97" s="43"/>
      <c r="W97" s="43"/>
      <c r="X97" s="43"/>
      <c r="Y97" s="43"/>
      <c r="Z97" s="43"/>
      <c r="AA97" s="43"/>
      <c r="AB97" s="43"/>
      <c r="AC97" s="45" t="str">
        <f t="shared" si="14"/>
        <v>pendiente</v>
      </c>
      <c r="AD97" s="45" t="str">
        <f t="shared" si="15"/>
        <v>pendiente</v>
      </c>
      <c r="AE97" s="45" t="str">
        <f t="shared" si="16"/>
        <v>pendiente</v>
      </c>
      <c r="AF97" s="45" t="str">
        <f t="shared" si="17"/>
        <v>pendiente</v>
      </c>
      <c r="AG97" s="45" t="str">
        <f t="shared" si="18"/>
        <v>insuficiente</v>
      </c>
      <c r="AH97" s="45" t="str">
        <f t="shared" si="19"/>
        <v>pendiente</v>
      </c>
      <c r="AI97" s="45" t="str">
        <f t="shared" si="20"/>
        <v>SI</v>
      </c>
      <c r="AJ97" s="45" t="str">
        <f t="shared" si="21"/>
        <v>abreviado</v>
      </c>
      <c r="AK97" s="45" t="str">
        <f t="shared" si="22"/>
        <v>NO</v>
      </c>
      <c r="AL97" s="45"/>
      <c r="AM97" s="45"/>
      <c r="AN97" s="45"/>
      <c r="AO97" s="49"/>
      <c r="AP97" s="45"/>
      <c r="AQ97" s="45"/>
      <c r="AR97" s="45" t="str">
        <f t="shared" si="23"/>
        <v>NO</v>
      </c>
      <c r="AS97" s="43"/>
    </row>
    <row r="98" spans="1:45" ht="44" customHeight="1">
      <c r="A98" s="45">
        <v>90</v>
      </c>
      <c r="B98" s="43" t="str">
        <f>'T01 revisión'!A94</f>
        <v>rainforestwarriors</v>
      </c>
      <c r="C98" s="43" t="str">
        <f>'T01 revisión'!B94</f>
        <v>Rainforest Warriors: Human Rights on Trial</v>
      </c>
      <c r="D98" s="43" t="str">
        <f>'T01 revisión'!C94</f>
        <v>Richard Price</v>
      </c>
      <c r="E98" s="43" t="str">
        <f>'T01 revisión'!D94</f>
        <v>B02</v>
      </c>
      <c r="F98" s="43" t="str">
        <f>'T01 revisión'!E94</f>
        <v>anglófono (EE.UU./Surinam)</v>
      </c>
      <c r="G98" s="43" t="str">
        <f>'T01 revisión'!H94</f>
        <v>varias procedencias o territorios; abreviaturas por normalizar; función territorial no demostrada</v>
      </c>
      <c r="H98" s="45" t="str">
        <f t="shared" si="12"/>
        <v>B</v>
      </c>
      <c r="I98" s="45"/>
      <c r="J98" s="45" t="str">
        <f t="shared" si="13"/>
        <v>GPT + Claude ciegos; control abreviado</v>
      </c>
      <c r="K98" s="43"/>
      <c r="L98" s="43"/>
      <c r="M98" s="43"/>
      <c r="N98" s="43"/>
      <c r="O98" s="43"/>
      <c r="P98" s="43"/>
      <c r="Q98" s="43"/>
      <c r="R98" s="43"/>
      <c r="S98" s="43"/>
      <c r="T98" s="43"/>
      <c r="U98" s="43"/>
      <c r="V98" s="43"/>
      <c r="W98" s="43"/>
      <c r="X98" s="43"/>
      <c r="Y98" s="43"/>
      <c r="Z98" s="43"/>
      <c r="AA98" s="43"/>
      <c r="AB98" s="43"/>
      <c r="AC98" s="45" t="str">
        <f t="shared" si="14"/>
        <v>pendiente</v>
      </c>
      <c r="AD98" s="45" t="str">
        <f t="shared" si="15"/>
        <v>pendiente</v>
      </c>
      <c r="AE98" s="45" t="str">
        <f t="shared" si="16"/>
        <v>pendiente</v>
      </c>
      <c r="AF98" s="45" t="str">
        <f t="shared" si="17"/>
        <v>pendiente</v>
      </c>
      <c r="AG98" s="45" t="str">
        <f t="shared" si="18"/>
        <v>insuficiente</v>
      </c>
      <c r="AH98" s="45" t="str">
        <f t="shared" si="19"/>
        <v>pendiente</v>
      </c>
      <c r="AI98" s="45" t="str">
        <f t="shared" si="20"/>
        <v>SI</v>
      </c>
      <c r="AJ98" s="45" t="str">
        <f t="shared" si="21"/>
        <v>abreviado</v>
      </c>
      <c r="AK98" s="45" t="str">
        <f t="shared" si="22"/>
        <v>NO</v>
      </c>
      <c r="AL98" s="45"/>
      <c r="AM98" s="45"/>
      <c r="AN98" s="45"/>
      <c r="AO98" s="49"/>
      <c r="AP98" s="45"/>
      <c r="AQ98" s="45"/>
      <c r="AR98" s="45" t="str">
        <f t="shared" si="23"/>
        <v>NO</v>
      </c>
      <c r="AS98" s="43"/>
    </row>
    <row r="99" spans="1:45" ht="44" customHeight="1">
      <c r="A99" s="45">
        <v>91</v>
      </c>
      <c r="B99" s="43" t="str">
        <f>'T01 revisión'!A95</f>
        <v>quinnblackpower</v>
      </c>
      <c r="C99" s="43" t="str">
        <f>'T01 revisión'!B95</f>
        <v>Black Power in the Caribbean</v>
      </c>
      <c r="D99" s="43" t="str">
        <f>'T01 revisión'!C95</f>
        <v>Kate Quinn (ed.)</v>
      </c>
      <c r="E99" s="43" t="str">
        <f>'T01 revisión'!D95</f>
        <v>B03</v>
      </c>
      <c r="F99" s="43" t="str">
        <f>'T01 revisión'!E95</f>
        <v>comparado (anglófono Caribe)</v>
      </c>
      <c r="G99" s="43" t="str">
        <f>'T01 revisión'!H95</f>
        <v>mezcla escala comparativa; función territorial no demostrada</v>
      </c>
      <c r="H99" s="45" t="str">
        <f t="shared" si="12"/>
        <v>C</v>
      </c>
      <c r="I99" s="45"/>
      <c r="J99" s="45" t="str">
        <f t="shared" si="13"/>
        <v>GPT + Claude ciegos; control humano obligatorio</v>
      </c>
      <c r="K99" s="43" t="s">
        <v>3033</v>
      </c>
      <c r="L99" s="43" t="s">
        <v>2340</v>
      </c>
      <c r="M99" s="43"/>
      <c r="N99" s="43" t="s">
        <v>2950</v>
      </c>
      <c r="O99" s="43" t="s">
        <v>3034</v>
      </c>
      <c r="P99" s="43" t="s">
        <v>3035</v>
      </c>
      <c r="Q99" s="43" t="s">
        <v>3002</v>
      </c>
      <c r="R99" s="43" t="s">
        <v>3036</v>
      </c>
      <c r="S99" s="43" t="s">
        <v>2229</v>
      </c>
      <c r="T99" s="43"/>
      <c r="U99" s="43"/>
      <c r="V99" s="43"/>
      <c r="W99" s="43"/>
      <c r="X99" s="43"/>
      <c r="Y99" s="43"/>
      <c r="Z99" s="43"/>
      <c r="AA99" s="43"/>
      <c r="AB99" s="43"/>
      <c r="AC99" s="45" t="str">
        <f t="shared" si="14"/>
        <v>pendiente</v>
      </c>
      <c r="AD99" s="45" t="str">
        <f t="shared" si="15"/>
        <v>pendiente</v>
      </c>
      <c r="AE99" s="45" t="str">
        <f t="shared" si="16"/>
        <v>pendiente</v>
      </c>
      <c r="AF99" s="45" t="str">
        <f t="shared" si="17"/>
        <v>pendiente</v>
      </c>
      <c r="AG99" s="45" t="str">
        <f t="shared" si="18"/>
        <v>insuficiente</v>
      </c>
      <c r="AH99" s="45" t="str">
        <f t="shared" si="19"/>
        <v>pendiente</v>
      </c>
      <c r="AI99" s="45" t="str">
        <f t="shared" si="20"/>
        <v>SI</v>
      </c>
      <c r="AJ99" s="45" t="str">
        <f t="shared" si="21"/>
        <v>obligatorio</v>
      </c>
      <c r="AK99" s="45" t="str">
        <f t="shared" si="22"/>
        <v>SI</v>
      </c>
      <c r="AL99" s="45"/>
      <c r="AM99" s="45"/>
      <c r="AN99" s="45"/>
      <c r="AO99" s="49"/>
      <c r="AP99" s="45"/>
      <c r="AQ99" s="45"/>
      <c r="AR99" s="45" t="str">
        <f t="shared" si="23"/>
        <v>NO</v>
      </c>
      <c r="AS99" s="43" t="s">
        <v>3037</v>
      </c>
    </row>
    <row r="100" spans="1:45" ht="44" customHeight="1">
      <c r="A100" s="45">
        <v>92</v>
      </c>
      <c r="B100" s="43" t="str">
        <f>'T01 revisión'!A96</f>
        <v>russwurm</v>
      </c>
      <c r="C100" s="43" t="str">
        <f>'T01 revisión'!B96</f>
        <v>The Struggles of John Brown Russwurm: The Life and Writings of a Pan-Africanist Pioneer, 1799-1851</v>
      </c>
      <c r="D100" s="43" t="str">
        <f>'T01 revisión'!C96</f>
        <v>Winston James</v>
      </c>
      <c r="E100" s="43" t="str">
        <f>'T01 revisión'!D96</f>
        <v>B05</v>
      </c>
      <c r="F100" s="43" t="str">
        <f>'T01 revisión'!E96</f>
        <v>anglófono (Jamaica/EE.UU.)</v>
      </c>
      <c r="G100" s="43" t="str">
        <f>'T01 revisión'!H96</f>
        <v>varias procedencias o territorios; abreviaturas por normalizar; función territorial no demostrada</v>
      </c>
      <c r="H100" s="45" t="str">
        <f t="shared" si="12"/>
        <v>B</v>
      </c>
      <c r="I100" s="45"/>
      <c r="J100" s="45" t="str">
        <f t="shared" si="13"/>
        <v>GPT + Claude ciegos; control abreviado</v>
      </c>
      <c r="K100" s="43"/>
      <c r="L100" s="43"/>
      <c r="M100" s="43"/>
      <c r="N100" s="43"/>
      <c r="O100" s="43"/>
      <c r="P100" s="43"/>
      <c r="Q100" s="43"/>
      <c r="R100" s="43"/>
      <c r="S100" s="43"/>
      <c r="T100" s="43"/>
      <c r="U100" s="43"/>
      <c r="V100" s="43"/>
      <c r="W100" s="43"/>
      <c r="X100" s="43"/>
      <c r="Y100" s="43"/>
      <c r="Z100" s="43"/>
      <c r="AA100" s="43"/>
      <c r="AB100" s="43"/>
      <c r="AC100" s="45" t="str">
        <f t="shared" si="14"/>
        <v>pendiente</v>
      </c>
      <c r="AD100" s="45" t="str">
        <f t="shared" si="15"/>
        <v>pendiente</v>
      </c>
      <c r="AE100" s="45" t="str">
        <f t="shared" si="16"/>
        <v>pendiente</v>
      </c>
      <c r="AF100" s="45" t="str">
        <f t="shared" si="17"/>
        <v>pendiente</v>
      </c>
      <c r="AG100" s="45" t="str">
        <f t="shared" si="18"/>
        <v>insuficiente</v>
      </c>
      <c r="AH100" s="45" t="str">
        <f t="shared" si="19"/>
        <v>pendiente</v>
      </c>
      <c r="AI100" s="45" t="str">
        <f t="shared" si="20"/>
        <v>SI</v>
      </c>
      <c r="AJ100" s="45" t="str">
        <f t="shared" si="21"/>
        <v>abreviado</v>
      </c>
      <c r="AK100" s="45" t="str">
        <f t="shared" si="22"/>
        <v>NO</v>
      </c>
      <c r="AL100" s="45"/>
      <c r="AM100" s="45"/>
      <c r="AN100" s="45"/>
      <c r="AO100" s="49"/>
      <c r="AP100" s="45"/>
      <c r="AQ100" s="45"/>
      <c r="AR100" s="45" t="str">
        <f t="shared" si="23"/>
        <v>NO</v>
      </c>
      <c r="AS100" s="43"/>
    </row>
    <row r="101" spans="1:45" ht="44" customHeight="1">
      <c r="A101" s="45">
        <v>93</v>
      </c>
      <c r="B101" s="43" t="str">
        <f>'T01 revisión'!A97</f>
        <v>tackysrevolt</v>
      </c>
      <c r="C101" s="43" t="str">
        <f>'T01 revisión'!B97</f>
        <v>Tacky's Revolt: The Story of an Atlantic Slave War</v>
      </c>
      <c r="D101" s="43" t="str">
        <f>'T01 revisión'!C97</f>
        <v>Vincent Brown</v>
      </c>
      <c r="E101" s="43" t="str">
        <f>'T01 revisión'!D97</f>
        <v>A01</v>
      </c>
      <c r="F101" s="43" t="str">
        <f>'T01 revisión'!E97</f>
        <v>anglófono (EE.UU.)</v>
      </c>
      <c r="G101" s="43" t="str">
        <f>'T01 revisión'!H97</f>
        <v>abreviaturas por normalizar; función territorial no demostrada</v>
      </c>
      <c r="H101" s="45" t="str">
        <f t="shared" si="12"/>
        <v>A</v>
      </c>
      <c r="I101" s="45"/>
      <c r="J101" s="45" t="str">
        <f t="shared" si="13"/>
        <v>GPT + muestra Claude/humana</v>
      </c>
      <c r="K101" s="43"/>
      <c r="L101" s="43"/>
      <c r="M101" s="43"/>
      <c r="N101" s="43"/>
      <c r="O101" s="43"/>
      <c r="P101" s="43"/>
      <c r="Q101" s="43"/>
      <c r="R101" s="43"/>
      <c r="S101" s="43"/>
      <c r="T101" s="43"/>
      <c r="U101" s="43"/>
      <c r="V101" s="43"/>
      <c r="W101" s="43"/>
      <c r="X101" s="43"/>
      <c r="Y101" s="43"/>
      <c r="Z101" s="43"/>
      <c r="AA101" s="43"/>
      <c r="AB101" s="43"/>
      <c r="AC101" s="45" t="str">
        <f t="shared" si="14"/>
        <v>pendiente</v>
      </c>
      <c r="AD101" s="45" t="str">
        <f t="shared" si="15"/>
        <v>pendiente</v>
      </c>
      <c r="AE101" s="45" t="str">
        <f t="shared" si="16"/>
        <v>pendiente</v>
      </c>
      <c r="AF101" s="45" t="str">
        <f t="shared" si="17"/>
        <v>pendiente</v>
      </c>
      <c r="AG101" s="45" t="str">
        <f t="shared" si="18"/>
        <v>insuficiente</v>
      </c>
      <c r="AH101" s="45" t="str">
        <f t="shared" si="19"/>
        <v>pendiente</v>
      </c>
      <c r="AI101" s="45" t="str">
        <f t="shared" si="20"/>
        <v>NO</v>
      </c>
      <c r="AJ101" s="45" t="str">
        <f t="shared" si="21"/>
        <v>NO</v>
      </c>
      <c r="AK101" s="45" t="str">
        <f t="shared" si="22"/>
        <v>NO</v>
      </c>
      <c r="AL101" s="45"/>
      <c r="AM101" s="45"/>
      <c r="AN101" s="45"/>
      <c r="AO101" s="49"/>
      <c r="AP101" s="45"/>
      <c r="AQ101" s="45"/>
      <c r="AR101" s="45" t="str">
        <f t="shared" si="23"/>
        <v>NO</v>
      </c>
      <c r="AS101" s="43"/>
    </row>
    <row r="102" spans="1:45" ht="44" customHeight="1">
      <c r="A102" s="45">
        <v>94</v>
      </c>
      <c r="B102" s="43" t="str">
        <f>'T01 revisión'!A98</f>
        <v>helgnuncamas</v>
      </c>
      <c r="C102" s="43" t="str">
        <f>'T01 revisión'!B98</f>
        <v>¡Nunca más esclavos! Una historia comparada de los esclavos que se liberaron en las Américas</v>
      </c>
      <c r="D102" s="43" t="str">
        <f>'T01 revisión'!C98</f>
        <v>Aline Helg</v>
      </c>
      <c r="E102" s="43" t="str">
        <f>'T01 revisión'!D98</f>
        <v>A01</v>
      </c>
      <c r="F102" s="43" t="str">
        <f>'T01 revisión'!E98</f>
        <v>hispano (Suiza/Colombia)</v>
      </c>
      <c r="G102" s="43" t="str">
        <f>'T01 revisión'!H98</f>
        <v>varias procedencias o territorios; función territorial no demostrada</v>
      </c>
      <c r="H102" s="45" t="str">
        <f t="shared" si="12"/>
        <v>B</v>
      </c>
      <c r="I102" s="45"/>
      <c r="J102" s="45" t="str">
        <f t="shared" si="13"/>
        <v>GPT + Claude ciegos; control abreviado</v>
      </c>
      <c r="K102" s="43"/>
      <c r="L102" s="43"/>
      <c r="M102" s="43"/>
      <c r="N102" s="43"/>
      <c r="O102" s="43"/>
      <c r="P102" s="43"/>
      <c r="Q102" s="43"/>
      <c r="R102" s="43"/>
      <c r="S102" s="43"/>
      <c r="T102" s="43"/>
      <c r="U102" s="43"/>
      <c r="V102" s="43"/>
      <c r="W102" s="43"/>
      <c r="X102" s="43"/>
      <c r="Y102" s="43"/>
      <c r="Z102" s="43"/>
      <c r="AA102" s="43"/>
      <c r="AB102" s="43"/>
      <c r="AC102" s="45" t="str">
        <f t="shared" si="14"/>
        <v>pendiente</v>
      </c>
      <c r="AD102" s="45" t="str">
        <f t="shared" si="15"/>
        <v>pendiente</v>
      </c>
      <c r="AE102" s="45" t="str">
        <f t="shared" si="16"/>
        <v>pendiente</v>
      </c>
      <c r="AF102" s="45" t="str">
        <f t="shared" si="17"/>
        <v>pendiente</v>
      </c>
      <c r="AG102" s="45" t="str">
        <f t="shared" si="18"/>
        <v>insuficiente</v>
      </c>
      <c r="AH102" s="45" t="str">
        <f t="shared" si="19"/>
        <v>pendiente</v>
      </c>
      <c r="AI102" s="45" t="str">
        <f t="shared" si="20"/>
        <v>SI</v>
      </c>
      <c r="AJ102" s="45" t="str">
        <f t="shared" si="21"/>
        <v>abreviado</v>
      </c>
      <c r="AK102" s="45" t="str">
        <f t="shared" si="22"/>
        <v>NO</v>
      </c>
      <c r="AL102" s="45"/>
      <c r="AM102" s="45"/>
      <c r="AN102" s="45"/>
      <c r="AO102" s="49"/>
      <c r="AP102" s="45"/>
      <c r="AQ102" s="45"/>
      <c r="AR102" s="45" t="str">
        <f t="shared" si="23"/>
        <v>NO</v>
      </c>
      <c r="AS102" s="43"/>
    </row>
    <row r="103" spans="1:45" ht="44" customHeight="1">
      <c r="A103" s="45">
        <v>95</v>
      </c>
      <c r="B103" s="43" t="str">
        <f>'T01 revisión'!A99</f>
        <v>robinsonmarxismo</v>
      </c>
      <c r="C103" s="43" t="str">
        <f>'T01 revisión'!B99</f>
        <v>Marxismo negro: la formación de la tradición radical negra</v>
      </c>
      <c r="D103" s="43" t="str">
        <f>'T01 revisión'!C99</f>
        <v>Cedric J. Robinson</v>
      </c>
      <c r="E103" s="43" t="str">
        <f>'T01 revisión'!D99</f>
        <v>DE01</v>
      </c>
      <c r="F103" s="43" t="str">
        <f>'T01 revisión'!E99</f>
        <v>comparado (transnacional)</v>
      </c>
      <c r="G103" s="43" t="str">
        <f>'T01 revisión'!H99</f>
        <v>sin lengua explícita; mezcla escala comparativa; mezcla tema, método o escala; función territorial no demostrada</v>
      </c>
      <c r="H103" s="45" t="str">
        <f t="shared" si="12"/>
        <v>C</v>
      </c>
      <c r="I103" s="45"/>
      <c r="J103" s="45" t="str">
        <f t="shared" si="13"/>
        <v>GPT + Claude ciegos; control humano obligatorio</v>
      </c>
      <c r="K103" s="43"/>
      <c r="L103" s="43"/>
      <c r="M103" s="43"/>
      <c r="N103" s="43"/>
      <c r="O103" s="43"/>
      <c r="P103" s="43"/>
      <c r="Q103" s="43"/>
      <c r="R103" s="43"/>
      <c r="S103" s="43"/>
      <c r="T103" s="43"/>
      <c r="U103" s="43"/>
      <c r="V103" s="43"/>
      <c r="W103" s="43"/>
      <c r="X103" s="43"/>
      <c r="Y103" s="43"/>
      <c r="Z103" s="43"/>
      <c r="AA103" s="43"/>
      <c r="AB103" s="43"/>
      <c r="AC103" s="45" t="str">
        <f t="shared" si="14"/>
        <v>pendiente</v>
      </c>
      <c r="AD103" s="45" t="str">
        <f t="shared" si="15"/>
        <v>pendiente</v>
      </c>
      <c r="AE103" s="45" t="str">
        <f t="shared" si="16"/>
        <v>pendiente</v>
      </c>
      <c r="AF103" s="45" t="str">
        <f t="shared" si="17"/>
        <v>pendiente</v>
      </c>
      <c r="AG103" s="45" t="str">
        <f t="shared" si="18"/>
        <v>insuficiente</v>
      </c>
      <c r="AH103" s="45" t="str">
        <f t="shared" si="19"/>
        <v>pendiente</v>
      </c>
      <c r="AI103" s="45" t="str">
        <f t="shared" si="20"/>
        <v>SI</v>
      </c>
      <c r="AJ103" s="45" t="str">
        <f t="shared" si="21"/>
        <v>obligatorio</v>
      </c>
      <c r="AK103" s="45" t="str">
        <f t="shared" si="22"/>
        <v>SI</v>
      </c>
      <c r="AL103" s="45"/>
      <c r="AM103" s="45"/>
      <c r="AN103" s="45"/>
      <c r="AO103" s="49"/>
      <c r="AP103" s="45"/>
      <c r="AQ103" s="45"/>
      <c r="AR103" s="45" t="str">
        <f t="shared" si="23"/>
        <v>NO</v>
      </c>
      <c r="AS103" s="43"/>
    </row>
    <row r="104" spans="1:45" ht="44" customHeight="1">
      <c r="A104" s="45">
        <v>96</v>
      </c>
      <c r="B104" s="43" t="str">
        <f>'T01 revisión'!A100</f>
        <v>bassiacuoso</v>
      </c>
      <c r="C104" s="43" t="str">
        <f>'T01 revisión'!B100</f>
        <v>Un territorio acuoso: geografías marineras y el Gran Caribe transimperial de la Nueva Granada</v>
      </c>
      <c r="D104" s="43" t="str">
        <f>'T01 revisión'!C100</f>
        <v>Ernesto Bassi</v>
      </c>
      <c r="E104" s="43" t="str">
        <f>'T01 revisión'!D100</f>
        <v>P00</v>
      </c>
      <c r="F104" s="43" t="str">
        <f>'T01 revisión'!E100</f>
        <v>hispano (Colombia)</v>
      </c>
      <c r="G104" s="43" t="str">
        <f>'T01 revisión'!H100</f>
        <v>función territorial no demostrada</v>
      </c>
      <c r="H104" s="45" t="str">
        <f t="shared" si="12"/>
        <v>A</v>
      </c>
      <c r="I104" s="45"/>
      <c r="J104" s="45" t="str">
        <f t="shared" si="13"/>
        <v>GPT + muestra Claude/humana</v>
      </c>
      <c r="K104" s="43"/>
      <c r="L104" s="43"/>
      <c r="M104" s="43"/>
      <c r="N104" s="43"/>
      <c r="O104" s="43"/>
      <c r="P104" s="43"/>
      <c r="Q104" s="43"/>
      <c r="R104" s="43"/>
      <c r="S104" s="43"/>
      <c r="T104" s="43"/>
      <c r="U104" s="43"/>
      <c r="V104" s="43"/>
      <c r="W104" s="43"/>
      <c r="X104" s="43"/>
      <c r="Y104" s="43"/>
      <c r="Z104" s="43"/>
      <c r="AA104" s="43"/>
      <c r="AB104" s="43"/>
      <c r="AC104" s="45" t="str">
        <f t="shared" si="14"/>
        <v>pendiente</v>
      </c>
      <c r="AD104" s="45" t="str">
        <f t="shared" si="15"/>
        <v>pendiente</v>
      </c>
      <c r="AE104" s="45" t="str">
        <f t="shared" si="16"/>
        <v>pendiente</v>
      </c>
      <c r="AF104" s="45" t="str">
        <f t="shared" si="17"/>
        <v>pendiente</v>
      </c>
      <c r="AG104" s="45" t="str">
        <f t="shared" si="18"/>
        <v>insuficiente</v>
      </c>
      <c r="AH104" s="45" t="str">
        <f t="shared" si="19"/>
        <v>pendiente</v>
      </c>
      <c r="AI104" s="45" t="str">
        <f t="shared" si="20"/>
        <v>NO</v>
      </c>
      <c r="AJ104" s="45" t="str">
        <f t="shared" si="21"/>
        <v>NO</v>
      </c>
      <c r="AK104" s="45" t="str">
        <f t="shared" si="22"/>
        <v>NO</v>
      </c>
      <c r="AL104" s="45"/>
      <c r="AM104" s="45"/>
      <c r="AN104" s="45"/>
      <c r="AO104" s="49"/>
      <c r="AP104" s="45"/>
      <c r="AQ104" s="45"/>
      <c r="AR104" s="45" t="str">
        <f t="shared" si="23"/>
        <v>NO</v>
      </c>
      <c r="AS104" s="43"/>
    </row>
    <row r="105" spans="1:45" ht="44" customHeight="1">
      <c r="A105" s="45">
        <v>97</v>
      </c>
      <c r="B105" s="43" t="str">
        <f>'T01 revisión'!A101</f>
        <v>rediker</v>
      </c>
      <c r="C105" s="43" t="str">
        <f>'T01 revisión'!B101</f>
        <v>Barco de esclavos: una historia humana</v>
      </c>
      <c r="D105" s="43" t="str">
        <f>'T01 revisión'!C101</f>
        <v>Marcus Rediker</v>
      </c>
      <c r="E105" s="43" t="str">
        <f>'T01 revisión'!D101</f>
        <v>A03</v>
      </c>
      <c r="F105" s="43" t="str">
        <f>'T01 revisión'!E101</f>
        <v>comparado (transnacional)</v>
      </c>
      <c r="G105" s="43" t="str">
        <f>'T01 revisión'!H101</f>
        <v>sin lengua explícita; mezcla escala comparativa; mezcla tema, método o escala; función territorial no demostrada</v>
      </c>
      <c r="H105" s="45" t="str">
        <f t="shared" si="12"/>
        <v>C</v>
      </c>
      <c r="I105" s="45"/>
      <c r="J105" s="45" t="str">
        <f t="shared" si="13"/>
        <v>GPT + Claude ciegos; control humano obligatorio</v>
      </c>
      <c r="K105" s="43"/>
      <c r="L105" s="43"/>
      <c r="M105" s="43"/>
      <c r="N105" s="43"/>
      <c r="O105" s="43"/>
      <c r="P105" s="43"/>
      <c r="Q105" s="43"/>
      <c r="R105" s="43"/>
      <c r="S105" s="43"/>
      <c r="T105" s="43"/>
      <c r="U105" s="43"/>
      <c r="V105" s="43"/>
      <c r="W105" s="43"/>
      <c r="X105" s="43"/>
      <c r="Y105" s="43"/>
      <c r="Z105" s="43"/>
      <c r="AA105" s="43"/>
      <c r="AB105" s="43"/>
      <c r="AC105" s="45" t="str">
        <f t="shared" si="14"/>
        <v>pendiente</v>
      </c>
      <c r="AD105" s="45" t="str">
        <f t="shared" si="15"/>
        <v>pendiente</v>
      </c>
      <c r="AE105" s="45" t="str">
        <f t="shared" si="16"/>
        <v>pendiente</v>
      </c>
      <c r="AF105" s="45" t="str">
        <f t="shared" si="17"/>
        <v>pendiente</v>
      </c>
      <c r="AG105" s="45" t="str">
        <f t="shared" si="18"/>
        <v>insuficiente</v>
      </c>
      <c r="AH105" s="45" t="str">
        <f t="shared" si="19"/>
        <v>pendiente</v>
      </c>
      <c r="AI105" s="45" t="str">
        <f t="shared" si="20"/>
        <v>SI</v>
      </c>
      <c r="AJ105" s="45" t="str">
        <f t="shared" si="21"/>
        <v>obligatorio</v>
      </c>
      <c r="AK105" s="45" t="str">
        <f t="shared" si="22"/>
        <v>SI</v>
      </c>
      <c r="AL105" s="45"/>
      <c r="AM105" s="45"/>
      <c r="AN105" s="45"/>
      <c r="AO105" s="49"/>
      <c r="AP105" s="45"/>
      <c r="AQ105" s="45"/>
      <c r="AR105" s="45" t="str">
        <f t="shared" si="23"/>
        <v>NO</v>
      </c>
      <c r="AS105" s="43"/>
    </row>
    <row r="106" spans="1:45" ht="44" customHeight="1">
      <c r="A106" s="45">
        <v>98</v>
      </c>
      <c r="B106" s="43" t="str">
        <f>'T01 revisión'!A102</f>
        <v>gosinenature</v>
      </c>
      <c r="C106" s="43" t="str">
        <f>'T01 revisión'!B102</f>
        <v>Nature's Wild: Love, Sex, and Law in the Caribbean</v>
      </c>
      <c r="D106" s="43" t="str">
        <f>'T01 revisión'!C102</f>
        <v>Andil Gosine</v>
      </c>
      <c r="E106" s="43" t="str">
        <f>'T01 revisión'!D102</f>
        <v>C01</v>
      </c>
      <c r="F106" s="43" t="str">
        <f>'T01 revisión'!E102</f>
        <v>anglófono (Trinidad/Canadá)</v>
      </c>
      <c r="G106" s="43" t="str">
        <f>'T01 revisión'!H102</f>
        <v>varias procedencias o territorios; función territorial no demostrada</v>
      </c>
      <c r="H106" s="45" t="str">
        <f t="shared" si="12"/>
        <v>B</v>
      </c>
      <c r="I106" s="45"/>
      <c r="J106" s="45" t="str">
        <f t="shared" si="13"/>
        <v>GPT + Claude ciegos; control abreviado</v>
      </c>
      <c r="K106" s="43"/>
      <c r="L106" s="43"/>
      <c r="M106" s="43"/>
      <c r="N106" s="43"/>
      <c r="O106" s="43"/>
      <c r="P106" s="43"/>
      <c r="Q106" s="43"/>
      <c r="R106" s="43"/>
      <c r="S106" s="43"/>
      <c r="T106" s="43"/>
      <c r="U106" s="43"/>
      <c r="V106" s="43"/>
      <c r="W106" s="43"/>
      <c r="X106" s="43"/>
      <c r="Y106" s="43"/>
      <c r="Z106" s="43"/>
      <c r="AA106" s="43"/>
      <c r="AB106" s="43"/>
      <c r="AC106" s="45" t="str">
        <f t="shared" si="14"/>
        <v>pendiente</v>
      </c>
      <c r="AD106" s="45" t="str">
        <f t="shared" si="15"/>
        <v>pendiente</v>
      </c>
      <c r="AE106" s="45" t="str">
        <f t="shared" si="16"/>
        <v>pendiente</v>
      </c>
      <c r="AF106" s="45" t="str">
        <f t="shared" si="17"/>
        <v>pendiente</v>
      </c>
      <c r="AG106" s="45" t="str">
        <f t="shared" si="18"/>
        <v>insuficiente</v>
      </c>
      <c r="AH106" s="45" t="str">
        <f t="shared" si="19"/>
        <v>pendiente</v>
      </c>
      <c r="AI106" s="45" t="str">
        <f t="shared" si="20"/>
        <v>SI</v>
      </c>
      <c r="AJ106" s="45" t="str">
        <f t="shared" si="21"/>
        <v>abreviado</v>
      </c>
      <c r="AK106" s="45" t="str">
        <f t="shared" si="22"/>
        <v>NO</v>
      </c>
      <c r="AL106" s="45"/>
      <c r="AM106" s="45"/>
      <c r="AN106" s="45"/>
      <c r="AO106" s="49"/>
      <c r="AP106" s="45"/>
      <c r="AQ106" s="45"/>
      <c r="AR106" s="45" t="str">
        <f t="shared" si="23"/>
        <v>NO</v>
      </c>
      <c r="AS106" s="43"/>
    </row>
    <row r="107" spans="1:45" ht="44" customHeight="1">
      <c r="A107" s="45">
        <v>99</v>
      </c>
      <c r="B107" s="43" t="str">
        <f>'T01 revisión'!A103</f>
        <v>headleyreparaciones</v>
      </c>
      <c r="C107" s="43" t="str">
        <f>'T01 revisión'!B103</f>
        <v>A Philosophical Investigation into the Possibility/Impossibility of Reparations for Caribbean Slavery: Assessing the Legal Challenges</v>
      </c>
      <c r="D107" s="43" t="str">
        <f>'T01 revisión'!C103</f>
        <v>Clevis Headley</v>
      </c>
      <c r="E107" s="43" t="str">
        <f>'T01 revisión'!D103</f>
        <v>A03</v>
      </c>
      <c r="F107" s="43" t="str">
        <f>'T01 revisión'!E103</f>
        <v>comparado (transnacional)</v>
      </c>
      <c r="G107" s="43" t="str">
        <f>'T01 revisión'!H103</f>
        <v>sin lengua explícita; mezcla escala comparativa; mezcla tema, método o escala; función territorial no demostrada</v>
      </c>
      <c r="H107" s="45" t="str">
        <f t="shared" si="12"/>
        <v>C</v>
      </c>
      <c r="I107" s="45"/>
      <c r="J107" s="45" t="str">
        <f t="shared" si="13"/>
        <v>GPT + Claude ciegos; control humano obligatorio</v>
      </c>
      <c r="K107" s="43"/>
      <c r="L107" s="43"/>
      <c r="M107" s="43"/>
      <c r="N107" s="43"/>
      <c r="O107" s="43"/>
      <c r="P107" s="43"/>
      <c r="Q107" s="43"/>
      <c r="R107" s="43"/>
      <c r="S107" s="43"/>
      <c r="T107" s="43"/>
      <c r="U107" s="43"/>
      <c r="V107" s="43"/>
      <c r="W107" s="43"/>
      <c r="X107" s="43"/>
      <c r="Y107" s="43"/>
      <c r="Z107" s="43"/>
      <c r="AA107" s="43"/>
      <c r="AB107" s="43"/>
      <c r="AC107" s="45" t="str">
        <f t="shared" si="14"/>
        <v>pendiente</v>
      </c>
      <c r="AD107" s="45" t="str">
        <f t="shared" si="15"/>
        <v>pendiente</v>
      </c>
      <c r="AE107" s="45" t="str">
        <f t="shared" si="16"/>
        <v>pendiente</v>
      </c>
      <c r="AF107" s="45" t="str">
        <f t="shared" si="17"/>
        <v>pendiente</v>
      </c>
      <c r="AG107" s="45" t="str">
        <f t="shared" si="18"/>
        <v>insuficiente</v>
      </c>
      <c r="AH107" s="45" t="str">
        <f t="shared" si="19"/>
        <v>pendiente</v>
      </c>
      <c r="AI107" s="45" t="str">
        <f t="shared" si="20"/>
        <v>SI</v>
      </c>
      <c r="AJ107" s="45" t="str">
        <f t="shared" si="21"/>
        <v>obligatorio</v>
      </c>
      <c r="AK107" s="45" t="str">
        <f t="shared" si="22"/>
        <v>SI</v>
      </c>
      <c r="AL107" s="45"/>
      <c r="AM107" s="45"/>
      <c r="AN107" s="45"/>
      <c r="AO107" s="49"/>
      <c r="AP107" s="45"/>
      <c r="AQ107" s="45"/>
      <c r="AR107" s="45" t="str">
        <f t="shared" si="23"/>
        <v>NO</v>
      </c>
      <c r="AS107" s="43"/>
    </row>
    <row r="108" spans="1:45" ht="44" customHeight="1">
      <c r="A108" s="45">
        <v>100</v>
      </c>
      <c r="B108" s="43" t="str">
        <f>'T01 revisión'!A104</f>
        <v>jaffeconcrete</v>
      </c>
      <c r="C108" s="43" t="str">
        <f>'T01 revisión'!B104</f>
        <v>Concrete Jungles: Urban Pollution and the Politics of Difference in the Caribbean</v>
      </c>
      <c r="D108" s="43" t="str">
        <f>'T01 revisión'!C104</f>
        <v>Rivke Jaffe</v>
      </c>
      <c r="E108" s="43" t="str">
        <f>'T01 revisión'!D104</f>
        <v>DE01</v>
      </c>
      <c r="F108" s="43" t="str">
        <f>'T01 revisión'!E104</f>
        <v>neerlandés/anglófono (Curazao/Jamaica)</v>
      </c>
      <c r="G108" s="43" t="str">
        <f>'T01 revisión'!H104</f>
        <v>múltiples lenguas; varias procedencias o territorios; función territorial no demostrada</v>
      </c>
      <c r="H108" s="45" t="str">
        <f t="shared" si="12"/>
        <v>B</v>
      </c>
      <c r="I108" s="45"/>
      <c r="J108" s="45" t="str">
        <f t="shared" si="13"/>
        <v>GPT + Claude ciegos; control abreviado</v>
      </c>
      <c r="K108" s="43"/>
      <c r="L108" s="43"/>
      <c r="M108" s="43"/>
      <c r="N108" s="43"/>
      <c r="O108" s="43"/>
      <c r="P108" s="43"/>
      <c r="Q108" s="43"/>
      <c r="R108" s="43"/>
      <c r="S108" s="43"/>
      <c r="T108" s="43"/>
      <c r="U108" s="43"/>
      <c r="V108" s="43"/>
      <c r="W108" s="43"/>
      <c r="X108" s="43"/>
      <c r="Y108" s="43"/>
      <c r="Z108" s="43"/>
      <c r="AA108" s="43"/>
      <c r="AB108" s="43"/>
      <c r="AC108" s="45" t="str">
        <f t="shared" si="14"/>
        <v>pendiente</v>
      </c>
      <c r="AD108" s="45" t="str">
        <f t="shared" si="15"/>
        <v>pendiente</v>
      </c>
      <c r="AE108" s="45" t="str">
        <f t="shared" si="16"/>
        <v>pendiente</v>
      </c>
      <c r="AF108" s="45" t="str">
        <f t="shared" si="17"/>
        <v>pendiente</v>
      </c>
      <c r="AG108" s="45" t="str">
        <f t="shared" si="18"/>
        <v>insuficiente</v>
      </c>
      <c r="AH108" s="45" t="str">
        <f t="shared" si="19"/>
        <v>pendiente</v>
      </c>
      <c r="AI108" s="45" t="str">
        <f t="shared" si="20"/>
        <v>SI</v>
      </c>
      <c r="AJ108" s="45" t="str">
        <f t="shared" si="21"/>
        <v>abreviado</v>
      </c>
      <c r="AK108" s="45" t="str">
        <f t="shared" si="22"/>
        <v>NO</v>
      </c>
      <c r="AL108" s="45"/>
      <c r="AM108" s="45"/>
      <c r="AN108" s="45"/>
      <c r="AO108" s="49"/>
      <c r="AP108" s="45"/>
      <c r="AQ108" s="45"/>
      <c r="AR108" s="45" t="str">
        <f t="shared" si="23"/>
        <v>NO</v>
      </c>
      <c r="AS108" s="43"/>
    </row>
    <row r="109" spans="1:45" ht="44" customHeight="1">
      <c r="A109" s="45">
        <v>101</v>
      </c>
      <c r="B109" s="43" t="str">
        <f>'T01 revisión'!A105</f>
        <v>pardomosquerahoffmann</v>
      </c>
      <c r="C109" s="43" t="str">
        <f>'T01 revisión'!B105</f>
        <v>Afrodescendientes en las Américas: trayectorias sociales e identitarias. 150 años de la abolición de la esclavitud en Colombia</v>
      </c>
      <c r="D109" s="43" t="str">
        <f>'T01 revisión'!C105</f>
        <v>Mauricio Pardo, Claudia Mosquera y Odile Hoffmann (eds.)</v>
      </c>
      <c r="E109" s="43" t="str">
        <f>'T01 revisión'!D105</f>
        <v>A03</v>
      </c>
      <c r="F109" s="43" t="str">
        <f>'T01 revisión'!E105</f>
        <v>hispano (Colombia/Francia)</v>
      </c>
      <c r="G109" s="43" t="str">
        <f>'T01 revisión'!H105</f>
        <v>varias procedencias o territorios; función territorial no demostrada</v>
      </c>
      <c r="H109" s="45" t="str">
        <f t="shared" si="12"/>
        <v>B</v>
      </c>
      <c r="I109" s="45"/>
      <c r="J109" s="45" t="str">
        <f t="shared" si="13"/>
        <v>GPT + Claude ciegos; control abreviado</v>
      </c>
      <c r="K109" s="43"/>
      <c r="L109" s="43"/>
      <c r="M109" s="43"/>
      <c r="N109" s="43"/>
      <c r="O109" s="43"/>
      <c r="P109" s="43"/>
      <c r="Q109" s="43"/>
      <c r="R109" s="43"/>
      <c r="S109" s="43"/>
      <c r="T109" s="43"/>
      <c r="U109" s="43"/>
      <c r="V109" s="43"/>
      <c r="W109" s="43"/>
      <c r="X109" s="43"/>
      <c r="Y109" s="43"/>
      <c r="Z109" s="43"/>
      <c r="AA109" s="43"/>
      <c r="AB109" s="43"/>
      <c r="AC109" s="45" t="str">
        <f t="shared" si="14"/>
        <v>pendiente</v>
      </c>
      <c r="AD109" s="45" t="str">
        <f t="shared" si="15"/>
        <v>pendiente</v>
      </c>
      <c r="AE109" s="45" t="str">
        <f t="shared" si="16"/>
        <v>pendiente</v>
      </c>
      <c r="AF109" s="45" t="str">
        <f t="shared" si="17"/>
        <v>pendiente</v>
      </c>
      <c r="AG109" s="45" t="str">
        <f t="shared" si="18"/>
        <v>insuficiente</v>
      </c>
      <c r="AH109" s="45" t="str">
        <f t="shared" si="19"/>
        <v>pendiente</v>
      </c>
      <c r="AI109" s="45" t="str">
        <f t="shared" si="20"/>
        <v>SI</v>
      </c>
      <c r="AJ109" s="45" t="str">
        <f t="shared" si="21"/>
        <v>abreviado</v>
      </c>
      <c r="AK109" s="45" t="str">
        <f t="shared" si="22"/>
        <v>NO</v>
      </c>
      <c r="AL109" s="45"/>
      <c r="AM109" s="45"/>
      <c r="AN109" s="45"/>
      <c r="AO109" s="49"/>
      <c r="AP109" s="45"/>
      <c r="AQ109" s="45"/>
      <c r="AR109" s="45" t="str">
        <f t="shared" si="23"/>
        <v>NO</v>
      </c>
      <c r="AS109" s="43"/>
    </row>
    <row r="110" spans="1:45" ht="44" customHeight="1">
      <c r="A110" s="45">
        <v>102</v>
      </c>
      <c r="B110" s="43" t="str">
        <f>'T01 revisión'!A106</f>
        <v>scher</v>
      </c>
      <c r="C110" s="43" t="str">
        <f>'T01 revisión'!B106</f>
        <v>Carnival and the Formation of a Caribbean Transnation</v>
      </c>
      <c r="D110" s="43" t="str">
        <f>'T01 revisión'!C106</f>
        <v>Philip W. Scher</v>
      </c>
      <c r="E110" s="43" t="str">
        <f>'T01 revisión'!D106</f>
        <v>B04</v>
      </c>
      <c r="F110" s="43" t="str">
        <f>'T01 revisión'!E106</f>
        <v>anglófono (Trinidad/EE.UU.)</v>
      </c>
      <c r="G110" s="43" t="str">
        <f>'T01 revisión'!H106</f>
        <v>varias procedencias o territorios; abreviaturas por normalizar; función territorial no demostrada</v>
      </c>
      <c r="H110" s="45" t="str">
        <f t="shared" si="12"/>
        <v>B</v>
      </c>
      <c r="I110" s="45"/>
      <c r="J110" s="45" t="str">
        <f t="shared" si="13"/>
        <v>GPT + Claude ciegos; control abreviado</v>
      </c>
      <c r="K110" s="43"/>
      <c r="L110" s="43"/>
      <c r="M110" s="43"/>
      <c r="N110" s="43"/>
      <c r="O110" s="43"/>
      <c r="P110" s="43"/>
      <c r="Q110" s="43"/>
      <c r="R110" s="43"/>
      <c r="S110" s="43"/>
      <c r="T110" s="43"/>
      <c r="U110" s="43"/>
      <c r="V110" s="43"/>
      <c r="W110" s="43"/>
      <c r="X110" s="43"/>
      <c r="Y110" s="43"/>
      <c r="Z110" s="43"/>
      <c r="AA110" s="43"/>
      <c r="AB110" s="43"/>
      <c r="AC110" s="45" t="str">
        <f t="shared" si="14"/>
        <v>pendiente</v>
      </c>
      <c r="AD110" s="45" t="str">
        <f t="shared" si="15"/>
        <v>pendiente</v>
      </c>
      <c r="AE110" s="45" t="str">
        <f t="shared" si="16"/>
        <v>pendiente</v>
      </c>
      <c r="AF110" s="45" t="str">
        <f t="shared" si="17"/>
        <v>pendiente</v>
      </c>
      <c r="AG110" s="45" t="str">
        <f t="shared" si="18"/>
        <v>insuficiente</v>
      </c>
      <c r="AH110" s="45" t="str">
        <f t="shared" si="19"/>
        <v>pendiente</v>
      </c>
      <c r="AI110" s="45" t="str">
        <f t="shared" si="20"/>
        <v>SI</v>
      </c>
      <c r="AJ110" s="45" t="str">
        <f t="shared" si="21"/>
        <v>abreviado</v>
      </c>
      <c r="AK110" s="45" t="str">
        <f t="shared" si="22"/>
        <v>NO</v>
      </c>
      <c r="AL110" s="45"/>
      <c r="AM110" s="45"/>
      <c r="AN110" s="45"/>
      <c r="AO110" s="49"/>
      <c r="AP110" s="45"/>
      <c r="AQ110" s="45"/>
      <c r="AR110" s="45" t="str">
        <f t="shared" si="23"/>
        <v>NO</v>
      </c>
      <c r="AS110" s="43"/>
    </row>
    <row r="111" spans="1:45" ht="44" customHeight="1">
      <c r="A111" s="45">
        <v>103</v>
      </c>
      <c r="B111" s="43" t="str">
        <f>'T01 revisión'!A107</f>
        <v>hallafricanslouisiana</v>
      </c>
      <c r="C111" s="43" t="str">
        <f>'T01 revisión'!B107</f>
        <v>Africans in Colonial Louisiana: The Development of Afro-Creole Culture in the Eighteenth Century</v>
      </c>
      <c r="D111" s="43" t="str">
        <f>'T01 revisión'!C107</f>
        <v>Gwendolyn Midlo Hall</v>
      </c>
      <c r="E111" s="43" t="str">
        <f>'T01 revisión'!D107</f>
        <v>B04</v>
      </c>
      <c r="F111" s="43" t="str">
        <f>'T01 revisión'!E107</f>
        <v>francófono/anglófono (Luisiana)</v>
      </c>
      <c r="G111" s="43" t="str">
        <f>'T01 revisión'!H107</f>
        <v>múltiples lenguas; función territorial no demostrada</v>
      </c>
      <c r="H111" s="45" t="str">
        <f t="shared" si="12"/>
        <v>B</v>
      </c>
      <c r="I111" s="45"/>
      <c r="J111" s="45" t="str">
        <f t="shared" si="13"/>
        <v>GPT + Claude ciegos; control abreviado</v>
      </c>
      <c r="K111" s="43"/>
      <c r="L111" s="43"/>
      <c r="M111" s="43"/>
      <c r="N111" s="43"/>
      <c r="O111" s="43"/>
      <c r="P111" s="43"/>
      <c r="Q111" s="43"/>
      <c r="R111" s="43"/>
      <c r="S111" s="43"/>
      <c r="T111" s="43"/>
      <c r="U111" s="43"/>
      <c r="V111" s="43"/>
      <c r="W111" s="43"/>
      <c r="X111" s="43"/>
      <c r="Y111" s="43"/>
      <c r="Z111" s="43"/>
      <c r="AA111" s="43"/>
      <c r="AB111" s="43"/>
      <c r="AC111" s="45" t="str">
        <f t="shared" si="14"/>
        <v>pendiente</v>
      </c>
      <c r="AD111" s="45" t="str">
        <f t="shared" si="15"/>
        <v>pendiente</v>
      </c>
      <c r="AE111" s="45" t="str">
        <f t="shared" si="16"/>
        <v>pendiente</v>
      </c>
      <c r="AF111" s="45" t="str">
        <f t="shared" si="17"/>
        <v>pendiente</v>
      </c>
      <c r="AG111" s="45" t="str">
        <f t="shared" si="18"/>
        <v>insuficiente</v>
      </c>
      <c r="AH111" s="45" t="str">
        <f t="shared" si="19"/>
        <v>pendiente</v>
      </c>
      <c r="AI111" s="45" t="str">
        <f t="shared" si="20"/>
        <v>SI</v>
      </c>
      <c r="AJ111" s="45" t="str">
        <f t="shared" si="21"/>
        <v>abreviado</v>
      </c>
      <c r="AK111" s="45" t="str">
        <f t="shared" si="22"/>
        <v>NO</v>
      </c>
      <c r="AL111" s="45"/>
      <c r="AM111" s="45"/>
      <c r="AN111" s="45"/>
      <c r="AO111" s="49"/>
      <c r="AP111" s="45"/>
      <c r="AQ111" s="45"/>
      <c r="AR111" s="45" t="str">
        <f t="shared" si="23"/>
        <v>NO</v>
      </c>
      <c r="AS111" s="43"/>
    </row>
    <row r="112" spans="1:45" ht="44" customHeight="1">
      <c r="A112" s="45">
        <v>104</v>
      </c>
      <c r="B112" s="43" t="str">
        <f>'T01 revisión'!A108</f>
        <v>creolenieworleans</v>
      </c>
      <c r="C112" s="43" t="str">
        <f>'T01 revisión'!B108</f>
        <v>Creole New Orleans: Race and Americanization</v>
      </c>
      <c r="D112" s="43" t="str">
        <f>'T01 revisión'!C108</f>
        <v>Arnold R. Hirsch y Joseph Logsdon (eds.)</v>
      </c>
      <c r="E112" s="43" t="str">
        <f>'T01 revisión'!D108</f>
        <v>B04</v>
      </c>
      <c r="F112" s="43" t="str">
        <f>'T01 revisión'!E108</f>
        <v>francófono/anglófono (Luisiana)</v>
      </c>
      <c r="G112" s="43" t="str">
        <f>'T01 revisión'!H108</f>
        <v>múltiples lenguas; función territorial no demostrada</v>
      </c>
      <c r="H112" s="45" t="str">
        <f t="shared" si="12"/>
        <v>B</v>
      </c>
      <c r="I112" s="45"/>
      <c r="J112" s="45" t="str">
        <f t="shared" si="13"/>
        <v>GPT + Claude ciegos; control abreviado</v>
      </c>
      <c r="K112" s="43"/>
      <c r="L112" s="43"/>
      <c r="M112" s="43"/>
      <c r="N112" s="43"/>
      <c r="O112" s="43"/>
      <c r="P112" s="43"/>
      <c r="Q112" s="43"/>
      <c r="R112" s="43"/>
      <c r="S112" s="43"/>
      <c r="T112" s="43"/>
      <c r="U112" s="43"/>
      <c r="V112" s="43"/>
      <c r="W112" s="43"/>
      <c r="X112" s="43"/>
      <c r="Y112" s="43"/>
      <c r="Z112" s="43"/>
      <c r="AA112" s="43"/>
      <c r="AB112" s="43"/>
      <c r="AC112" s="45" t="str">
        <f t="shared" si="14"/>
        <v>pendiente</v>
      </c>
      <c r="AD112" s="45" t="str">
        <f t="shared" si="15"/>
        <v>pendiente</v>
      </c>
      <c r="AE112" s="45" t="str">
        <f t="shared" si="16"/>
        <v>pendiente</v>
      </c>
      <c r="AF112" s="45" t="str">
        <f t="shared" si="17"/>
        <v>pendiente</v>
      </c>
      <c r="AG112" s="45" t="str">
        <f t="shared" si="18"/>
        <v>insuficiente</v>
      </c>
      <c r="AH112" s="45" t="str">
        <f t="shared" si="19"/>
        <v>pendiente</v>
      </c>
      <c r="AI112" s="45" t="str">
        <f t="shared" si="20"/>
        <v>SI</v>
      </c>
      <c r="AJ112" s="45" t="str">
        <f t="shared" si="21"/>
        <v>abreviado</v>
      </c>
      <c r="AK112" s="45" t="str">
        <f t="shared" si="22"/>
        <v>NO</v>
      </c>
      <c r="AL112" s="45"/>
      <c r="AM112" s="45"/>
      <c r="AN112" s="45"/>
      <c r="AO112" s="49"/>
      <c r="AP112" s="45"/>
      <c r="AQ112" s="45"/>
      <c r="AR112" s="45" t="str">
        <f t="shared" si="23"/>
        <v>NO</v>
      </c>
      <c r="AS112" s="43"/>
    </row>
    <row r="113" spans="1:45" ht="44" customHeight="1">
      <c r="A113" s="45">
        <v>105</v>
      </c>
      <c r="B113" s="43" t="str">
        <f>'T01 revisión'!A109</f>
        <v>ramsaranlewis</v>
      </c>
      <c r="C113" s="43" t="str">
        <f>'T01 revisión'!B109</f>
        <v>Caribbean Masala: Indian Identity in Guyana and Trinidad</v>
      </c>
      <c r="D113" s="43" t="str">
        <f>'T01 revisión'!C109</f>
        <v>Dave Ramsaran y Linden F. Lewis</v>
      </c>
      <c r="E113" s="43" t="str">
        <f>'T01 revisión'!D109</f>
        <v>B04</v>
      </c>
      <c r="F113" s="43" t="str">
        <f>'T01 revisión'!E109</f>
        <v>anglófono (Guyana/Trinidad)</v>
      </c>
      <c r="G113" s="43" t="str">
        <f>'T01 revisión'!H109</f>
        <v>varias procedencias o territorios; función territorial no demostrada</v>
      </c>
      <c r="H113" s="45" t="str">
        <f t="shared" si="12"/>
        <v>B</v>
      </c>
      <c r="I113" s="45"/>
      <c r="J113" s="45" t="str">
        <f t="shared" si="13"/>
        <v>GPT + Claude ciegos; control abreviado</v>
      </c>
      <c r="K113" s="43"/>
      <c r="L113" s="43"/>
      <c r="M113" s="43"/>
      <c r="N113" s="43"/>
      <c r="O113" s="43"/>
      <c r="P113" s="43"/>
      <c r="Q113" s="43"/>
      <c r="R113" s="43"/>
      <c r="S113" s="43"/>
      <c r="T113" s="43"/>
      <c r="U113" s="43"/>
      <c r="V113" s="43"/>
      <c r="W113" s="43"/>
      <c r="X113" s="43"/>
      <c r="Y113" s="43"/>
      <c r="Z113" s="43"/>
      <c r="AA113" s="43"/>
      <c r="AB113" s="43"/>
      <c r="AC113" s="45" t="str">
        <f t="shared" si="14"/>
        <v>pendiente</v>
      </c>
      <c r="AD113" s="45" t="str">
        <f t="shared" si="15"/>
        <v>pendiente</v>
      </c>
      <c r="AE113" s="45" t="str">
        <f t="shared" si="16"/>
        <v>pendiente</v>
      </c>
      <c r="AF113" s="45" t="str">
        <f t="shared" si="17"/>
        <v>pendiente</v>
      </c>
      <c r="AG113" s="45" t="str">
        <f t="shared" si="18"/>
        <v>insuficiente</v>
      </c>
      <c r="AH113" s="45" t="str">
        <f t="shared" si="19"/>
        <v>pendiente</v>
      </c>
      <c r="AI113" s="45" t="str">
        <f t="shared" si="20"/>
        <v>SI</v>
      </c>
      <c r="AJ113" s="45" t="str">
        <f t="shared" si="21"/>
        <v>abreviado</v>
      </c>
      <c r="AK113" s="45" t="str">
        <f t="shared" si="22"/>
        <v>NO</v>
      </c>
      <c r="AL113" s="45"/>
      <c r="AM113" s="45"/>
      <c r="AN113" s="45"/>
      <c r="AO113" s="49"/>
      <c r="AP113" s="45"/>
      <c r="AQ113" s="45"/>
      <c r="AR113" s="45" t="str">
        <f t="shared" si="23"/>
        <v>NO</v>
      </c>
      <c r="AS113" s="43"/>
    </row>
    <row r="114" spans="1:45" ht="44" customHeight="1">
      <c r="A114" s="45">
        <v>106</v>
      </c>
      <c r="B114" s="43" t="str">
        <f>'T01 revisión'!A110</f>
        <v>gonzalezsojourners</v>
      </c>
      <c r="C114" s="43" t="str">
        <f>'T01 revisión'!B110</f>
        <v>Sojourners of the Caribbean: Ethnogenesis and Ethnohistory of the Garifuna</v>
      </c>
      <c r="D114" s="43" t="str">
        <f>'T01 revisión'!C110</f>
        <v>Nancie L. González</v>
      </c>
      <c r="E114" s="43" t="str">
        <f>'T01 revisión'!D110</f>
        <v>B02</v>
      </c>
      <c r="F114" s="43" t="str">
        <f>'T01 revisión'!E110</f>
        <v>anglófono (Belice/Honduras)</v>
      </c>
      <c r="G114" s="43" t="str">
        <f>'T01 revisión'!H110</f>
        <v>varias procedencias o territorios; función territorial no demostrada</v>
      </c>
      <c r="H114" s="45" t="str">
        <f t="shared" si="12"/>
        <v>B</v>
      </c>
      <c r="I114" s="45"/>
      <c r="J114" s="45" t="str">
        <f t="shared" si="13"/>
        <v>GPT + Claude ciegos; control abreviado</v>
      </c>
      <c r="K114" s="43"/>
      <c r="L114" s="43"/>
      <c r="M114" s="43"/>
      <c r="N114" s="43"/>
      <c r="O114" s="43"/>
      <c r="P114" s="43"/>
      <c r="Q114" s="43"/>
      <c r="R114" s="43"/>
      <c r="S114" s="43"/>
      <c r="T114" s="43"/>
      <c r="U114" s="43"/>
      <c r="V114" s="43"/>
      <c r="W114" s="43"/>
      <c r="X114" s="43"/>
      <c r="Y114" s="43"/>
      <c r="Z114" s="43"/>
      <c r="AA114" s="43"/>
      <c r="AB114" s="43"/>
      <c r="AC114" s="45" t="str">
        <f t="shared" si="14"/>
        <v>pendiente</v>
      </c>
      <c r="AD114" s="45" t="str">
        <f t="shared" si="15"/>
        <v>pendiente</v>
      </c>
      <c r="AE114" s="45" t="str">
        <f t="shared" si="16"/>
        <v>pendiente</v>
      </c>
      <c r="AF114" s="45" t="str">
        <f t="shared" si="17"/>
        <v>pendiente</v>
      </c>
      <c r="AG114" s="45" t="str">
        <f t="shared" si="18"/>
        <v>insuficiente</v>
      </c>
      <c r="AH114" s="45" t="str">
        <f t="shared" si="19"/>
        <v>pendiente</v>
      </c>
      <c r="AI114" s="45" t="str">
        <f t="shared" si="20"/>
        <v>SI</v>
      </c>
      <c r="AJ114" s="45" t="str">
        <f t="shared" si="21"/>
        <v>abreviado</v>
      </c>
      <c r="AK114" s="45" t="str">
        <f t="shared" si="22"/>
        <v>NO</v>
      </c>
      <c r="AL114" s="45"/>
      <c r="AM114" s="45"/>
      <c r="AN114" s="45"/>
      <c r="AO114" s="49"/>
      <c r="AP114" s="45"/>
      <c r="AQ114" s="45"/>
      <c r="AR114" s="45" t="str">
        <f t="shared" si="23"/>
        <v>NO</v>
      </c>
      <c r="AS114" s="43"/>
    </row>
    <row r="115" spans="1:45" ht="44" customHeight="1">
      <c r="A115" s="45">
        <v>107</v>
      </c>
      <c r="B115" s="43" t="str">
        <f>'T01 revisión'!A111</f>
        <v>andersonblackindigenous</v>
      </c>
      <c r="C115" s="43" t="str">
        <f>'T01 revisión'!B111</f>
        <v>Black and Indigenous: Garifuna Activism and Consumer Culture in Honduras</v>
      </c>
      <c r="D115" s="43" t="str">
        <f>'T01 revisión'!C111</f>
        <v>Mark Anderson</v>
      </c>
      <c r="E115" s="43" t="str">
        <f>'T01 revisión'!D111</f>
        <v>B05</v>
      </c>
      <c r="F115" s="43" t="str">
        <f>'T01 revisión'!E111</f>
        <v>anglófono (Honduras)</v>
      </c>
      <c r="G115" s="43" t="str">
        <f>'T01 revisión'!H111</f>
        <v>función territorial no demostrada</v>
      </c>
      <c r="H115" s="45" t="str">
        <f t="shared" si="12"/>
        <v>A</v>
      </c>
      <c r="I115" s="45"/>
      <c r="J115" s="45" t="str">
        <f t="shared" si="13"/>
        <v>GPT + muestra Claude/humana</v>
      </c>
      <c r="K115" s="43"/>
      <c r="L115" s="43"/>
      <c r="M115" s="43"/>
      <c r="N115" s="43"/>
      <c r="O115" s="43"/>
      <c r="P115" s="43"/>
      <c r="Q115" s="43"/>
      <c r="R115" s="43"/>
      <c r="S115" s="43"/>
      <c r="T115" s="43"/>
      <c r="U115" s="43"/>
      <c r="V115" s="43"/>
      <c r="W115" s="43"/>
      <c r="X115" s="43"/>
      <c r="Y115" s="43"/>
      <c r="Z115" s="43"/>
      <c r="AA115" s="43"/>
      <c r="AB115" s="43"/>
      <c r="AC115" s="45" t="str">
        <f t="shared" si="14"/>
        <v>pendiente</v>
      </c>
      <c r="AD115" s="45" t="str">
        <f t="shared" si="15"/>
        <v>pendiente</v>
      </c>
      <c r="AE115" s="45" t="str">
        <f t="shared" si="16"/>
        <v>pendiente</v>
      </c>
      <c r="AF115" s="45" t="str">
        <f t="shared" si="17"/>
        <v>pendiente</v>
      </c>
      <c r="AG115" s="45" t="str">
        <f t="shared" si="18"/>
        <v>insuficiente</v>
      </c>
      <c r="AH115" s="45" t="str">
        <f t="shared" si="19"/>
        <v>pendiente</v>
      </c>
      <c r="AI115" s="45" t="str">
        <f t="shared" si="20"/>
        <v>NO</v>
      </c>
      <c r="AJ115" s="45" t="str">
        <f t="shared" si="21"/>
        <v>NO</v>
      </c>
      <c r="AK115" s="45" t="str">
        <f t="shared" si="22"/>
        <v>NO</v>
      </c>
      <c r="AL115" s="45"/>
      <c r="AM115" s="45"/>
      <c r="AN115" s="45"/>
      <c r="AO115" s="49"/>
      <c r="AP115" s="45"/>
      <c r="AQ115" s="45"/>
      <c r="AR115" s="45" t="str">
        <f t="shared" si="23"/>
        <v>NO</v>
      </c>
      <c r="AS115" s="43"/>
    </row>
    <row r="116" spans="1:45" ht="44" customHeight="1">
      <c r="A116" s="45">
        <v>108</v>
      </c>
      <c r="B116" s="43" t="str">
        <f>'T01 revisión'!A112</f>
        <v>munrohaitirising</v>
      </c>
      <c r="C116" s="43" t="str">
        <f>'T01 revisión'!B112</f>
        <v>Haiti Rising: Haitian History, Culture and the Earthquake of 2010</v>
      </c>
      <c r="D116" s="43" t="str">
        <f>'T01 revisión'!C112</f>
        <v>Martin Munro (ed.)</v>
      </c>
      <c r="E116" s="43" t="str">
        <f>'T01 revisión'!D112</f>
        <v>B03</v>
      </c>
      <c r="F116" s="43" t="str">
        <f>'T01 revisión'!E112</f>
        <v>anglófono/francófono (Haití)</v>
      </c>
      <c r="G116" s="43" t="str">
        <f>'T01 revisión'!H112</f>
        <v>múltiples lenguas; función territorial no demostrada</v>
      </c>
      <c r="H116" s="45" t="str">
        <f t="shared" si="12"/>
        <v>B</v>
      </c>
      <c r="I116" s="45"/>
      <c r="J116" s="45" t="str">
        <f t="shared" si="13"/>
        <v>GPT + Claude ciegos; control abreviado</v>
      </c>
      <c r="K116" s="43"/>
      <c r="L116" s="43"/>
      <c r="M116" s="43"/>
      <c r="N116" s="43"/>
      <c r="O116" s="43"/>
      <c r="P116" s="43"/>
      <c r="Q116" s="43"/>
      <c r="R116" s="43"/>
      <c r="S116" s="43"/>
      <c r="T116" s="43"/>
      <c r="U116" s="43"/>
      <c r="V116" s="43"/>
      <c r="W116" s="43"/>
      <c r="X116" s="43"/>
      <c r="Y116" s="43"/>
      <c r="Z116" s="43"/>
      <c r="AA116" s="43"/>
      <c r="AB116" s="43"/>
      <c r="AC116" s="45" t="str">
        <f t="shared" si="14"/>
        <v>pendiente</v>
      </c>
      <c r="AD116" s="45" t="str">
        <f t="shared" si="15"/>
        <v>pendiente</v>
      </c>
      <c r="AE116" s="45" t="str">
        <f t="shared" si="16"/>
        <v>pendiente</v>
      </c>
      <c r="AF116" s="45" t="str">
        <f t="shared" si="17"/>
        <v>pendiente</v>
      </c>
      <c r="AG116" s="45" t="str">
        <f t="shared" si="18"/>
        <v>insuficiente</v>
      </c>
      <c r="AH116" s="45" t="str">
        <f t="shared" si="19"/>
        <v>pendiente</v>
      </c>
      <c r="AI116" s="45" t="str">
        <f t="shared" si="20"/>
        <v>SI</v>
      </c>
      <c r="AJ116" s="45" t="str">
        <f t="shared" si="21"/>
        <v>abreviado</v>
      </c>
      <c r="AK116" s="45" t="str">
        <f t="shared" si="22"/>
        <v>NO</v>
      </c>
      <c r="AL116" s="45"/>
      <c r="AM116" s="45"/>
      <c r="AN116" s="45"/>
      <c r="AO116" s="49"/>
      <c r="AP116" s="45"/>
      <c r="AQ116" s="45"/>
      <c r="AR116" s="45" t="str">
        <f t="shared" si="23"/>
        <v>NO</v>
      </c>
      <c r="AS116" s="43"/>
    </row>
    <row r="117" spans="1:45" ht="44" customHeight="1">
      <c r="A117" s="45">
        <v>109</v>
      </c>
      <c r="B117" s="43" t="str">
        <f>'T01 revisión'!A113</f>
        <v>meniketinevis</v>
      </c>
      <c r="C117" s="43" t="str">
        <f>'T01 revisión'!B113</f>
        <v>Sugar Cane Capitalism and Environmental Transformation: An Archaeology of Colonial Nevis, West Indies</v>
      </c>
      <c r="D117" s="43" t="str">
        <f>'T01 revisión'!C113</f>
        <v>Marco G. Meniketti</v>
      </c>
      <c r="E117" s="43" t="str">
        <f>'T01 revisión'!D113</f>
        <v>B02</v>
      </c>
      <c r="F117" s="43" t="str">
        <f>'T01 revisión'!E113</f>
        <v>anglófono (EE.UU.)</v>
      </c>
      <c r="G117" s="43" t="str">
        <f>'T01 revisión'!H113</f>
        <v>abreviaturas por normalizar; función territorial no demostrada</v>
      </c>
      <c r="H117" s="45" t="str">
        <f t="shared" si="12"/>
        <v>A</v>
      </c>
      <c r="I117" s="45"/>
      <c r="J117" s="45" t="str">
        <f t="shared" si="13"/>
        <v>GPT + muestra Claude/humana</v>
      </c>
      <c r="K117" s="43"/>
      <c r="L117" s="43"/>
      <c r="M117" s="43"/>
      <c r="N117" s="43"/>
      <c r="O117" s="43"/>
      <c r="P117" s="43"/>
      <c r="Q117" s="43"/>
      <c r="R117" s="43"/>
      <c r="S117" s="43"/>
      <c r="T117" s="43"/>
      <c r="U117" s="43"/>
      <c r="V117" s="43"/>
      <c r="W117" s="43"/>
      <c r="X117" s="43"/>
      <c r="Y117" s="43"/>
      <c r="Z117" s="43"/>
      <c r="AA117" s="43"/>
      <c r="AB117" s="43"/>
      <c r="AC117" s="45" t="str">
        <f t="shared" si="14"/>
        <v>pendiente</v>
      </c>
      <c r="AD117" s="45" t="str">
        <f t="shared" si="15"/>
        <v>pendiente</v>
      </c>
      <c r="AE117" s="45" t="str">
        <f t="shared" si="16"/>
        <v>pendiente</v>
      </c>
      <c r="AF117" s="45" t="str">
        <f t="shared" si="17"/>
        <v>pendiente</v>
      </c>
      <c r="AG117" s="45" t="str">
        <f t="shared" si="18"/>
        <v>insuficiente</v>
      </c>
      <c r="AH117" s="45" t="str">
        <f t="shared" si="19"/>
        <v>pendiente</v>
      </c>
      <c r="AI117" s="45" t="str">
        <f t="shared" si="20"/>
        <v>NO</v>
      </c>
      <c r="AJ117" s="45" t="str">
        <f t="shared" si="21"/>
        <v>NO</v>
      </c>
      <c r="AK117" s="45" t="str">
        <f t="shared" si="22"/>
        <v>NO</v>
      </c>
      <c r="AL117" s="45"/>
      <c r="AM117" s="45"/>
      <c r="AN117" s="45"/>
      <c r="AO117" s="49"/>
      <c r="AP117" s="45"/>
      <c r="AQ117" s="45"/>
      <c r="AR117" s="45" t="str">
        <f t="shared" si="23"/>
        <v>NO</v>
      </c>
      <c r="AS117" s="43"/>
    </row>
    <row r="118" spans="1:45" ht="44" customHeight="1">
      <c r="A118" s="45">
        <v>110</v>
      </c>
      <c r="B118" s="43" t="str">
        <f>'T01 revisión'!A114</f>
        <v>handlerlangebarbados</v>
      </c>
      <c r="C118" s="43" t="str">
        <f>'T01 revisión'!B114</f>
        <v>Plantation Slavery in Barbados: An Archaeological and Historical Investigation</v>
      </c>
      <c r="D118" s="43" t="str">
        <f>'T01 revisión'!C114</f>
        <v>Jerome S. Handler y Frederick W. Lange</v>
      </c>
      <c r="E118" s="43" t="str">
        <f>'T01 revisión'!D114</f>
        <v>A02</v>
      </c>
      <c r="F118" s="43" t="str">
        <f>'T01 revisión'!E114</f>
        <v>anglófono (EE.UU.)</v>
      </c>
      <c r="G118" s="43" t="str">
        <f>'T01 revisión'!H114</f>
        <v>abreviaturas por normalizar; función territorial no demostrada</v>
      </c>
      <c r="H118" s="45" t="str">
        <f t="shared" si="12"/>
        <v>A</v>
      </c>
      <c r="I118" s="45"/>
      <c r="J118" s="45" t="str">
        <f t="shared" si="13"/>
        <v>GPT + muestra Claude/humana</v>
      </c>
      <c r="K118" s="43"/>
      <c r="L118" s="43"/>
      <c r="M118" s="43"/>
      <c r="N118" s="43"/>
      <c r="O118" s="43"/>
      <c r="P118" s="43"/>
      <c r="Q118" s="43"/>
      <c r="R118" s="43"/>
      <c r="S118" s="43"/>
      <c r="T118" s="43"/>
      <c r="U118" s="43"/>
      <c r="V118" s="43"/>
      <c r="W118" s="43"/>
      <c r="X118" s="43"/>
      <c r="Y118" s="43"/>
      <c r="Z118" s="43"/>
      <c r="AA118" s="43"/>
      <c r="AB118" s="43"/>
      <c r="AC118" s="45" t="str">
        <f t="shared" si="14"/>
        <v>pendiente</v>
      </c>
      <c r="AD118" s="45" t="str">
        <f t="shared" si="15"/>
        <v>pendiente</v>
      </c>
      <c r="AE118" s="45" t="str">
        <f t="shared" si="16"/>
        <v>pendiente</v>
      </c>
      <c r="AF118" s="45" t="str">
        <f t="shared" si="17"/>
        <v>pendiente</v>
      </c>
      <c r="AG118" s="45" t="str">
        <f t="shared" si="18"/>
        <v>insuficiente</v>
      </c>
      <c r="AH118" s="45" t="str">
        <f t="shared" si="19"/>
        <v>pendiente</v>
      </c>
      <c r="AI118" s="45" t="str">
        <f t="shared" si="20"/>
        <v>NO</v>
      </c>
      <c r="AJ118" s="45" t="str">
        <f t="shared" si="21"/>
        <v>muestra</v>
      </c>
      <c r="AK118" s="45" t="str">
        <f t="shared" si="22"/>
        <v>NO</v>
      </c>
      <c r="AL118" s="45"/>
      <c r="AM118" s="45"/>
      <c r="AN118" s="45"/>
      <c r="AO118" s="49"/>
      <c r="AP118" s="45"/>
      <c r="AQ118" s="45"/>
      <c r="AR118" s="45" t="str">
        <f t="shared" si="23"/>
        <v>NO</v>
      </c>
      <c r="AS118" s="43"/>
    </row>
    <row r="119" spans="1:45" ht="44" customHeight="1">
      <c r="A119" s="45">
        <v>111</v>
      </c>
      <c r="B119" s="43" t="str">
        <f>'T01 revisión'!A115</f>
        <v>kutzinskisugar</v>
      </c>
      <c r="C119" s="43" t="str">
        <f>'T01 revisión'!B115</f>
        <v>Sugar's Secrets: Race and the Erotics of Cuban Nationalism</v>
      </c>
      <c r="D119" s="43" t="str">
        <f>'T01 revisión'!C115</f>
        <v>Vera M. Kutzinski</v>
      </c>
      <c r="E119" s="43" t="str">
        <f>'T01 revisión'!D115</f>
        <v>A01</v>
      </c>
      <c r="F119" s="43" t="str">
        <f>'T01 revisión'!E115</f>
        <v>anglófono (EE.UU.)</v>
      </c>
      <c r="G119" s="43" t="str">
        <f>'T01 revisión'!H115</f>
        <v>abreviaturas por normalizar; función territorial no demostrada</v>
      </c>
      <c r="H119" s="45" t="str">
        <f t="shared" si="12"/>
        <v>A</v>
      </c>
      <c r="I119" s="45"/>
      <c r="J119" s="45" t="str">
        <f t="shared" si="13"/>
        <v>GPT + muestra Claude/humana</v>
      </c>
      <c r="K119" s="43"/>
      <c r="L119" s="43"/>
      <c r="M119" s="43"/>
      <c r="N119" s="43"/>
      <c r="O119" s="43"/>
      <c r="P119" s="43"/>
      <c r="Q119" s="43"/>
      <c r="R119" s="43"/>
      <c r="S119" s="43"/>
      <c r="T119" s="43"/>
      <c r="U119" s="43"/>
      <c r="V119" s="43"/>
      <c r="W119" s="43"/>
      <c r="X119" s="43"/>
      <c r="Y119" s="43"/>
      <c r="Z119" s="43"/>
      <c r="AA119" s="43"/>
      <c r="AB119" s="43"/>
      <c r="AC119" s="45" t="str">
        <f t="shared" si="14"/>
        <v>pendiente</v>
      </c>
      <c r="AD119" s="45" t="str">
        <f t="shared" si="15"/>
        <v>pendiente</v>
      </c>
      <c r="AE119" s="45" t="str">
        <f t="shared" si="16"/>
        <v>pendiente</v>
      </c>
      <c r="AF119" s="45" t="str">
        <f t="shared" si="17"/>
        <v>pendiente</v>
      </c>
      <c r="AG119" s="45" t="str">
        <f t="shared" si="18"/>
        <v>insuficiente</v>
      </c>
      <c r="AH119" s="45" t="str">
        <f t="shared" si="19"/>
        <v>pendiente</v>
      </c>
      <c r="AI119" s="45" t="str">
        <f t="shared" si="20"/>
        <v>NO</v>
      </c>
      <c r="AJ119" s="45" t="str">
        <f t="shared" si="21"/>
        <v>NO</v>
      </c>
      <c r="AK119" s="45" t="str">
        <f t="shared" si="22"/>
        <v>NO</v>
      </c>
      <c r="AL119" s="45"/>
      <c r="AM119" s="45"/>
      <c r="AN119" s="45"/>
      <c r="AO119" s="49"/>
      <c r="AP119" s="45"/>
      <c r="AQ119" s="45"/>
      <c r="AR119" s="45" t="str">
        <f t="shared" si="23"/>
        <v>NO</v>
      </c>
      <c r="AS119" s="43"/>
    </row>
    <row r="120" spans="1:45" ht="44" customHeight="1">
      <c r="A120" s="45">
        <v>112</v>
      </c>
      <c r="B120" s="43" t="str">
        <f>'T01 revisión'!A116</f>
        <v>curtispleasures</v>
      </c>
      <c r="C120" s="43" t="str">
        <f>'T01 revisión'!B116</f>
        <v>Pleasures and Perils: Girls' Sexuality in a Caribbean Consumer Culture</v>
      </c>
      <c r="D120" s="43" t="str">
        <f>'T01 revisión'!C116</f>
        <v>Debra Curtis</v>
      </c>
      <c r="E120" s="43" t="str">
        <f>'T01 revisión'!D116</f>
        <v>A01</v>
      </c>
      <c r="F120" s="43" t="str">
        <f>'T01 revisión'!E116</f>
        <v>anglófono (EE.UU.)</v>
      </c>
      <c r="G120" s="43" t="str">
        <f>'T01 revisión'!H116</f>
        <v>abreviaturas por normalizar; función territorial no demostrada</v>
      </c>
      <c r="H120" s="45" t="str">
        <f t="shared" si="12"/>
        <v>A</v>
      </c>
      <c r="I120" s="45"/>
      <c r="J120" s="45" t="str">
        <f t="shared" si="13"/>
        <v>GPT + muestra Claude/humana</v>
      </c>
      <c r="K120" s="43"/>
      <c r="L120" s="43"/>
      <c r="M120" s="43"/>
      <c r="N120" s="43"/>
      <c r="O120" s="43"/>
      <c r="P120" s="43"/>
      <c r="Q120" s="43"/>
      <c r="R120" s="43"/>
      <c r="S120" s="43"/>
      <c r="T120" s="43"/>
      <c r="U120" s="43"/>
      <c r="V120" s="43"/>
      <c r="W120" s="43"/>
      <c r="X120" s="43"/>
      <c r="Y120" s="43"/>
      <c r="Z120" s="43"/>
      <c r="AA120" s="43"/>
      <c r="AB120" s="43"/>
      <c r="AC120" s="45" t="str">
        <f t="shared" si="14"/>
        <v>pendiente</v>
      </c>
      <c r="AD120" s="45" t="str">
        <f t="shared" si="15"/>
        <v>pendiente</v>
      </c>
      <c r="AE120" s="45" t="str">
        <f t="shared" si="16"/>
        <v>pendiente</v>
      </c>
      <c r="AF120" s="45" t="str">
        <f t="shared" si="17"/>
        <v>pendiente</v>
      </c>
      <c r="AG120" s="45" t="str">
        <f t="shared" si="18"/>
        <v>insuficiente</v>
      </c>
      <c r="AH120" s="45" t="str">
        <f t="shared" si="19"/>
        <v>pendiente</v>
      </c>
      <c r="AI120" s="45" t="str">
        <f t="shared" si="20"/>
        <v>SI</v>
      </c>
      <c r="AJ120" s="45" t="str">
        <f t="shared" si="21"/>
        <v>NO</v>
      </c>
      <c r="AK120" s="45" t="str">
        <f t="shared" si="22"/>
        <v>NO</v>
      </c>
      <c r="AL120" s="45"/>
      <c r="AM120" s="45"/>
      <c r="AN120" s="45"/>
      <c r="AO120" s="49"/>
      <c r="AP120" s="45"/>
      <c r="AQ120" s="45"/>
      <c r="AR120" s="45" t="str">
        <f t="shared" si="23"/>
        <v>NO</v>
      </c>
      <c r="AS120" s="43"/>
    </row>
    <row r="121" spans="1:45" ht="44" customHeight="1">
      <c r="A121" s="45">
        <v>113</v>
      </c>
      <c r="B121" s="43" t="str">
        <f>'T01 revisión'!A117</f>
        <v>bebelgislerleonora</v>
      </c>
      <c r="C121" s="43" t="str">
        <f>'T01 revisión'!B117</f>
        <v>Léonora: The Buried Story of Guadeloupe</v>
      </c>
      <c r="D121" s="43" t="str">
        <f>'T01 revisión'!C117</f>
        <v>Dany Bébel-Gisler</v>
      </c>
      <c r="E121" s="43" t="str">
        <f>'T01 revisión'!D117</f>
        <v>B05</v>
      </c>
      <c r="F121" s="43" t="str">
        <f>'T01 revisión'!E117</f>
        <v>francófono (Guadalupe)</v>
      </c>
      <c r="G121" s="43" t="str">
        <f>'T01 revisión'!H117</f>
        <v>función territorial no demostrada</v>
      </c>
      <c r="H121" s="45" t="str">
        <f t="shared" si="12"/>
        <v>A</v>
      </c>
      <c r="I121" s="45"/>
      <c r="J121" s="45" t="str">
        <f t="shared" si="13"/>
        <v>GPT + muestra Claude/humana</v>
      </c>
      <c r="K121" s="43"/>
      <c r="L121" s="43"/>
      <c r="M121" s="43"/>
      <c r="N121" s="43"/>
      <c r="O121" s="43"/>
      <c r="P121" s="43"/>
      <c r="Q121" s="43"/>
      <c r="R121" s="43"/>
      <c r="S121" s="43"/>
      <c r="T121" s="43"/>
      <c r="U121" s="43"/>
      <c r="V121" s="43"/>
      <c r="W121" s="43"/>
      <c r="X121" s="43"/>
      <c r="Y121" s="43"/>
      <c r="Z121" s="43"/>
      <c r="AA121" s="43"/>
      <c r="AB121" s="43"/>
      <c r="AC121" s="45" t="str">
        <f t="shared" si="14"/>
        <v>pendiente</v>
      </c>
      <c r="AD121" s="45" t="str">
        <f t="shared" si="15"/>
        <v>pendiente</v>
      </c>
      <c r="AE121" s="45" t="str">
        <f t="shared" si="16"/>
        <v>pendiente</v>
      </c>
      <c r="AF121" s="45" t="str">
        <f t="shared" si="17"/>
        <v>pendiente</v>
      </c>
      <c r="AG121" s="45" t="str">
        <f t="shared" si="18"/>
        <v>insuficiente</v>
      </c>
      <c r="AH121" s="45" t="str">
        <f t="shared" si="19"/>
        <v>pendiente</v>
      </c>
      <c r="AI121" s="45" t="str">
        <f t="shared" si="20"/>
        <v>NO</v>
      </c>
      <c r="AJ121" s="45" t="str">
        <f t="shared" si="21"/>
        <v>NO</v>
      </c>
      <c r="AK121" s="45" t="str">
        <f t="shared" si="22"/>
        <v>NO</v>
      </c>
      <c r="AL121" s="45"/>
      <c r="AM121" s="45"/>
      <c r="AN121" s="45"/>
      <c r="AO121" s="49"/>
      <c r="AP121" s="45"/>
      <c r="AQ121" s="45"/>
      <c r="AR121" s="45" t="str">
        <f t="shared" si="23"/>
        <v>NO</v>
      </c>
      <c r="AS121" s="43"/>
    </row>
    <row r="122" spans="1:45" ht="44" customHeight="1">
      <c r="A122" s="45">
        <v>114</v>
      </c>
      <c r="B122" s="43" t="str">
        <f>'T01 revisión'!A118</f>
        <v>ulysseWhyHaiti</v>
      </c>
      <c r="C122" s="43" t="str">
        <f>'T01 revisión'!B118</f>
        <v>Why Haiti Needs New Narratives: A Post-Quake Chronicle</v>
      </c>
      <c r="D122" s="43" t="str">
        <f>'T01 revisión'!C118</f>
        <v>Gina Athena Ulysse</v>
      </c>
      <c r="E122" s="43" t="str">
        <f>'T01 revisión'!D118</f>
        <v>B03</v>
      </c>
      <c r="F122" s="43" t="str">
        <f>'T01 revisión'!E118</f>
        <v>anglófono (EE.UU./Haití)</v>
      </c>
      <c r="G122" s="43" t="str">
        <f>'T01 revisión'!H118</f>
        <v>varias procedencias o territorios; abreviaturas por normalizar; función territorial no demostrada</v>
      </c>
      <c r="H122" s="45" t="str">
        <f t="shared" si="12"/>
        <v>B</v>
      </c>
      <c r="I122" s="45"/>
      <c r="J122" s="45" t="str">
        <f t="shared" si="13"/>
        <v>GPT + Claude ciegos; control abreviado</v>
      </c>
      <c r="K122" s="43"/>
      <c r="L122" s="43"/>
      <c r="M122" s="43"/>
      <c r="N122" s="43"/>
      <c r="O122" s="43"/>
      <c r="P122" s="43"/>
      <c r="Q122" s="43"/>
      <c r="R122" s="43"/>
      <c r="S122" s="43"/>
      <c r="T122" s="43"/>
      <c r="U122" s="43"/>
      <c r="V122" s="43"/>
      <c r="W122" s="43"/>
      <c r="X122" s="43"/>
      <c r="Y122" s="43"/>
      <c r="Z122" s="43"/>
      <c r="AA122" s="43"/>
      <c r="AB122" s="43"/>
      <c r="AC122" s="45" t="str">
        <f t="shared" si="14"/>
        <v>pendiente</v>
      </c>
      <c r="AD122" s="45" t="str">
        <f t="shared" si="15"/>
        <v>pendiente</v>
      </c>
      <c r="AE122" s="45" t="str">
        <f t="shared" si="16"/>
        <v>pendiente</v>
      </c>
      <c r="AF122" s="45" t="str">
        <f t="shared" si="17"/>
        <v>pendiente</v>
      </c>
      <c r="AG122" s="45" t="str">
        <f t="shared" si="18"/>
        <v>insuficiente</v>
      </c>
      <c r="AH122" s="45" t="str">
        <f t="shared" si="19"/>
        <v>pendiente</v>
      </c>
      <c r="AI122" s="45" t="str">
        <f t="shared" si="20"/>
        <v>SI</v>
      </c>
      <c r="AJ122" s="45" t="str">
        <f t="shared" si="21"/>
        <v>abreviado</v>
      </c>
      <c r="AK122" s="45" t="str">
        <f t="shared" si="22"/>
        <v>NO</v>
      </c>
      <c r="AL122" s="45"/>
      <c r="AM122" s="45"/>
      <c r="AN122" s="45"/>
      <c r="AO122" s="49"/>
      <c r="AP122" s="45"/>
      <c r="AQ122" s="45"/>
      <c r="AR122" s="45" t="str">
        <f t="shared" si="23"/>
        <v>NO</v>
      </c>
      <c r="AS122" s="43"/>
    </row>
    <row r="123" spans="1:45" ht="44" customHeight="1">
      <c r="A123" s="45">
        <v>115</v>
      </c>
      <c r="B123" s="43" t="str">
        <f>'T01 revisión'!A119</f>
        <v>sharpewake</v>
      </c>
      <c r="C123" s="43" t="str">
        <f>'T01 revisión'!B119</f>
        <v>In the Wake: On Blackness and Being</v>
      </c>
      <c r="D123" s="43" t="str">
        <f>'T01 revisión'!C119</f>
        <v>Christina Sharpe</v>
      </c>
      <c r="E123" s="43" t="str">
        <f>'T01 revisión'!D119</f>
        <v>A03</v>
      </c>
      <c r="F123" s="43" t="str">
        <f>'T01 revisión'!E119</f>
        <v>anglófono (Canadá/Barbados)</v>
      </c>
      <c r="G123" s="43" t="str">
        <f>'T01 revisión'!H119</f>
        <v>varias procedencias o territorios; función territorial no demostrada</v>
      </c>
      <c r="H123" s="45" t="str">
        <f t="shared" si="12"/>
        <v>B</v>
      </c>
      <c r="I123" s="45"/>
      <c r="J123" s="45" t="str">
        <f t="shared" si="13"/>
        <v>GPT + Claude ciegos; control abreviado</v>
      </c>
      <c r="K123" s="43"/>
      <c r="L123" s="43"/>
      <c r="M123" s="43"/>
      <c r="N123" s="43"/>
      <c r="O123" s="43"/>
      <c r="P123" s="43"/>
      <c r="Q123" s="43"/>
      <c r="R123" s="43"/>
      <c r="S123" s="43"/>
      <c r="T123" s="43"/>
      <c r="U123" s="43"/>
      <c r="V123" s="43"/>
      <c r="W123" s="43"/>
      <c r="X123" s="43"/>
      <c r="Y123" s="43"/>
      <c r="Z123" s="43"/>
      <c r="AA123" s="43"/>
      <c r="AB123" s="43"/>
      <c r="AC123" s="45" t="str">
        <f t="shared" si="14"/>
        <v>pendiente</v>
      </c>
      <c r="AD123" s="45" t="str">
        <f t="shared" si="15"/>
        <v>pendiente</v>
      </c>
      <c r="AE123" s="45" t="str">
        <f t="shared" si="16"/>
        <v>pendiente</v>
      </c>
      <c r="AF123" s="45" t="str">
        <f t="shared" si="17"/>
        <v>pendiente</v>
      </c>
      <c r="AG123" s="45" t="str">
        <f t="shared" si="18"/>
        <v>insuficiente</v>
      </c>
      <c r="AH123" s="45" t="str">
        <f t="shared" si="19"/>
        <v>pendiente</v>
      </c>
      <c r="AI123" s="45" t="str">
        <f t="shared" si="20"/>
        <v>SI</v>
      </c>
      <c r="AJ123" s="45" t="str">
        <f t="shared" si="21"/>
        <v>abreviado</v>
      </c>
      <c r="AK123" s="45" t="str">
        <f t="shared" si="22"/>
        <v>NO</v>
      </c>
      <c r="AL123" s="45"/>
      <c r="AM123" s="45"/>
      <c r="AN123" s="45"/>
      <c r="AO123" s="49"/>
      <c r="AP123" s="45"/>
      <c r="AQ123" s="45"/>
      <c r="AR123" s="45" t="str">
        <f t="shared" si="23"/>
        <v>NO</v>
      </c>
      <c r="AS123" s="43"/>
    </row>
    <row r="124" spans="1:45" ht="44" customHeight="1">
      <c r="A124" s="45">
        <v>116</v>
      </c>
      <c r="B124" s="43" t="str">
        <f>'T01 revisión'!A120</f>
        <v>ferrerfreedomsmirror</v>
      </c>
      <c r="C124" s="43" t="str">
        <f>'T01 revisión'!B120</f>
        <v>Freedom's Mirror: Cuba and Haiti in the Age of Revolution</v>
      </c>
      <c r="D124" s="43" t="str">
        <f>'T01 revisión'!C120</f>
        <v>Ada Ferrer</v>
      </c>
      <c r="E124" s="43" t="str">
        <f>'T01 revisión'!D120</f>
        <v>C01</v>
      </c>
      <c r="F124" s="43" t="str">
        <f>'T01 revisión'!E120</f>
        <v>anglófono (EE.UU.)</v>
      </c>
      <c r="G124" s="43" t="str">
        <f>'T01 revisión'!H120</f>
        <v>abreviaturas por normalizar; función territorial no demostrada</v>
      </c>
      <c r="H124" s="45" t="str">
        <f t="shared" si="12"/>
        <v>A</v>
      </c>
      <c r="I124" s="45"/>
      <c r="J124" s="45" t="str">
        <f t="shared" si="13"/>
        <v>GPT + muestra Claude/humana</v>
      </c>
      <c r="K124" s="43"/>
      <c r="L124" s="43"/>
      <c r="M124" s="43"/>
      <c r="N124" s="43"/>
      <c r="O124" s="43"/>
      <c r="P124" s="43"/>
      <c r="Q124" s="43"/>
      <c r="R124" s="43"/>
      <c r="S124" s="43"/>
      <c r="T124" s="43"/>
      <c r="U124" s="43"/>
      <c r="V124" s="43"/>
      <c r="W124" s="43"/>
      <c r="X124" s="43"/>
      <c r="Y124" s="43"/>
      <c r="Z124" s="43"/>
      <c r="AA124" s="43"/>
      <c r="AB124" s="43"/>
      <c r="AC124" s="45" t="str">
        <f t="shared" si="14"/>
        <v>pendiente</v>
      </c>
      <c r="AD124" s="45" t="str">
        <f t="shared" si="15"/>
        <v>pendiente</v>
      </c>
      <c r="AE124" s="45" t="str">
        <f t="shared" si="16"/>
        <v>pendiente</v>
      </c>
      <c r="AF124" s="45" t="str">
        <f t="shared" si="17"/>
        <v>pendiente</v>
      </c>
      <c r="AG124" s="45" t="str">
        <f t="shared" si="18"/>
        <v>insuficiente</v>
      </c>
      <c r="AH124" s="45" t="str">
        <f t="shared" si="19"/>
        <v>pendiente</v>
      </c>
      <c r="AI124" s="45" t="str">
        <f t="shared" si="20"/>
        <v>NO</v>
      </c>
      <c r="AJ124" s="45" t="str">
        <f t="shared" si="21"/>
        <v>NO</v>
      </c>
      <c r="AK124" s="45" t="str">
        <f t="shared" si="22"/>
        <v>NO</v>
      </c>
      <c r="AL124" s="45"/>
      <c r="AM124" s="45"/>
      <c r="AN124" s="45"/>
      <c r="AO124" s="49"/>
      <c r="AP124" s="45"/>
      <c r="AQ124" s="45"/>
      <c r="AR124" s="45" t="str">
        <f t="shared" si="23"/>
        <v>NO</v>
      </c>
      <c r="AS124" s="43"/>
    </row>
    <row r="125" spans="1:45" ht="44" customHeight="1">
      <c r="A125" s="45">
        <v>117</v>
      </c>
      <c r="B125" s="43" t="str">
        <f>'T01 revisión'!A121</f>
        <v>deloughrey</v>
      </c>
      <c r="C125" s="43" t="str">
        <f>'T01 revisión'!B121</f>
        <v>Allegories of the Anthropocene</v>
      </c>
      <c r="D125" s="43" t="str">
        <f>'T01 revisión'!C121</f>
        <v>Elizabeth M. DeLoughrey</v>
      </c>
      <c r="E125" s="43" t="str">
        <f>'T01 revisión'!D121</f>
        <v>C01</v>
      </c>
      <c r="F125" s="43" t="str">
        <f>'T01 revisión'!E121</f>
        <v>anglófono (EE.UU./Caribe)</v>
      </c>
      <c r="G125" s="43" t="str">
        <f>'T01 revisión'!H121</f>
        <v>varias procedencias o territorios; abreviaturas por normalizar; función territorial no demostrada</v>
      </c>
      <c r="H125" s="45" t="str">
        <f t="shared" si="12"/>
        <v>B</v>
      </c>
      <c r="I125" s="45"/>
      <c r="J125" s="45" t="str">
        <f t="shared" si="13"/>
        <v>GPT + Claude ciegos; control abreviado</v>
      </c>
      <c r="K125" s="43"/>
      <c r="L125" s="43"/>
      <c r="M125" s="43"/>
      <c r="N125" s="43"/>
      <c r="O125" s="43"/>
      <c r="P125" s="43"/>
      <c r="Q125" s="43"/>
      <c r="R125" s="43"/>
      <c r="S125" s="43"/>
      <c r="T125" s="43"/>
      <c r="U125" s="43"/>
      <c r="V125" s="43"/>
      <c r="W125" s="43"/>
      <c r="X125" s="43"/>
      <c r="Y125" s="43"/>
      <c r="Z125" s="43"/>
      <c r="AA125" s="43"/>
      <c r="AB125" s="43"/>
      <c r="AC125" s="45" t="str">
        <f t="shared" si="14"/>
        <v>pendiente</v>
      </c>
      <c r="AD125" s="45" t="str">
        <f t="shared" si="15"/>
        <v>pendiente</v>
      </c>
      <c r="AE125" s="45" t="str">
        <f t="shared" si="16"/>
        <v>pendiente</v>
      </c>
      <c r="AF125" s="45" t="str">
        <f t="shared" si="17"/>
        <v>pendiente</v>
      </c>
      <c r="AG125" s="45" t="str">
        <f t="shared" si="18"/>
        <v>insuficiente</v>
      </c>
      <c r="AH125" s="45" t="str">
        <f t="shared" si="19"/>
        <v>pendiente</v>
      </c>
      <c r="AI125" s="45" t="str">
        <f t="shared" si="20"/>
        <v>SI</v>
      </c>
      <c r="AJ125" s="45" t="str">
        <f t="shared" si="21"/>
        <v>abreviado</v>
      </c>
      <c r="AK125" s="45" t="str">
        <f t="shared" si="22"/>
        <v>NO</v>
      </c>
      <c r="AL125" s="45"/>
      <c r="AM125" s="45"/>
      <c r="AN125" s="45"/>
      <c r="AO125" s="49"/>
      <c r="AP125" s="45"/>
      <c r="AQ125" s="45"/>
      <c r="AR125" s="45" t="str">
        <f t="shared" si="23"/>
        <v>NO</v>
      </c>
      <c r="AS125" s="43"/>
    </row>
    <row r="126" spans="1:45" ht="44" customHeight="1">
      <c r="A126" s="45">
        <v>118</v>
      </c>
      <c r="B126" s="43" t="str">
        <f>'T01 revisión'!A122</f>
        <v>johnson_climatecuba</v>
      </c>
      <c r="C126" s="43" t="str">
        <f>'T01 revisión'!B122</f>
        <v>Climate and Catastrophe in Cuba and the Atlantic World in the Age of Revolution</v>
      </c>
      <c r="D126" s="43" t="str">
        <f>'T01 revisión'!C122</f>
        <v>Sherry Johnson</v>
      </c>
      <c r="E126" s="43" t="str">
        <f>'T01 revisión'!D122</f>
        <v>C01</v>
      </c>
      <c r="F126" s="43" t="str">
        <f>'T01 revisión'!E122</f>
        <v>anglófono (EE.UU.)</v>
      </c>
      <c r="G126" s="43" t="str">
        <f>'T01 revisión'!H122</f>
        <v>abreviaturas por normalizar; función territorial no demostrada</v>
      </c>
      <c r="H126" s="45" t="str">
        <f t="shared" si="12"/>
        <v>A</v>
      </c>
      <c r="I126" s="45"/>
      <c r="J126" s="45" t="str">
        <f t="shared" si="13"/>
        <v>GPT + muestra Claude/humana</v>
      </c>
      <c r="K126" s="43"/>
      <c r="L126" s="43"/>
      <c r="M126" s="43"/>
      <c r="N126" s="43"/>
      <c r="O126" s="43"/>
      <c r="P126" s="43"/>
      <c r="Q126" s="43"/>
      <c r="R126" s="43"/>
      <c r="S126" s="43"/>
      <c r="T126" s="43"/>
      <c r="U126" s="43"/>
      <c r="V126" s="43"/>
      <c r="W126" s="43"/>
      <c r="X126" s="43"/>
      <c r="Y126" s="43"/>
      <c r="Z126" s="43"/>
      <c r="AA126" s="43"/>
      <c r="AB126" s="43"/>
      <c r="AC126" s="45" t="str">
        <f t="shared" si="14"/>
        <v>pendiente</v>
      </c>
      <c r="AD126" s="45" t="str">
        <f t="shared" si="15"/>
        <v>pendiente</v>
      </c>
      <c r="AE126" s="45" t="str">
        <f t="shared" si="16"/>
        <v>pendiente</v>
      </c>
      <c r="AF126" s="45" t="str">
        <f t="shared" si="17"/>
        <v>pendiente</v>
      </c>
      <c r="AG126" s="45" t="str">
        <f t="shared" si="18"/>
        <v>insuficiente</v>
      </c>
      <c r="AH126" s="45" t="str">
        <f t="shared" si="19"/>
        <v>pendiente</v>
      </c>
      <c r="AI126" s="45" t="str">
        <f t="shared" si="20"/>
        <v>NO</v>
      </c>
      <c r="AJ126" s="45" t="str">
        <f t="shared" si="21"/>
        <v>NO</v>
      </c>
      <c r="AK126" s="45" t="str">
        <f t="shared" si="22"/>
        <v>NO</v>
      </c>
      <c r="AL126" s="45"/>
      <c r="AM126" s="45"/>
      <c r="AN126" s="45"/>
      <c r="AO126" s="49"/>
      <c r="AP126" s="45"/>
      <c r="AQ126" s="45"/>
      <c r="AR126" s="45" t="str">
        <f t="shared" si="23"/>
        <v>NO</v>
      </c>
      <c r="AS126" s="43"/>
    </row>
    <row r="127" spans="1:45" ht="44" customHeight="1">
      <c r="A127" s="45">
        <v>119</v>
      </c>
      <c r="B127" s="43" t="str">
        <f>'T01 revisión'!A123</f>
        <v>allen_dikimanera</v>
      </c>
      <c r="C127" s="43" t="str">
        <f>'T01 revisión'!B123</f>
        <v>Di ki manera? A Social History of Afro-Curaçaoans, 1863-1917</v>
      </c>
      <c r="D127" s="43" t="str">
        <f>'T01 revisión'!C123</f>
        <v>Rose Mary Allen</v>
      </c>
      <c r="E127" s="43" t="str">
        <f>'T01 revisión'!D123</f>
        <v>B03</v>
      </c>
      <c r="F127" s="43" t="str">
        <f>'T01 revisión'!E123</f>
        <v>neerlandófono (Curazao)</v>
      </c>
      <c r="G127" s="43" t="str">
        <f>'T01 revisión'!H123</f>
        <v>función territorial no demostrada</v>
      </c>
      <c r="H127" s="45" t="str">
        <f t="shared" si="12"/>
        <v>A</v>
      </c>
      <c r="I127" s="45"/>
      <c r="J127" s="45" t="str">
        <f t="shared" si="13"/>
        <v>GPT + muestra Claude/humana</v>
      </c>
      <c r="K127" s="43" t="s">
        <v>3038</v>
      </c>
      <c r="L127" s="43" t="s">
        <v>2340</v>
      </c>
      <c r="M127" s="43"/>
      <c r="N127" s="43" t="s">
        <v>3039</v>
      </c>
      <c r="O127" s="43"/>
      <c r="P127" s="43" t="s">
        <v>3040</v>
      </c>
      <c r="Q127" s="43" t="s">
        <v>3041</v>
      </c>
      <c r="R127" s="43" t="s">
        <v>2966</v>
      </c>
      <c r="S127" s="43" t="s">
        <v>2229</v>
      </c>
      <c r="T127" s="43"/>
      <c r="U127" s="43"/>
      <c r="V127" s="43"/>
      <c r="W127" s="43"/>
      <c r="X127" s="43"/>
      <c r="Y127" s="43"/>
      <c r="Z127" s="43"/>
      <c r="AA127" s="43"/>
      <c r="AB127" s="43"/>
      <c r="AC127" s="45" t="str">
        <f t="shared" si="14"/>
        <v>pendiente</v>
      </c>
      <c r="AD127" s="45" t="str">
        <f t="shared" si="15"/>
        <v>pendiente</v>
      </c>
      <c r="AE127" s="45" t="str">
        <f t="shared" si="16"/>
        <v>pendiente</v>
      </c>
      <c r="AF127" s="45" t="str">
        <f t="shared" si="17"/>
        <v>pendiente</v>
      </c>
      <c r="AG127" s="45" t="str">
        <f t="shared" si="18"/>
        <v>insuficiente</v>
      </c>
      <c r="AH127" s="45" t="str">
        <f t="shared" si="19"/>
        <v>pendiente</v>
      </c>
      <c r="AI127" s="45" t="str">
        <f t="shared" si="20"/>
        <v>SI</v>
      </c>
      <c r="AJ127" s="45" t="str">
        <f t="shared" si="21"/>
        <v>NO</v>
      </c>
      <c r="AK127" s="45" t="str">
        <f t="shared" si="22"/>
        <v>SI</v>
      </c>
      <c r="AL127" s="45"/>
      <c r="AM127" s="45"/>
      <c r="AN127" s="45"/>
      <c r="AO127" s="49"/>
      <c r="AP127" s="45"/>
      <c r="AQ127" s="45"/>
      <c r="AR127" s="45" t="str">
        <f t="shared" si="23"/>
        <v>NO</v>
      </c>
      <c r="AS127" s="43" t="s">
        <v>3042</v>
      </c>
    </row>
    <row r="128" spans="1:45" ht="44" customHeight="1">
      <c r="A128" s="45">
        <v>120</v>
      </c>
      <c r="B128" s="43" t="str">
        <f>'T01 revisión'!A124</f>
        <v>vanderpijl_equaliberty</v>
      </c>
      <c r="C128" s="43" t="str">
        <f>'T01 revisión'!B124</f>
        <v>Equaliberty in the Dutch Caribbean: Ways of Being Non/Sovereign</v>
      </c>
      <c r="D128" s="43" t="str">
        <f>'T01 revisión'!C124</f>
        <v>Yvon van der Pijl y Francio Guadeloupe (eds.)</v>
      </c>
      <c r="E128" s="43" t="str">
        <f>'T01 revisión'!D124</f>
        <v>C02</v>
      </c>
      <c r="F128" s="43" t="str">
        <f>'T01 revisión'!E124</f>
        <v>neerlandófono (Curazao) / anglófono</v>
      </c>
      <c r="G128" s="43" t="str">
        <f>'T01 revisión'!H124</f>
        <v>múltiples lenguas; función territorial no demostrada</v>
      </c>
      <c r="H128" s="45" t="str">
        <f t="shared" si="12"/>
        <v>B</v>
      </c>
      <c r="I128" s="45"/>
      <c r="J128" s="45" t="str">
        <f t="shared" si="13"/>
        <v>GPT + Claude ciegos; control abreviado</v>
      </c>
      <c r="K128" s="43"/>
      <c r="L128" s="43"/>
      <c r="M128" s="43"/>
      <c r="N128" s="43"/>
      <c r="O128" s="43"/>
      <c r="P128" s="43"/>
      <c r="Q128" s="43"/>
      <c r="R128" s="43"/>
      <c r="S128" s="43"/>
      <c r="T128" s="43"/>
      <c r="U128" s="43"/>
      <c r="V128" s="43"/>
      <c r="W128" s="43"/>
      <c r="X128" s="43"/>
      <c r="Y128" s="43"/>
      <c r="Z128" s="43"/>
      <c r="AA128" s="43"/>
      <c r="AB128" s="43"/>
      <c r="AC128" s="45" t="str">
        <f t="shared" si="14"/>
        <v>pendiente</v>
      </c>
      <c r="AD128" s="45" t="str">
        <f t="shared" si="15"/>
        <v>pendiente</v>
      </c>
      <c r="AE128" s="45" t="str">
        <f t="shared" si="16"/>
        <v>pendiente</v>
      </c>
      <c r="AF128" s="45" t="str">
        <f t="shared" si="17"/>
        <v>pendiente</v>
      </c>
      <c r="AG128" s="45" t="str">
        <f t="shared" si="18"/>
        <v>insuficiente</v>
      </c>
      <c r="AH128" s="45" t="str">
        <f t="shared" si="19"/>
        <v>pendiente</v>
      </c>
      <c r="AI128" s="45" t="str">
        <f t="shared" si="20"/>
        <v>SI</v>
      </c>
      <c r="AJ128" s="45" t="str">
        <f t="shared" si="21"/>
        <v>abreviado</v>
      </c>
      <c r="AK128" s="45" t="str">
        <f t="shared" si="22"/>
        <v>NO</v>
      </c>
      <c r="AL128" s="45"/>
      <c r="AM128" s="45"/>
      <c r="AN128" s="45"/>
      <c r="AO128" s="49"/>
      <c r="AP128" s="45"/>
      <c r="AQ128" s="45"/>
      <c r="AR128" s="45" t="str">
        <f t="shared" si="23"/>
        <v>NO</v>
      </c>
      <c r="AS128" s="43"/>
    </row>
    <row r="129" spans="1:45" ht="44" customHeight="1">
      <c r="A129" s="45">
        <v>121</v>
      </c>
      <c r="B129" s="43" t="str">
        <f>'T01 revisión'!A125</f>
        <v>naveda_esclavoscordoba</v>
      </c>
      <c r="C129" s="43" t="str">
        <f>'T01 revisión'!B125</f>
        <v>Esclavos negros en las haciendas azucareras de Córdoba, Veracruz, 1690-1830</v>
      </c>
      <c r="D129" s="43" t="str">
        <f>'T01 revisión'!C125</f>
        <v>Adriana Naveda Chávez-Hita</v>
      </c>
      <c r="E129" s="43" t="str">
        <f>'T01 revisión'!D125</f>
        <v>S01</v>
      </c>
      <c r="F129" s="43" t="str">
        <f>'T01 revisión'!E125</f>
        <v>hispanófono (México)</v>
      </c>
      <c r="G129" s="43" t="str">
        <f>'T01 revisión'!H125</f>
        <v>función territorial no demostrada</v>
      </c>
      <c r="H129" s="45" t="str">
        <f t="shared" si="12"/>
        <v>A</v>
      </c>
      <c r="I129" s="45"/>
      <c r="J129" s="45" t="str">
        <f t="shared" si="13"/>
        <v>GPT + muestra Claude/humana</v>
      </c>
      <c r="K129" s="43"/>
      <c r="L129" s="43"/>
      <c r="M129" s="43"/>
      <c r="N129" s="43"/>
      <c r="O129" s="43"/>
      <c r="P129" s="43"/>
      <c r="Q129" s="43"/>
      <c r="R129" s="43"/>
      <c r="S129" s="43"/>
      <c r="T129" s="43"/>
      <c r="U129" s="43"/>
      <c r="V129" s="43"/>
      <c r="W129" s="43"/>
      <c r="X129" s="43"/>
      <c r="Y129" s="43"/>
      <c r="Z129" s="43"/>
      <c r="AA129" s="43"/>
      <c r="AB129" s="43"/>
      <c r="AC129" s="45" t="str">
        <f t="shared" si="14"/>
        <v>pendiente</v>
      </c>
      <c r="AD129" s="45" t="str">
        <f t="shared" si="15"/>
        <v>pendiente</v>
      </c>
      <c r="AE129" s="45" t="str">
        <f t="shared" si="16"/>
        <v>pendiente</v>
      </c>
      <c r="AF129" s="45" t="str">
        <f t="shared" si="17"/>
        <v>pendiente</v>
      </c>
      <c r="AG129" s="45" t="str">
        <f t="shared" si="18"/>
        <v>insuficiente</v>
      </c>
      <c r="AH129" s="45" t="str">
        <f t="shared" si="19"/>
        <v>pendiente</v>
      </c>
      <c r="AI129" s="45" t="str">
        <f t="shared" si="20"/>
        <v>NO</v>
      </c>
      <c r="AJ129" s="45" t="str">
        <f t="shared" si="21"/>
        <v>NO</v>
      </c>
      <c r="AK129" s="45" t="str">
        <f t="shared" si="22"/>
        <v>NO</v>
      </c>
      <c r="AL129" s="45"/>
      <c r="AM129" s="45"/>
      <c r="AN129" s="45"/>
      <c r="AO129" s="49"/>
      <c r="AP129" s="45"/>
      <c r="AQ129" s="45"/>
      <c r="AR129" s="45" t="str">
        <f t="shared" si="23"/>
        <v>NO</v>
      </c>
      <c r="AS129" s="43"/>
    </row>
    <row r="130" spans="1:45" ht="44" customHeight="1">
      <c r="A130" s="45">
        <v>122</v>
      </c>
      <c r="B130" s="43" t="str">
        <f>'T01 revisión'!A126</f>
        <v>mohammed_generosrealidades</v>
      </c>
      <c r="C130" s="43" t="str">
        <f>'T01 revisión'!B126</f>
        <v>Gendered Realities: Essays in Caribbean Feminist Thought</v>
      </c>
      <c r="D130" s="43" t="str">
        <f>'T01 revisión'!C126</f>
        <v>Patricia Mohammed (ed.)</v>
      </c>
      <c r="E130" s="43" t="str">
        <f>'T01 revisión'!D126</f>
        <v>B01</v>
      </c>
      <c r="F130" s="43" t="str">
        <f>'T01 revisión'!E126</f>
        <v>anglófono (Trinidad)</v>
      </c>
      <c r="G130" s="43" t="str">
        <f>'T01 revisión'!H126</f>
        <v>función territorial no demostrada</v>
      </c>
      <c r="H130" s="45" t="str">
        <f t="shared" si="12"/>
        <v>A</v>
      </c>
      <c r="I130" s="45"/>
      <c r="J130" s="45" t="str">
        <f t="shared" si="13"/>
        <v>GPT + muestra Claude/humana</v>
      </c>
      <c r="K130" s="43"/>
      <c r="L130" s="43"/>
      <c r="M130" s="43"/>
      <c r="N130" s="43"/>
      <c r="O130" s="43"/>
      <c r="P130" s="43"/>
      <c r="Q130" s="43"/>
      <c r="R130" s="43"/>
      <c r="S130" s="43"/>
      <c r="T130" s="43"/>
      <c r="U130" s="43"/>
      <c r="V130" s="43"/>
      <c r="W130" s="43"/>
      <c r="X130" s="43"/>
      <c r="Y130" s="43"/>
      <c r="Z130" s="43"/>
      <c r="AA130" s="43"/>
      <c r="AB130" s="43"/>
      <c r="AC130" s="45" t="str">
        <f t="shared" si="14"/>
        <v>pendiente</v>
      </c>
      <c r="AD130" s="45" t="str">
        <f t="shared" si="15"/>
        <v>pendiente</v>
      </c>
      <c r="AE130" s="45" t="str">
        <f t="shared" si="16"/>
        <v>pendiente</v>
      </c>
      <c r="AF130" s="45" t="str">
        <f t="shared" si="17"/>
        <v>pendiente</v>
      </c>
      <c r="AG130" s="45" t="str">
        <f t="shared" si="18"/>
        <v>insuficiente</v>
      </c>
      <c r="AH130" s="45" t="str">
        <f t="shared" si="19"/>
        <v>pendiente</v>
      </c>
      <c r="AI130" s="45" t="str">
        <f t="shared" si="20"/>
        <v>NO</v>
      </c>
      <c r="AJ130" s="45" t="str">
        <f t="shared" si="21"/>
        <v>NO</v>
      </c>
      <c r="AK130" s="45" t="str">
        <f t="shared" si="22"/>
        <v>NO</v>
      </c>
      <c r="AL130" s="45"/>
      <c r="AM130" s="45"/>
      <c r="AN130" s="45"/>
      <c r="AO130" s="49"/>
      <c r="AP130" s="45"/>
      <c r="AQ130" s="45"/>
      <c r="AR130" s="45" t="str">
        <f t="shared" si="23"/>
        <v>NO</v>
      </c>
      <c r="AS130" s="43"/>
    </row>
    <row r="131" spans="1:45" ht="44" customHeight="1">
      <c r="A131" s="45">
        <v>123</v>
      </c>
      <c r="B131" s="43" t="str">
        <f>'T01 revisión'!A127</f>
        <v>james_bannerethiopia</v>
      </c>
      <c r="C131" s="43" t="str">
        <f>'T01 revisión'!B127</f>
        <v>Holding Aloft the Banner of Ethiopia: Caribbean Radicalism in Early Twentieth-Century America</v>
      </c>
      <c r="D131" s="43" t="str">
        <f>'T01 revisión'!C127</f>
        <v>Winston James</v>
      </c>
      <c r="E131" s="43" t="str">
        <f>'T01 revisión'!D127</f>
        <v>B03</v>
      </c>
      <c r="F131" s="43" t="str">
        <f>'T01 revisión'!E127</f>
        <v>anglófono (Jamaica/EE.UU.)</v>
      </c>
      <c r="G131" s="43" t="str">
        <f>'T01 revisión'!H127</f>
        <v>varias procedencias o territorios; abreviaturas por normalizar; función territorial no demostrada</v>
      </c>
      <c r="H131" s="45" t="str">
        <f t="shared" si="12"/>
        <v>B</v>
      </c>
      <c r="I131" s="45"/>
      <c r="J131" s="45" t="str">
        <f t="shared" si="13"/>
        <v>GPT + Claude ciegos; control abreviado</v>
      </c>
      <c r="K131" s="43"/>
      <c r="L131" s="43"/>
      <c r="M131" s="43"/>
      <c r="N131" s="43"/>
      <c r="O131" s="43"/>
      <c r="P131" s="43"/>
      <c r="Q131" s="43"/>
      <c r="R131" s="43"/>
      <c r="S131" s="43"/>
      <c r="T131" s="43"/>
      <c r="U131" s="43"/>
      <c r="V131" s="43"/>
      <c r="W131" s="43"/>
      <c r="X131" s="43"/>
      <c r="Y131" s="43"/>
      <c r="Z131" s="43"/>
      <c r="AA131" s="43"/>
      <c r="AB131" s="43"/>
      <c r="AC131" s="45" t="str">
        <f t="shared" si="14"/>
        <v>pendiente</v>
      </c>
      <c r="AD131" s="45" t="str">
        <f t="shared" si="15"/>
        <v>pendiente</v>
      </c>
      <c r="AE131" s="45" t="str">
        <f t="shared" si="16"/>
        <v>pendiente</v>
      </c>
      <c r="AF131" s="45" t="str">
        <f t="shared" si="17"/>
        <v>pendiente</v>
      </c>
      <c r="AG131" s="45" t="str">
        <f t="shared" si="18"/>
        <v>insuficiente</v>
      </c>
      <c r="AH131" s="45" t="str">
        <f t="shared" si="19"/>
        <v>pendiente</v>
      </c>
      <c r="AI131" s="45" t="str">
        <f t="shared" si="20"/>
        <v>SI</v>
      </c>
      <c r="AJ131" s="45" t="str">
        <f t="shared" si="21"/>
        <v>abreviado</v>
      </c>
      <c r="AK131" s="45" t="str">
        <f t="shared" si="22"/>
        <v>NO</v>
      </c>
      <c r="AL131" s="45"/>
      <c r="AM131" s="45"/>
      <c r="AN131" s="45"/>
      <c r="AO131" s="49"/>
      <c r="AP131" s="45"/>
      <c r="AQ131" s="45"/>
      <c r="AR131" s="45" t="str">
        <f t="shared" si="23"/>
        <v>NO</v>
      </c>
      <c r="AS131" s="43"/>
    </row>
    <row r="132" spans="1:45" ht="44" customHeight="1">
      <c r="A132" s="45">
        <v>124</v>
      </c>
      <c r="B132" s="43" t="str">
        <f>'T01 revisión'!A128</f>
        <v>schuller_killingkindness</v>
      </c>
      <c r="C132" s="43" t="str">
        <f>'T01 revisión'!B128</f>
        <v>Killing with Kindness: Haiti, International Aid, and NGOs</v>
      </c>
      <c r="D132" s="43" t="str">
        <f>'T01 revisión'!C128</f>
        <v>Mark Schuller</v>
      </c>
      <c r="E132" s="43" t="str">
        <f>'T01 revisión'!D128</f>
        <v>A02</v>
      </c>
      <c r="F132" s="43" t="str">
        <f>'T01 revisión'!E128</f>
        <v>anglófono (EE.UU.) / francófono (Haití)</v>
      </c>
      <c r="G132" s="43" t="str">
        <f>'T01 revisión'!H128</f>
        <v>múltiples lenguas; abreviaturas por normalizar; función territorial no demostrada</v>
      </c>
      <c r="H132" s="45" t="str">
        <f t="shared" si="12"/>
        <v>B</v>
      </c>
      <c r="I132" s="45"/>
      <c r="J132" s="45" t="str">
        <f t="shared" si="13"/>
        <v>GPT + Claude ciegos; control abreviado</v>
      </c>
      <c r="K132" s="43"/>
      <c r="L132" s="43"/>
      <c r="M132" s="43"/>
      <c r="N132" s="43"/>
      <c r="O132" s="43"/>
      <c r="P132" s="43"/>
      <c r="Q132" s="43"/>
      <c r="R132" s="43"/>
      <c r="S132" s="43"/>
      <c r="T132" s="43"/>
      <c r="U132" s="43"/>
      <c r="V132" s="43"/>
      <c r="W132" s="43"/>
      <c r="X132" s="43"/>
      <c r="Y132" s="43"/>
      <c r="Z132" s="43"/>
      <c r="AA132" s="43"/>
      <c r="AB132" s="43"/>
      <c r="AC132" s="45" t="str">
        <f t="shared" si="14"/>
        <v>pendiente</v>
      </c>
      <c r="AD132" s="45" t="str">
        <f t="shared" si="15"/>
        <v>pendiente</v>
      </c>
      <c r="AE132" s="45" t="str">
        <f t="shared" si="16"/>
        <v>pendiente</v>
      </c>
      <c r="AF132" s="45" t="str">
        <f t="shared" si="17"/>
        <v>pendiente</v>
      </c>
      <c r="AG132" s="45" t="str">
        <f t="shared" si="18"/>
        <v>insuficiente</v>
      </c>
      <c r="AH132" s="45" t="str">
        <f t="shared" si="19"/>
        <v>pendiente</v>
      </c>
      <c r="AI132" s="45" t="str">
        <f t="shared" si="20"/>
        <v>SI</v>
      </c>
      <c r="AJ132" s="45" t="str">
        <f t="shared" si="21"/>
        <v>abreviado</v>
      </c>
      <c r="AK132" s="45" t="str">
        <f t="shared" si="22"/>
        <v>NO</v>
      </c>
      <c r="AL132" s="45"/>
      <c r="AM132" s="45"/>
      <c r="AN132" s="45"/>
      <c r="AO132" s="49"/>
      <c r="AP132" s="45"/>
      <c r="AQ132" s="45"/>
      <c r="AR132" s="45" t="str">
        <f t="shared" si="23"/>
        <v>NO</v>
      </c>
      <c r="AS132" s="43"/>
    </row>
    <row r="133" spans="1:45" ht="44" customHeight="1">
      <c r="A133" s="45">
        <v>125</v>
      </c>
      <c r="B133" s="43" t="str">
        <f>'T01 revisión'!A129</f>
        <v>zips_nannysasafo</v>
      </c>
      <c r="C133" s="43" t="str">
        <f>'T01 revisión'!B129</f>
        <v>Nanny's Asafo Warriors: The Jamaican Maroons' African Experience</v>
      </c>
      <c r="D133" s="43" t="str">
        <f>'T01 revisión'!C129</f>
        <v>Werner Zips</v>
      </c>
      <c r="E133" s="43" t="str">
        <f>'T01 revisión'!D129</f>
        <v>B02</v>
      </c>
      <c r="F133" s="43" t="str">
        <f>'T01 revisión'!E129</f>
        <v>anglófono (Jamaica) / alemán (Austria)</v>
      </c>
      <c r="G133" s="43" t="str">
        <f>'T01 revisión'!H129</f>
        <v>múltiples lenguas; función territorial no demostrada</v>
      </c>
      <c r="H133" s="45" t="str">
        <f t="shared" si="12"/>
        <v>B</v>
      </c>
      <c r="I133" s="45"/>
      <c r="J133" s="45" t="str">
        <f t="shared" si="13"/>
        <v>GPT + Claude ciegos; control abreviado</v>
      </c>
      <c r="K133" s="43" t="s">
        <v>3043</v>
      </c>
      <c r="L133" s="43" t="s">
        <v>2340</v>
      </c>
      <c r="M133" s="43"/>
      <c r="N133" s="43" t="s">
        <v>3044</v>
      </c>
      <c r="O133" s="43"/>
      <c r="P133" s="43" t="s">
        <v>3045</v>
      </c>
      <c r="Q133" s="43" t="s">
        <v>3046</v>
      </c>
      <c r="R133" s="43" t="s">
        <v>3020</v>
      </c>
      <c r="S133" s="43" t="s">
        <v>2229</v>
      </c>
      <c r="T133" s="43"/>
      <c r="U133" s="43"/>
      <c r="V133" s="43"/>
      <c r="W133" s="43"/>
      <c r="X133" s="43"/>
      <c r="Y133" s="43"/>
      <c r="Z133" s="43"/>
      <c r="AA133" s="43"/>
      <c r="AB133" s="43"/>
      <c r="AC133" s="45" t="str">
        <f t="shared" si="14"/>
        <v>pendiente</v>
      </c>
      <c r="AD133" s="45" t="str">
        <f t="shared" si="15"/>
        <v>pendiente</v>
      </c>
      <c r="AE133" s="45" t="str">
        <f t="shared" si="16"/>
        <v>pendiente</v>
      </c>
      <c r="AF133" s="45" t="str">
        <f t="shared" si="17"/>
        <v>pendiente</v>
      </c>
      <c r="AG133" s="45" t="str">
        <f t="shared" si="18"/>
        <v>insuficiente</v>
      </c>
      <c r="AH133" s="45" t="str">
        <f t="shared" si="19"/>
        <v>pendiente</v>
      </c>
      <c r="AI133" s="45" t="str">
        <f t="shared" si="20"/>
        <v>SI</v>
      </c>
      <c r="AJ133" s="45" t="str">
        <f t="shared" si="21"/>
        <v>abreviado</v>
      </c>
      <c r="AK133" s="45" t="str">
        <f t="shared" si="22"/>
        <v>SI</v>
      </c>
      <c r="AL133" s="45"/>
      <c r="AM133" s="45"/>
      <c r="AN133" s="45"/>
      <c r="AO133" s="49"/>
      <c r="AP133" s="45"/>
      <c r="AQ133" s="45"/>
      <c r="AR133" s="45" t="str">
        <f t="shared" si="23"/>
        <v>NO</v>
      </c>
      <c r="AS133" s="43" t="s">
        <v>3047</v>
      </c>
    </row>
    <row r="134" spans="1:45" ht="44" customHeight="1">
      <c r="A134" s="45">
        <v>126</v>
      </c>
      <c r="B134" s="43" t="str">
        <f>'T01 revisión'!A130</f>
        <v>brereton_racerelationstrinidad</v>
      </c>
      <c r="C134" s="43" t="str">
        <f>'T01 revisión'!B130</f>
        <v>Race Relations in Colonial Trinidad, 1870-1900</v>
      </c>
      <c r="D134" s="43" t="str">
        <f>'T01 revisión'!C130</f>
        <v>Bridget Brereton</v>
      </c>
      <c r="E134" s="43" t="str">
        <f>'T01 revisión'!D130</f>
        <v>C01</v>
      </c>
      <c r="F134" s="43" t="str">
        <f>'T01 revisión'!E130</f>
        <v>anglófono (Trinidad)</v>
      </c>
      <c r="G134" s="43" t="str">
        <f>'T01 revisión'!H130</f>
        <v>función territorial no demostrada</v>
      </c>
      <c r="H134" s="45" t="str">
        <f t="shared" si="12"/>
        <v>A</v>
      </c>
      <c r="I134" s="45"/>
      <c r="J134" s="45" t="str">
        <f t="shared" si="13"/>
        <v>GPT + muestra Claude/humana</v>
      </c>
      <c r="K134" s="43"/>
      <c r="L134" s="43"/>
      <c r="M134" s="43"/>
      <c r="N134" s="43"/>
      <c r="O134" s="43"/>
      <c r="P134" s="43"/>
      <c r="Q134" s="43"/>
      <c r="R134" s="43"/>
      <c r="S134" s="43"/>
      <c r="T134" s="43"/>
      <c r="U134" s="43"/>
      <c r="V134" s="43"/>
      <c r="W134" s="43"/>
      <c r="X134" s="43"/>
      <c r="Y134" s="43"/>
      <c r="Z134" s="43"/>
      <c r="AA134" s="43"/>
      <c r="AB134" s="43"/>
      <c r="AC134" s="45" t="str">
        <f t="shared" si="14"/>
        <v>pendiente</v>
      </c>
      <c r="AD134" s="45" t="str">
        <f t="shared" si="15"/>
        <v>pendiente</v>
      </c>
      <c r="AE134" s="45" t="str">
        <f t="shared" si="16"/>
        <v>pendiente</v>
      </c>
      <c r="AF134" s="45" t="str">
        <f t="shared" si="17"/>
        <v>pendiente</v>
      </c>
      <c r="AG134" s="45" t="str">
        <f t="shared" si="18"/>
        <v>insuficiente</v>
      </c>
      <c r="AH134" s="45" t="str">
        <f t="shared" si="19"/>
        <v>pendiente</v>
      </c>
      <c r="AI134" s="45" t="str">
        <f t="shared" si="20"/>
        <v>SI</v>
      </c>
      <c r="AJ134" s="45" t="str">
        <f t="shared" si="21"/>
        <v>NO</v>
      </c>
      <c r="AK134" s="45" t="str">
        <f t="shared" si="22"/>
        <v>NO</v>
      </c>
      <c r="AL134" s="45"/>
      <c r="AM134" s="45"/>
      <c r="AN134" s="45"/>
      <c r="AO134" s="49"/>
      <c r="AP134" s="45"/>
      <c r="AQ134" s="45"/>
      <c r="AR134" s="45" t="str">
        <f t="shared" si="23"/>
        <v>NO</v>
      </c>
      <c r="AS134" s="43"/>
    </row>
    <row r="135" spans="1:45" ht="44" customHeight="1">
      <c r="A135" s="45">
        <v>127</v>
      </c>
      <c r="B135" s="43" t="str">
        <f>'T01 revisión'!A131</f>
        <v>nixon_resistingparadise</v>
      </c>
      <c r="C135" s="43" t="str">
        <f>'T01 revisión'!B131</f>
        <v>Resisting Paradise: Tourism, Diaspora, and Sexuality in Caribbean Culture</v>
      </c>
      <c r="D135" s="43" t="str">
        <f>'T01 revisión'!C131</f>
        <v>Angelique V. Nixon</v>
      </c>
      <c r="E135" s="43" t="str">
        <f>'T01 revisión'!D131</f>
        <v>A01</v>
      </c>
      <c r="F135" s="43" t="str">
        <f>'T01 revisión'!E131</f>
        <v>anglófono (Bahamas/Trinidad)</v>
      </c>
      <c r="G135" s="43" t="str">
        <f>'T01 revisión'!H131</f>
        <v>varias procedencias o territorios; función territorial no demostrada</v>
      </c>
      <c r="H135" s="45" t="str">
        <f t="shared" si="12"/>
        <v>B</v>
      </c>
      <c r="I135" s="45"/>
      <c r="J135" s="45" t="str">
        <f t="shared" si="13"/>
        <v>GPT + Claude ciegos; control abreviado</v>
      </c>
      <c r="K135" s="43"/>
      <c r="L135" s="43"/>
      <c r="M135" s="43"/>
      <c r="N135" s="43"/>
      <c r="O135" s="43"/>
      <c r="P135" s="43"/>
      <c r="Q135" s="43"/>
      <c r="R135" s="43"/>
      <c r="S135" s="43"/>
      <c r="T135" s="43"/>
      <c r="U135" s="43"/>
      <c r="V135" s="43"/>
      <c r="W135" s="43"/>
      <c r="X135" s="43"/>
      <c r="Y135" s="43"/>
      <c r="Z135" s="43"/>
      <c r="AA135" s="43"/>
      <c r="AB135" s="43"/>
      <c r="AC135" s="45" t="str">
        <f t="shared" si="14"/>
        <v>pendiente</v>
      </c>
      <c r="AD135" s="45" t="str">
        <f t="shared" si="15"/>
        <v>pendiente</v>
      </c>
      <c r="AE135" s="45" t="str">
        <f t="shared" si="16"/>
        <v>pendiente</v>
      </c>
      <c r="AF135" s="45" t="str">
        <f t="shared" si="17"/>
        <v>pendiente</v>
      </c>
      <c r="AG135" s="45" t="str">
        <f t="shared" si="18"/>
        <v>insuficiente</v>
      </c>
      <c r="AH135" s="45" t="str">
        <f t="shared" si="19"/>
        <v>pendiente</v>
      </c>
      <c r="AI135" s="45" t="str">
        <f t="shared" si="20"/>
        <v>SI</v>
      </c>
      <c r="AJ135" s="45" t="str">
        <f t="shared" si="21"/>
        <v>abreviado</v>
      </c>
      <c r="AK135" s="45" t="str">
        <f t="shared" si="22"/>
        <v>NO</v>
      </c>
      <c r="AL135" s="45"/>
      <c r="AM135" s="45"/>
      <c r="AN135" s="45"/>
      <c r="AO135" s="49"/>
      <c r="AP135" s="45"/>
      <c r="AQ135" s="45"/>
      <c r="AR135" s="45" t="str">
        <f t="shared" si="23"/>
        <v>NO</v>
      </c>
      <c r="AS135" s="43"/>
    </row>
    <row r="136" spans="1:45" ht="44" customHeight="1">
      <c r="A136" s="45">
        <v>128</v>
      </c>
      <c r="B136" s="43" t="str">
        <f>'T01 revisión'!A132</f>
        <v>schwartz_seaofstorms</v>
      </c>
      <c r="C136" s="43" t="str">
        <f>'T01 revisión'!B132</f>
        <v>Sea of Storms: A History of Hurricanes in the Greater Caribbean from Columbus to Katrina</v>
      </c>
      <c r="D136" s="43" t="str">
        <f>'T01 revisión'!C132</f>
        <v>Stuart B. Schwartz</v>
      </c>
      <c r="E136" s="43" t="str">
        <f>'T01 revisión'!D132</f>
        <v>C01</v>
      </c>
      <c r="F136" s="43" t="str">
        <f>'T01 revisión'!E132</f>
        <v>anglófono (EE.UU.)</v>
      </c>
      <c r="G136" s="43" t="str">
        <f>'T01 revisión'!H132</f>
        <v>abreviaturas por normalizar; función territorial no demostrada</v>
      </c>
      <c r="H136" s="45" t="str">
        <f t="shared" si="12"/>
        <v>A</v>
      </c>
      <c r="I136" s="45"/>
      <c r="J136" s="45" t="str">
        <f t="shared" si="13"/>
        <v>GPT + muestra Claude/humana</v>
      </c>
      <c r="K136" s="43"/>
      <c r="L136" s="43"/>
      <c r="M136" s="43"/>
      <c r="N136" s="43"/>
      <c r="O136" s="43"/>
      <c r="P136" s="43"/>
      <c r="Q136" s="43"/>
      <c r="R136" s="43"/>
      <c r="S136" s="43"/>
      <c r="T136" s="43"/>
      <c r="U136" s="43"/>
      <c r="V136" s="43"/>
      <c r="W136" s="43"/>
      <c r="X136" s="43"/>
      <c r="Y136" s="43"/>
      <c r="Z136" s="43"/>
      <c r="AA136" s="43"/>
      <c r="AB136" s="43"/>
      <c r="AC136" s="45" t="str">
        <f t="shared" si="14"/>
        <v>pendiente</v>
      </c>
      <c r="AD136" s="45" t="str">
        <f t="shared" si="15"/>
        <v>pendiente</v>
      </c>
      <c r="AE136" s="45" t="str">
        <f t="shared" si="16"/>
        <v>pendiente</v>
      </c>
      <c r="AF136" s="45" t="str">
        <f t="shared" si="17"/>
        <v>pendiente</v>
      </c>
      <c r="AG136" s="45" t="str">
        <f t="shared" si="18"/>
        <v>insuficiente</v>
      </c>
      <c r="AH136" s="45" t="str">
        <f t="shared" si="19"/>
        <v>pendiente</v>
      </c>
      <c r="AI136" s="45" t="str">
        <f t="shared" si="20"/>
        <v>NO</v>
      </c>
      <c r="AJ136" s="45" t="str">
        <f t="shared" si="21"/>
        <v>NO</v>
      </c>
      <c r="AK136" s="45" t="str">
        <f t="shared" si="22"/>
        <v>NO</v>
      </c>
      <c r="AL136" s="45"/>
      <c r="AM136" s="45"/>
      <c r="AN136" s="45"/>
      <c r="AO136" s="49"/>
      <c r="AP136" s="45"/>
      <c r="AQ136" s="45"/>
      <c r="AR136" s="45" t="str">
        <f t="shared" si="23"/>
        <v>NO</v>
      </c>
      <c r="AS136" s="43"/>
    </row>
    <row r="137" spans="1:45" ht="44" customHeight="1">
      <c r="A137" s="45">
        <v>129</v>
      </c>
      <c r="B137" s="43" t="str">
        <f>'T01 revisión'!A133</f>
        <v>smith_sexcitizen</v>
      </c>
      <c r="C137" s="43" t="str">
        <f>'T01 revisión'!B133</f>
        <v>Sex and the Citizen: Interrogating the Caribbean</v>
      </c>
      <c r="D137" s="43" t="str">
        <f>'T01 revisión'!C133</f>
        <v>Faith Smith (ed.)</v>
      </c>
      <c r="E137" s="43" t="str">
        <f>'T01 revisión'!D133</f>
        <v>B01</v>
      </c>
      <c r="F137" s="43" t="str">
        <f>'T01 revisión'!E133</f>
        <v>anglófono (Belice/Trinidad)</v>
      </c>
      <c r="G137" s="43" t="str">
        <f>'T01 revisión'!H133</f>
        <v>varias procedencias o territorios; función territorial no demostrada</v>
      </c>
      <c r="H137" s="45" t="str">
        <f t="shared" ref="H137:H200" si="24">IF(OR(ISNUMBER(SEARCH(" / ",C137)),LEFT(F137,9)="comparado",ISNUMBER(SEARCH("entrada compuesta",G137))),"C",IF(OR(ISNUMBER(SEARCH("/",F137)),ISNUMBER(SEARCH("múltiples",G137)),ISNUMBER(SEARCH("trayectoria",G137)),ISNUMBER(SEARCH("diáspora",G137)),ISNUMBER(SEARCH("temporalidad",G137))),"B","A"))</f>
        <v>B</v>
      </c>
      <c r="I137" s="45"/>
      <c r="J137" s="45" t="str">
        <f t="shared" ref="J137:J200" si="25">IF(IF(I137="",H137,I137)="A","GPT + muestra Claude/humana",IF(IF(I137="",H137,I137)="B","GPT + Claude ciegos; control abreviado","GPT + Claude ciegos; control humano obligatorio"))</f>
        <v>GPT + Claude ciegos; control abreviado</v>
      </c>
      <c r="K137" s="43"/>
      <c r="L137" s="43"/>
      <c r="M137" s="43"/>
      <c r="N137" s="43"/>
      <c r="O137" s="43"/>
      <c r="P137" s="43"/>
      <c r="Q137" s="43"/>
      <c r="R137" s="43"/>
      <c r="S137" s="43"/>
      <c r="T137" s="43"/>
      <c r="U137" s="43"/>
      <c r="V137" s="43"/>
      <c r="W137" s="43"/>
      <c r="X137" s="43"/>
      <c r="Y137" s="43"/>
      <c r="Z137" s="43"/>
      <c r="AA137" s="43"/>
      <c r="AB137" s="43"/>
      <c r="AC137" s="45" t="str">
        <f t="shared" ref="AC137:AC200" si="26">IF(OR(L137="",U137=""),"pendiente",IF(L137=U137,"acuerdo","desacuerdo"))</f>
        <v>pendiente</v>
      </c>
      <c r="AD137" s="45" t="str">
        <f t="shared" ref="AD137:AD200" si="27">IF(OR(M137="",V137=""),"pendiente",IF(M137=V137,"acuerdo","desacuerdo"))</f>
        <v>pendiente</v>
      </c>
      <c r="AE137" s="45" t="str">
        <f t="shared" ref="AE137:AE200" si="28">IF(OR(N137="",W137=""),"pendiente",IF(N137=W137,"acuerdo","desacuerdo"))</f>
        <v>pendiente</v>
      </c>
      <c r="AF137" s="45" t="str">
        <f t="shared" ref="AF137:AF200" si="29">IF(OR(O137="",X137=""),"pendiente",IF(O137=X137,"acuerdo","desacuerdo"))</f>
        <v>pendiente</v>
      </c>
      <c r="AG137" s="45" t="str">
        <f t="shared" ref="AG137:AG200" si="30">IF(AI137="NO",IF(AND(P137&lt;&gt;"",Q137&lt;&gt;""),"GPT completa","insuficiente"),IF(AND(P137&lt;&gt;"",Q137&lt;&gt;"",Y137&lt;&gt;"",Z137&lt;&gt;""),"ambos completa","insuficiente"))</f>
        <v>insuficiente</v>
      </c>
      <c r="AH137" s="45" t="str">
        <f t="shared" ref="AH137:AH200" si="31">IF(AI137="NO",IF(AG137="GPT completa","dictamen_unico_A","pendiente"),IF(OR(AC137="pendiente",AD137="pendiente",AE137="pendiente",AF137="pendiente"),"pendiente",IF(AND(AC137="acuerdo",AD137="acuerdo",AE137="acuerdo",AF137="acuerdo",AG137="ambos completa"),"consenso_con_evidencia",IF(AG137="insuficiente","consenso_sin_evidencia_suficiente","desacuerdo"))))</f>
        <v>pendiente</v>
      </c>
      <c r="AI137" s="45" t="str">
        <f t="shared" ref="AI137:AI200" si="32">IF(IF(I137="",H137,I137)="A",IF(MOD(A137,7)=0,"SI","NO"),"SI")</f>
        <v>SI</v>
      </c>
      <c r="AJ137" s="45" t="str">
        <f t="shared" ref="AJ137:AJ200" si="33">IF(IF(I137="",H137,I137)="C","obligatorio",IF(IF(I137="",H137,I137)="B","abreviado",IF(MOD(A137,10)=0,"muestra","NO")))</f>
        <v>abreviado</v>
      </c>
      <c r="AK137" s="45" t="str">
        <f t="shared" ref="AK137:AK200" si="34">IF(OR(IF(I137="",H137,I137)="C",AH137="desacuerdo",AH137="consenso_sin_evidencia_suficiente",AND(AG137="insuficiente",OR(P137&lt;&gt;"",Q137&lt;&gt;"",Y137&lt;&gt;"",Z137&lt;&gt;""))),"SI","NO")</f>
        <v>NO</v>
      </c>
      <c r="AL137" s="45"/>
      <c r="AM137" s="45"/>
      <c r="AN137" s="45"/>
      <c r="AO137" s="49"/>
      <c r="AP137" s="45"/>
      <c r="AQ137" s="45"/>
      <c r="AR137" s="45" t="str">
        <f t="shared" ref="AR137:AR200" si="35">IF(AND(AL137="revisada",AM137&lt;&gt;"",AN137&lt;&gt;"",AO137&lt;&gt;"",AP137="pasa",AQ137="aprobada"),"SI","NO")</f>
        <v>NO</v>
      </c>
      <c r="AS137" s="43"/>
    </row>
    <row r="138" spans="1:45" ht="44" customHeight="1">
      <c r="A138" s="45">
        <v>130</v>
      </c>
      <c r="B138" s="43" t="str">
        <f>'T01 revisión'!A134</f>
        <v>hall_slavesocietydanish</v>
      </c>
      <c r="C138" s="43" t="str">
        <f>'T01 revisión'!B134</f>
        <v>Slave Society in the Danish West Indies: St. Thomas, St. John and St. Croix</v>
      </c>
      <c r="D138" s="43" t="str">
        <f>'T01 revisión'!C134</f>
        <v>Neville A. T. Hall (ed. B. W. Higman)</v>
      </c>
      <c r="E138" s="43" t="str">
        <f>'T01 revisión'!D134</f>
        <v>A01</v>
      </c>
      <c r="F138" s="43" t="str">
        <f>'T01 revisión'!E134</f>
        <v>anglófono / danés (Caribe danés)</v>
      </c>
      <c r="G138" s="43" t="str">
        <f>'T01 revisión'!H134</f>
        <v>múltiples lenguas; función territorial no demostrada</v>
      </c>
      <c r="H138" s="45" t="str">
        <f t="shared" si="24"/>
        <v>B</v>
      </c>
      <c r="I138" s="45"/>
      <c r="J138" s="45" t="str">
        <f t="shared" si="25"/>
        <v>GPT + Claude ciegos; control abreviado</v>
      </c>
      <c r="K138" s="43"/>
      <c r="L138" s="43"/>
      <c r="M138" s="43"/>
      <c r="N138" s="43"/>
      <c r="O138" s="43"/>
      <c r="P138" s="43"/>
      <c r="Q138" s="43"/>
      <c r="R138" s="43"/>
      <c r="S138" s="43"/>
      <c r="T138" s="43"/>
      <c r="U138" s="43"/>
      <c r="V138" s="43"/>
      <c r="W138" s="43"/>
      <c r="X138" s="43"/>
      <c r="Y138" s="43"/>
      <c r="Z138" s="43"/>
      <c r="AA138" s="43"/>
      <c r="AB138" s="43"/>
      <c r="AC138" s="45" t="str">
        <f t="shared" si="26"/>
        <v>pendiente</v>
      </c>
      <c r="AD138" s="45" t="str">
        <f t="shared" si="27"/>
        <v>pendiente</v>
      </c>
      <c r="AE138" s="45" t="str">
        <f t="shared" si="28"/>
        <v>pendiente</v>
      </c>
      <c r="AF138" s="45" t="str">
        <f t="shared" si="29"/>
        <v>pendiente</v>
      </c>
      <c r="AG138" s="45" t="str">
        <f t="shared" si="30"/>
        <v>insuficiente</v>
      </c>
      <c r="AH138" s="45" t="str">
        <f t="shared" si="31"/>
        <v>pendiente</v>
      </c>
      <c r="AI138" s="45" t="str">
        <f t="shared" si="32"/>
        <v>SI</v>
      </c>
      <c r="AJ138" s="45" t="str">
        <f t="shared" si="33"/>
        <v>abreviado</v>
      </c>
      <c r="AK138" s="45" t="str">
        <f t="shared" si="34"/>
        <v>NO</v>
      </c>
      <c r="AL138" s="45"/>
      <c r="AM138" s="45"/>
      <c r="AN138" s="45"/>
      <c r="AO138" s="49"/>
      <c r="AP138" s="45"/>
      <c r="AQ138" s="45"/>
      <c r="AR138" s="45" t="str">
        <f t="shared" si="35"/>
        <v>NO</v>
      </c>
      <c r="AS138" s="43"/>
    </row>
    <row r="139" spans="1:45" ht="44" customHeight="1">
      <c r="A139" s="45">
        <v>131</v>
      </c>
      <c r="B139" s="43" t="str">
        <f>'T01 revisión'!A135</f>
        <v>knight_genesisnacionalismo</v>
      </c>
      <c r="C139" s="43" t="str">
        <f>'T01 revisión'!B135</f>
        <v>The Caribbean: The Genesis of a Fragmented Nationalism</v>
      </c>
      <c r="D139" s="43" t="str">
        <f>'T01 revisión'!C135</f>
        <v>Franklin W. Knight</v>
      </c>
      <c r="E139" s="43" t="str">
        <f>'T01 revisión'!D135</f>
        <v>C02</v>
      </c>
      <c r="F139" s="43" t="str">
        <f>'T01 revisión'!E135</f>
        <v>anglófono (Jamaica/EE.UU.)</v>
      </c>
      <c r="G139" s="43" t="str">
        <f>'T01 revisión'!H135</f>
        <v>varias procedencias o territorios; abreviaturas por normalizar; función territorial no demostrada</v>
      </c>
      <c r="H139" s="45" t="str">
        <f t="shared" si="24"/>
        <v>B</v>
      </c>
      <c r="I139" s="45"/>
      <c r="J139" s="45" t="str">
        <f t="shared" si="25"/>
        <v>GPT + Claude ciegos; control abreviado</v>
      </c>
      <c r="K139" s="43"/>
      <c r="L139" s="43"/>
      <c r="M139" s="43"/>
      <c r="N139" s="43"/>
      <c r="O139" s="43"/>
      <c r="P139" s="43"/>
      <c r="Q139" s="43"/>
      <c r="R139" s="43"/>
      <c r="S139" s="43"/>
      <c r="T139" s="43"/>
      <c r="U139" s="43"/>
      <c r="V139" s="43"/>
      <c r="W139" s="43"/>
      <c r="X139" s="43"/>
      <c r="Y139" s="43"/>
      <c r="Z139" s="43"/>
      <c r="AA139" s="43"/>
      <c r="AB139" s="43"/>
      <c r="AC139" s="45" t="str">
        <f t="shared" si="26"/>
        <v>pendiente</v>
      </c>
      <c r="AD139" s="45" t="str">
        <f t="shared" si="27"/>
        <v>pendiente</v>
      </c>
      <c r="AE139" s="45" t="str">
        <f t="shared" si="28"/>
        <v>pendiente</v>
      </c>
      <c r="AF139" s="45" t="str">
        <f t="shared" si="29"/>
        <v>pendiente</v>
      </c>
      <c r="AG139" s="45" t="str">
        <f t="shared" si="30"/>
        <v>insuficiente</v>
      </c>
      <c r="AH139" s="45" t="str">
        <f t="shared" si="31"/>
        <v>pendiente</v>
      </c>
      <c r="AI139" s="45" t="str">
        <f t="shared" si="32"/>
        <v>SI</v>
      </c>
      <c r="AJ139" s="45" t="str">
        <f t="shared" si="33"/>
        <v>abreviado</v>
      </c>
      <c r="AK139" s="45" t="str">
        <f t="shared" si="34"/>
        <v>NO</v>
      </c>
      <c r="AL139" s="45"/>
      <c r="AM139" s="45"/>
      <c r="AN139" s="45"/>
      <c r="AO139" s="49"/>
      <c r="AP139" s="45"/>
      <c r="AQ139" s="45"/>
      <c r="AR139" s="45" t="str">
        <f t="shared" si="35"/>
        <v>NO</v>
      </c>
      <c r="AS139" s="43"/>
    </row>
    <row r="140" spans="1:45" ht="44" customHeight="1">
      <c r="A140" s="45">
        <v>132</v>
      </c>
      <c r="B140" s="43" t="str">
        <f>'T01 revisión'!A136</f>
        <v>benedictykokken_haitiexception</v>
      </c>
      <c r="C140" s="43" t="str">
        <f>'T01 revisión'!B136</f>
        <v>The Haiti Exception: Anthropology and the Predicaments of Development</v>
      </c>
      <c r="D140" s="43" t="str">
        <f>'T01 revisión'!C136</f>
        <v>Alessandra Benedicty-Kokken, Kaiama L. Glover, Jhon Picard Byron y Mark Schuller (eds.)</v>
      </c>
      <c r="E140" s="43" t="str">
        <f>'T01 revisión'!D136</f>
        <v>A02</v>
      </c>
      <c r="F140" s="43" t="str">
        <f>'T01 revisión'!E136</f>
        <v>francófono (Haití) / anglófono</v>
      </c>
      <c r="G140" s="43" t="str">
        <f>'T01 revisión'!H136</f>
        <v>múltiples lenguas; función territorial no demostrada</v>
      </c>
      <c r="H140" s="45" t="str">
        <f t="shared" si="24"/>
        <v>B</v>
      </c>
      <c r="I140" s="45"/>
      <c r="J140" s="45" t="str">
        <f t="shared" si="25"/>
        <v>GPT + Claude ciegos; control abreviado</v>
      </c>
      <c r="K140" s="43"/>
      <c r="L140" s="43"/>
      <c r="M140" s="43"/>
      <c r="N140" s="43"/>
      <c r="O140" s="43"/>
      <c r="P140" s="43"/>
      <c r="Q140" s="43"/>
      <c r="R140" s="43"/>
      <c r="S140" s="43"/>
      <c r="T140" s="43"/>
      <c r="U140" s="43"/>
      <c r="V140" s="43"/>
      <c r="W140" s="43"/>
      <c r="X140" s="43"/>
      <c r="Y140" s="43"/>
      <c r="Z140" s="43"/>
      <c r="AA140" s="43"/>
      <c r="AB140" s="43"/>
      <c r="AC140" s="45" t="str">
        <f t="shared" si="26"/>
        <v>pendiente</v>
      </c>
      <c r="AD140" s="45" t="str">
        <f t="shared" si="27"/>
        <v>pendiente</v>
      </c>
      <c r="AE140" s="45" t="str">
        <f t="shared" si="28"/>
        <v>pendiente</v>
      </c>
      <c r="AF140" s="45" t="str">
        <f t="shared" si="29"/>
        <v>pendiente</v>
      </c>
      <c r="AG140" s="45" t="str">
        <f t="shared" si="30"/>
        <v>insuficiente</v>
      </c>
      <c r="AH140" s="45" t="str">
        <f t="shared" si="31"/>
        <v>pendiente</v>
      </c>
      <c r="AI140" s="45" t="str">
        <f t="shared" si="32"/>
        <v>SI</v>
      </c>
      <c r="AJ140" s="45" t="str">
        <f t="shared" si="33"/>
        <v>abreviado</v>
      </c>
      <c r="AK140" s="45" t="str">
        <f t="shared" si="34"/>
        <v>NO</v>
      </c>
      <c r="AL140" s="45"/>
      <c r="AM140" s="45"/>
      <c r="AN140" s="45"/>
      <c r="AO140" s="49"/>
      <c r="AP140" s="45"/>
      <c r="AQ140" s="45"/>
      <c r="AR140" s="45" t="str">
        <f t="shared" si="35"/>
        <v>NO</v>
      </c>
      <c r="AS140" s="43"/>
    </row>
    <row r="141" spans="1:45" ht="44" customHeight="1">
      <c r="A141" s="45">
        <v>133</v>
      </c>
      <c r="B141" s="43" t="str">
        <f>'T01 revisión'!A137</f>
        <v>klein_battleparadise</v>
      </c>
      <c r="C141" s="43" t="str">
        <f>'T01 revisión'!B137</f>
        <v>The Battle for Paradise: Puerto Rico Takes on the Disaster Capitalists</v>
      </c>
      <c r="D141" s="43" t="str">
        <f>'T01 revisión'!C137</f>
        <v>Naomi Klein</v>
      </c>
      <c r="E141" s="43" t="str">
        <f>'T01 revisión'!D137</f>
        <v>A02</v>
      </c>
      <c r="F141" s="43" t="str">
        <f>'T01 revisión'!E137</f>
        <v>anglófono (Canadá) / hispanófono (Puerto Rico)</v>
      </c>
      <c r="G141" s="43" t="str">
        <f>'T01 revisión'!H137</f>
        <v>múltiples lenguas; función territorial no demostrada</v>
      </c>
      <c r="H141" s="45" t="str">
        <f t="shared" si="24"/>
        <v>B</v>
      </c>
      <c r="I141" s="45"/>
      <c r="J141" s="45" t="str">
        <f t="shared" si="25"/>
        <v>GPT + Claude ciegos; control abreviado</v>
      </c>
      <c r="K141" s="43" t="s">
        <v>3048</v>
      </c>
      <c r="L141" s="43" t="s">
        <v>2340</v>
      </c>
      <c r="M141" s="43"/>
      <c r="N141" s="43" t="s">
        <v>2370</v>
      </c>
      <c r="O141" s="43"/>
      <c r="P141" s="43" t="s">
        <v>3049</v>
      </c>
      <c r="Q141" s="43" t="s">
        <v>2959</v>
      </c>
      <c r="R141" s="43" t="s">
        <v>2966</v>
      </c>
      <c r="S141" s="43" t="s">
        <v>2229</v>
      </c>
      <c r="T141" s="43"/>
      <c r="U141" s="43"/>
      <c r="V141" s="43"/>
      <c r="W141" s="43"/>
      <c r="X141" s="43"/>
      <c r="Y141" s="43"/>
      <c r="Z141" s="43"/>
      <c r="AA141" s="43"/>
      <c r="AB141" s="43"/>
      <c r="AC141" s="45" t="str">
        <f t="shared" si="26"/>
        <v>pendiente</v>
      </c>
      <c r="AD141" s="45" t="str">
        <f t="shared" si="27"/>
        <v>pendiente</v>
      </c>
      <c r="AE141" s="45" t="str">
        <f t="shared" si="28"/>
        <v>pendiente</v>
      </c>
      <c r="AF141" s="45" t="str">
        <f t="shared" si="29"/>
        <v>pendiente</v>
      </c>
      <c r="AG141" s="45" t="str">
        <f t="shared" si="30"/>
        <v>insuficiente</v>
      </c>
      <c r="AH141" s="45" t="str">
        <f t="shared" si="31"/>
        <v>pendiente</v>
      </c>
      <c r="AI141" s="45" t="str">
        <f t="shared" si="32"/>
        <v>SI</v>
      </c>
      <c r="AJ141" s="45" t="str">
        <f t="shared" si="33"/>
        <v>abreviado</v>
      </c>
      <c r="AK141" s="45" t="str">
        <f t="shared" si="34"/>
        <v>SI</v>
      </c>
      <c r="AL141" s="45"/>
      <c r="AM141" s="45"/>
      <c r="AN141" s="45"/>
      <c r="AO141" s="49"/>
      <c r="AP141" s="45"/>
      <c r="AQ141" s="45"/>
      <c r="AR141" s="45" t="str">
        <f t="shared" si="35"/>
        <v>NO</v>
      </c>
      <c r="AS141" s="43" t="s">
        <v>3050</v>
      </c>
    </row>
    <row r="142" spans="1:45" ht="44" customHeight="1">
      <c r="A142" s="45">
        <v>134</v>
      </c>
      <c r="B142" s="43" t="str">
        <f>'T01 revisión'!A138</f>
        <v>trouillothaitistate</v>
      </c>
      <c r="C142" s="43" t="str">
        <f>'T01 revisión'!B138</f>
        <v>Haiti: State Against Nation. The Origins and Legacy of Duvalierism</v>
      </c>
      <c r="D142" s="43" t="str">
        <f>'T01 revisión'!C138</f>
        <v>Michel-Rolph Trouillot</v>
      </c>
      <c r="E142" s="43" t="str">
        <f>'T01 revisión'!D138</f>
        <v>A03</v>
      </c>
      <c r="F142" s="43" t="str">
        <f>'T01 revisión'!E138</f>
        <v>anglófono (Haití/EE.UU.)</v>
      </c>
      <c r="G142" s="43" t="str">
        <f>'T01 revisión'!H138</f>
        <v>varias procedencias o territorios; abreviaturas por normalizar; función territorial no demostrada</v>
      </c>
      <c r="H142" s="45" t="str">
        <f t="shared" si="24"/>
        <v>B</v>
      </c>
      <c r="I142" s="45"/>
      <c r="J142" s="45" t="str">
        <f t="shared" si="25"/>
        <v>GPT + Claude ciegos; control abreviado</v>
      </c>
      <c r="K142" s="43"/>
      <c r="L142" s="43"/>
      <c r="M142" s="43"/>
      <c r="N142" s="43"/>
      <c r="O142" s="43"/>
      <c r="P142" s="43"/>
      <c r="Q142" s="43"/>
      <c r="R142" s="43"/>
      <c r="S142" s="43"/>
      <c r="T142" s="43"/>
      <c r="U142" s="43"/>
      <c r="V142" s="43"/>
      <c r="W142" s="43"/>
      <c r="X142" s="43"/>
      <c r="Y142" s="43"/>
      <c r="Z142" s="43"/>
      <c r="AA142" s="43"/>
      <c r="AB142" s="43"/>
      <c r="AC142" s="45" t="str">
        <f t="shared" si="26"/>
        <v>pendiente</v>
      </c>
      <c r="AD142" s="45" t="str">
        <f t="shared" si="27"/>
        <v>pendiente</v>
      </c>
      <c r="AE142" s="45" t="str">
        <f t="shared" si="28"/>
        <v>pendiente</v>
      </c>
      <c r="AF142" s="45" t="str">
        <f t="shared" si="29"/>
        <v>pendiente</v>
      </c>
      <c r="AG142" s="45" t="str">
        <f t="shared" si="30"/>
        <v>insuficiente</v>
      </c>
      <c r="AH142" s="45" t="str">
        <f t="shared" si="31"/>
        <v>pendiente</v>
      </c>
      <c r="AI142" s="45" t="str">
        <f t="shared" si="32"/>
        <v>SI</v>
      </c>
      <c r="AJ142" s="45" t="str">
        <f t="shared" si="33"/>
        <v>abreviado</v>
      </c>
      <c r="AK142" s="45" t="str">
        <f t="shared" si="34"/>
        <v>NO</v>
      </c>
      <c r="AL142" s="45"/>
      <c r="AM142" s="45"/>
      <c r="AN142" s="45"/>
      <c r="AO142" s="49"/>
      <c r="AP142" s="45"/>
      <c r="AQ142" s="45"/>
      <c r="AR142" s="45" t="str">
        <f t="shared" si="35"/>
        <v>NO</v>
      </c>
      <c r="AS142" s="43"/>
    </row>
    <row r="143" spans="1:45" ht="44" customHeight="1">
      <c r="A143" s="45">
        <v>135</v>
      </c>
      <c r="B143" s="43" t="str">
        <f>'T01 revisión'!A139</f>
        <v>kincaidsmallplace</v>
      </c>
      <c r="C143" s="43" t="str">
        <f>'T01 revisión'!B139</f>
        <v>A Small Place</v>
      </c>
      <c r="D143" s="43" t="str">
        <f>'T01 revisión'!C139</f>
        <v>Jamaica Kincaid</v>
      </c>
      <c r="E143" s="43" t="str">
        <f>'T01 revisión'!D139</f>
        <v>C01</v>
      </c>
      <c r="F143" s="43" t="str">
        <f>'T01 revisión'!E139</f>
        <v>anglófono (Antigua/EE.UU.)</v>
      </c>
      <c r="G143" s="43" t="str">
        <f>'T01 revisión'!H139</f>
        <v>varias procedencias o territorios; abreviaturas por normalizar; función territorial no demostrada</v>
      </c>
      <c r="H143" s="45" t="str">
        <f t="shared" si="24"/>
        <v>B</v>
      </c>
      <c r="I143" s="45"/>
      <c r="J143" s="45" t="str">
        <f t="shared" si="25"/>
        <v>GPT + Claude ciegos; control abreviado</v>
      </c>
      <c r="K143" s="43"/>
      <c r="L143" s="43"/>
      <c r="M143" s="43"/>
      <c r="N143" s="43"/>
      <c r="O143" s="43"/>
      <c r="P143" s="43"/>
      <c r="Q143" s="43"/>
      <c r="R143" s="43"/>
      <c r="S143" s="43"/>
      <c r="T143" s="43"/>
      <c r="U143" s="43"/>
      <c r="V143" s="43"/>
      <c r="W143" s="43"/>
      <c r="X143" s="43"/>
      <c r="Y143" s="43"/>
      <c r="Z143" s="43"/>
      <c r="AA143" s="43"/>
      <c r="AB143" s="43"/>
      <c r="AC143" s="45" t="str">
        <f t="shared" si="26"/>
        <v>pendiente</v>
      </c>
      <c r="AD143" s="45" t="str">
        <f t="shared" si="27"/>
        <v>pendiente</v>
      </c>
      <c r="AE143" s="45" t="str">
        <f t="shared" si="28"/>
        <v>pendiente</v>
      </c>
      <c r="AF143" s="45" t="str">
        <f t="shared" si="29"/>
        <v>pendiente</v>
      </c>
      <c r="AG143" s="45" t="str">
        <f t="shared" si="30"/>
        <v>insuficiente</v>
      </c>
      <c r="AH143" s="45" t="str">
        <f t="shared" si="31"/>
        <v>pendiente</v>
      </c>
      <c r="AI143" s="45" t="str">
        <f t="shared" si="32"/>
        <v>SI</v>
      </c>
      <c r="AJ143" s="45" t="str">
        <f t="shared" si="33"/>
        <v>abreviado</v>
      </c>
      <c r="AK143" s="45" t="str">
        <f t="shared" si="34"/>
        <v>NO</v>
      </c>
      <c r="AL143" s="45"/>
      <c r="AM143" s="45"/>
      <c r="AN143" s="45"/>
      <c r="AO143" s="49"/>
      <c r="AP143" s="45"/>
      <c r="AQ143" s="45"/>
      <c r="AR143" s="45" t="str">
        <f t="shared" si="35"/>
        <v>NO</v>
      </c>
      <c r="AS143" s="43"/>
    </row>
    <row r="144" spans="1:45" ht="44" customHeight="1">
      <c r="A144" s="45">
        <v>136</v>
      </c>
      <c r="B144" s="43" t="str">
        <f>'T01 revisión'!A140</f>
        <v>wilsoncrabantics</v>
      </c>
      <c r="C144" s="43" t="str">
        <f>'T01 revisión'!B140</f>
        <v>Crab Antics: The Social Anthropology of English-Speaking Negro Societies of the Caribbean</v>
      </c>
      <c r="D144" s="43" t="str">
        <f>'T01 revisión'!C140</f>
        <v>Peter J. Wilson</v>
      </c>
      <c r="E144" s="43" t="str">
        <f>'T01 revisión'!D140</f>
        <v>C03</v>
      </c>
      <c r="F144" s="43" t="str">
        <f>'T01 revisión'!E140</f>
        <v>anglófono (Nueva Zelanda/Providencia)</v>
      </c>
      <c r="G144" s="43" t="str">
        <f>'T01 revisión'!H140</f>
        <v>varias procedencias o territorios; función territorial no demostrada</v>
      </c>
      <c r="H144" s="45" t="str">
        <f t="shared" si="24"/>
        <v>B</v>
      </c>
      <c r="I144" s="45"/>
      <c r="J144" s="45" t="str">
        <f t="shared" si="25"/>
        <v>GPT + Claude ciegos; control abreviado</v>
      </c>
      <c r="K144" s="43"/>
      <c r="L144" s="43"/>
      <c r="M144" s="43"/>
      <c r="N144" s="43"/>
      <c r="O144" s="43"/>
      <c r="P144" s="43"/>
      <c r="Q144" s="43"/>
      <c r="R144" s="43"/>
      <c r="S144" s="43"/>
      <c r="T144" s="43"/>
      <c r="U144" s="43"/>
      <c r="V144" s="43"/>
      <c r="W144" s="43"/>
      <c r="X144" s="43"/>
      <c r="Y144" s="43"/>
      <c r="Z144" s="43"/>
      <c r="AA144" s="43"/>
      <c r="AB144" s="43"/>
      <c r="AC144" s="45" t="str">
        <f t="shared" si="26"/>
        <v>pendiente</v>
      </c>
      <c r="AD144" s="45" t="str">
        <f t="shared" si="27"/>
        <v>pendiente</v>
      </c>
      <c r="AE144" s="45" t="str">
        <f t="shared" si="28"/>
        <v>pendiente</v>
      </c>
      <c r="AF144" s="45" t="str">
        <f t="shared" si="29"/>
        <v>pendiente</v>
      </c>
      <c r="AG144" s="45" t="str">
        <f t="shared" si="30"/>
        <v>insuficiente</v>
      </c>
      <c r="AH144" s="45" t="str">
        <f t="shared" si="31"/>
        <v>pendiente</v>
      </c>
      <c r="AI144" s="45" t="str">
        <f t="shared" si="32"/>
        <v>SI</v>
      </c>
      <c r="AJ144" s="45" t="str">
        <f t="shared" si="33"/>
        <v>abreviado</v>
      </c>
      <c r="AK144" s="45" t="str">
        <f t="shared" si="34"/>
        <v>NO</v>
      </c>
      <c r="AL144" s="45"/>
      <c r="AM144" s="45"/>
      <c r="AN144" s="45"/>
      <c r="AO144" s="49"/>
      <c r="AP144" s="45"/>
      <c r="AQ144" s="45"/>
      <c r="AR144" s="45" t="str">
        <f t="shared" si="35"/>
        <v>NO</v>
      </c>
      <c r="AS144" s="43"/>
    </row>
    <row r="145" spans="1:45" ht="44" customHeight="1">
      <c r="A145" s="45">
        <v>137</v>
      </c>
      <c r="B145" s="43" t="str">
        <f>'T01 revisión'!A141</f>
        <v>gomezexperiential</v>
      </c>
      <c r="C145" s="43" t="str">
        <f>'T01 revisión'!B141</f>
        <v>The Experiential Caribbean: Creating Knowledge and Healing in the Early Modern Atlantic</v>
      </c>
      <c r="D145" s="43" t="str">
        <f>'T01 revisión'!C141</f>
        <v>Pablo F. Gómez</v>
      </c>
      <c r="E145" s="43" t="str">
        <f>'T01 revisión'!D141</f>
        <v>C04</v>
      </c>
      <c r="F145" s="43" t="str">
        <f>'T01 revisión'!E141</f>
        <v>anglófono (Colombia/EE.UU.)</v>
      </c>
      <c r="G145" s="43" t="str">
        <f>'T01 revisión'!H141</f>
        <v>varias procedencias o territorios; abreviaturas por normalizar; función territorial no demostrada</v>
      </c>
      <c r="H145" s="45" t="str">
        <f t="shared" si="24"/>
        <v>B</v>
      </c>
      <c r="I145" s="45"/>
      <c r="J145" s="45" t="str">
        <f t="shared" si="25"/>
        <v>GPT + Claude ciegos; control abreviado</v>
      </c>
      <c r="K145" s="43"/>
      <c r="L145" s="43"/>
      <c r="M145" s="43"/>
      <c r="N145" s="43"/>
      <c r="O145" s="43"/>
      <c r="P145" s="43"/>
      <c r="Q145" s="43"/>
      <c r="R145" s="43"/>
      <c r="S145" s="43"/>
      <c r="T145" s="43"/>
      <c r="U145" s="43"/>
      <c r="V145" s="43"/>
      <c r="W145" s="43"/>
      <c r="X145" s="43"/>
      <c r="Y145" s="43"/>
      <c r="Z145" s="43"/>
      <c r="AA145" s="43"/>
      <c r="AB145" s="43"/>
      <c r="AC145" s="45" t="str">
        <f t="shared" si="26"/>
        <v>pendiente</v>
      </c>
      <c r="AD145" s="45" t="str">
        <f t="shared" si="27"/>
        <v>pendiente</v>
      </c>
      <c r="AE145" s="45" t="str">
        <f t="shared" si="28"/>
        <v>pendiente</v>
      </c>
      <c r="AF145" s="45" t="str">
        <f t="shared" si="29"/>
        <v>pendiente</v>
      </c>
      <c r="AG145" s="45" t="str">
        <f t="shared" si="30"/>
        <v>insuficiente</v>
      </c>
      <c r="AH145" s="45" t="str">
        <f t="shared" si="31"/>
        <v>pendiente</v>
      </c>
      <c r="AI145" s="45" t="str">
        <f t="shared" si="32"/>
        <v>SI</v>
      </c>
      <c r="AJ145" s="45" t="str">
        <f t="shared" si="33"/>
        <v>abreviado</v>
      </c>
      <c r="AK145" s="45" t="str">
        <f t="shared" si="34"/>
        <v>NO</v>
      </c>
      <c r="AL145" s="45"/>
      <c r="AM145" s="45"/>
      <c r="AN145" s="45"/>
      <c r="AO145" s="49"/>
      <c r="AP145" s="45"/>
      <c r="AQ145" s="45"/>
      <c r="AR145" s="45" t="str">
        <f t="shared" si="35"/>
        <v>NO</v>
      </c>
      <c r="AS145" s="43"/>
    </row>
    <row r="146" spans="1:45" ht="44" customHeight="1">
      <c r="A146" s="45">
        <v>138</v>
      </c>
      <c r="B146" s="43" t="str">
        <f>'T01 revisión'!A142</f>
        <v>goffedarklab</v>
      </c>
      <c r="C146" s="43" t="str">
        <f>'T01 revisión'!B142</f>
        <v>Dark Laboratory: On Columbus, the Caribbean, and the Origins of the Climate Crisis</v>
      </c>
      <c r="D146" s="43" t="str">
        <f>'T01 revisión'!C142</f>
        <v>Tao Leigh Goffe</v>
      </c>
      <c r="E146" s="43" t="str">
        <f>'T01 revisión'!D142</f>
        <v>A02</v>
      </c>
      <c r="F146" s="43" t="str">
        <f>'T01 revisión'!E142</f>
        <v>anglófono (Jamaica/EE.UU.)</v>
      </c>
      <c r="G146" s="43" t="str">
        <f>'T01 revisión'!H142</f>
        <v>varias procedencias o territorios; abreviaturas por normalizar; función territorial no demostrada</v>
      </c>
      <c r="H146" s="45" t="str">
        <f t="shared" si="24"/>
        <v>B</v>
      </c>
      <c r="I146" s="45"/>
      <c r="J146" s="45" t="str">
        <f t="shared" si="25"/>
        <v>GPT + Claude ciegos; control abreviado</v>
      </c>
      <c r="K146" s="43"/>
      <c r="L146" s="43"/>
      <c r="M146" s="43"/>
      <c r="N146" s="43"/>
      <c r="O146" s="43"/>
      <c r="P146" s="43"/>
      <c r="Q146" s="43"/>
      <c r="R146" s="43"/>
      <c r="S146" s="43"/>
      <c r="T146" s="43"/>
      <c r="U146" s="43"/>
      <c r="V146" s="43"/>
      <c r="W146" s="43"/>
      <c r="X146" s="43"/>
      <c r="Y146" s="43"/>
      <c r="Z146" s="43"/>
      <c r="AA146" s="43"/>
      <c r="AB146" s="43"/>
      <c r="AC146" s="45" t="str">
        <f t="shared" si="26"/>
        <v>pendiente</v>
      </c>
      <c r="AD146" s="45" t="str">
        <f t="shared" si="27"/>
        <v>pendiente</v>
      </c>
      <c r="AE146" s="45" t="str">
        <f t="shared" si="28"/>
        <v>pendiente</v>
      </c>
      <c r="AF146" s="45" t="str">
        <f t="shared" si="29"/>
        <v>pendiente</v>
      </c>
      <c r="AG146" s="45" t="str">
        <f t="shared" si="30"/>
        <v>insuficiente</v>
      </c>
      <c r="AH146" s="45" t="str">
        <f t="shared" si="31"/>
        <v>pendiente</v>
      </c>
      <c r="AI146" s="45" t="str">
        <f t="shared" si="32"/>
        <v>SI</v>
      </c>
      <c r="AJ146" s="45" t="str">
        <f t="shared" si="33"/>
        <v>abreviado</v>
      </c>
      <c r="AK146" s="45" t="str">
        <f t="shared" si="34"/>
        <v>NO</v>
      </c>
      <c r="AL146" s="45"/>
      <c r="AM146" s="45"/>
      <c r="AN146" s="45"/>
      <c r="AO146" s="49"/>
      <c r="AP146" s="45"/>
      <c r="AQ146" s="45"/>
      <c r="AR146" s="45" t="str">
        <f t="shared" si="35"/>
        <v>NO</v>
      </c>
      <c r="AS146" s="43"/>
    </row>
    <row r="147" spans="1:45" ht="44" customHeight="1">
      <c r="A147" s="45">
        <v>139</v>
      </c>
      <c r="B147" s="43" t="str">
        <f>'T01 revisión'!A143</f>
        <v>wilderfreedomtime</v>
      </c>
      <c r="C147" s="43" t="str">
        <f>'T01 revisión'!B143</f>
        <v>Freedom Time: Negritude, Decolonization, and the Future of the World</v>
      </c>
      <c r="D147" s="43" t="str">
        <f>'T01 revisión'!C143</f>
        <v>Gary Wilder</v>
      </c>
      <c r="E147" s="43" t="str">
        <f>'T01 revisión'!D143</f>
        <v>C02</v>
      </c>
      <c r="F147" s="43" t="str">
        <f>'T01 revisión'!E143</f>
        <v>anglófono (EE.UU./Francia)</v>
      </c>
      <c r="G147" s="43" t="str">
        <f>'T01 revisión'!H143</f>
        <v>varias procedencias o territorios; abreviaturas por normalizar; función territorial no demostrada</v>
      </c>
      <c r="H147" s="45" t="str">
        <f t="shared" si="24"/>
        <v>B</v>
      </c>
      <c r="I147" s="45"/>
      <c r="J147" s="45" t="str">
        <f t="shared" si="25"/>
        <v>GPT + Claude ciegos; control abreviado</v>
      </c>
      <c r="K147" s="43"/>
      <c r="L147" s="43"/>
      <c r="M147" s="43"/>
      <c r="N147" s="43"/>
      <c r="O147" s="43"/>
      <c r="P147" s="43"/>
      <c r="Q147" s="43"/>
      <c r="R147" s="43"/>
      <c r="S147" s="43"/>
      <c r="T147" s="43"/>
      <c r="U147" s="43"/>
      <c r="V147" s="43"/>
      <c r="W147" s="43"/>
      <c r="X147" s="43"/>
      <c r="Y147" s="43"/>
      <c r="Z147" s="43"/>
      <c r="AA147" s="43"/>
      <c r="AB147" s="43"/>
      <c r="AC147" s="45" t="str">
        <f t="shared" si="26"/>
        <v>pendiente</v>
      </c>
      <c r="AD147" s="45" t="str">
        <f t="shared" si="27"/>
        <v>pendiente</v>
      </c>
      <c r="AE147" s="45" t="str">
        <f t="shared" si="28"/>
        <v>pendiente</v>
      </c>
      <c r="AF147" s="45" t="str">
        <f t="shared" si="29"/>
        <v>pendiente</v>
      </c>
      <c r="AG147" s="45" t="str">
        <f t="shared" si="30"/>
        <v>insuficiente</v>
      </c>
      <c r="AH147" s="45" t="str">
        <f t="shared" si="31"/>
        <v>pendiente</v>
      </c>
      <c r="AI147" s="45" t="str">
        <f t="shared" si="32"/>
        <v>SI</v>
      </c>
      <c r="AJ147" s="45" t="str">
        <f t="shared" si="33"/>
        <v>abreviado</v>
      </c>
      <c r="AK147" s="45" t="str">
        <f t="shared" si="34"/>
        <v>NO</v>
      </c>
      <c r="AL147" s="45"/>
      <c r="AM147" s="45"/>
      <c r="AN147" s="45"/>
      <c r="AO147" s="49"/>
      <c r="AP147" s="45"/>
      <c r="AQ147" s="45"/>
      <c r="AR147" s="45" t="str">
        <f t="shared" si="35"/>
        <v>NO</v>
      </c>
      <c r="AS147" s="43"/>
    </row>
    <row r="148" spans="1:45" ht="44" customHeight="1">
      <c r="A148" s="45">
        <v>140</v>
      </c>
      <c r="B148" s="43" t="str">
        <f>'T01 revisión'!A144</f>
        <v>bogueslammingreader</v>
      </c>
      <c r="C148" s="43" t="str">
        <f>'T01 revisión'!B144</f>
        <v>The George Lamming Reader: The Aesthetics of Decolonisation</v>
      </c>
      <c r="D148" s="43" t="str">
        <f>'T01 revisión'!C144</f>
        <v>Anthony Bogues (ed.)</v>
      </c>
      <c r="E148" s="43" t="str">
        <f>'T01 revisión'!D144</f>
        <v>B04</v>
      </c>
      <c r="F148" s="43" t="str">
        <f>'T01 revisión'!E144</f>
        <v>anglófono (Barbados/Jamaica)</v>
      </c>
      <c r="G148" s="43" t="str">
        <f>'T01 revisión'!H144</f>
        <v>varias procedencias o territorios; función territorial no demostrada</v>
      </c>
      <c r="H148" s="45" t="str">
        <f t="shared" si="24"/>
        <v>B</v>
      </c>
      <c r="I148" s="45"/>
      <c r="J148" s="45" t="str">
        <f t="shared" si="25"/>
        <v>GPT + Claude ciegos; control abreviado</v>
      </c>
      <c r="K148" s="43"/>
      <c r="L148" s="43"/>
      <c r="M148" s="43"/>
      <c r="N148" s="43"/>
      <c r="O148" s="43"/>
      <c r="P148" s="43"/>
      <c r="Q148" s="43"/>
      <c r="R148" s="43"/>
      <c r="S148" s="43"/>
      <c r="T148" s="43"/>
      <c r="U148" s="43"/>
      <c r="V148" s="43"/>
      <c r="W148" s="43"/>
      <c r="X148" s="43"/>
      <c r="Y148" s="43"/>
      <c r="Z148" s="43"/>
      <c r="AA148" s="43"/>
      <c r="AB148" s="43"/>
      <c r="AC148" s="45" t="str">
        <f t="shared" si="26"/>
        <v>pendiente</v>
      </c>
      <c r="AD148" s="45" t="str">
        <f t="shared" si="27"/>
        <v>pendiente</v>
      </c>
      <c r="AE148" s="45" t="str">
        <f t="shared" si="28"/>
        <v>pendiente</v>
      </c>
      <c r="AF148" s="45" t="str">
        <f t="shared" si="29"/>
        <v>pendiente</v>
      </c>
      <c r="AG148" s="45" t="str">
        <f t="shared" si="30"/>
        <v>insuficiente</v>
      </c>
      <c r="AH148" s="45" t="str">
        <f t="shared" si="31"/>
        <v>pendiente</v>
      </c>
      <c r="AI148" s="45" t="str">
        <f t="shared" si="32"/>
        <v>SI</v>
      </c>
      <c r="AJ148" s="45" t="str">
        <f t="shared" si="33"/>
        <v>abreviado</v>
      </c>
      <c r="AK148" s="45" t="str">
        <f t="shared" si="34"/>
        <v>NO</v>
      </c>
      <c r="AL148" s="45"/>
      <c r="AM148" s="45"/>
      <c r="AN148" s="45"/>
      <c r="AO148" s="49"/>
      <c r="AP148" s="45"/>
      <c r="AQ148" s="45"/>
      <c r="AR148" s="45" t="str">
        <f t="shared" si="35"/>
        <v>NO</v>
      </c>
      <c r="AS148" s="43"/>
    </row>
    <row r="149" spans="1:45" ht="44" customHeight="1">
      <c r="A149" s="45">
        <v>141</v>
      </c>
      <c r="B149" s="43" t="str">
        <f>'T01 revisión'!A145</f>
        <v>mahlertricontinental</v>
      </c>
      <c r="C149" s="43" t="str">
        <f>'T01 revisión'!B145</f>
        <v>From the Tricontinental to the Global South: Race, Radicalism, and Transnational Solidarity</v>
      </c>
      <c r="D149" s="43" t="str">
        <f>'T01 revisión'!C145</f>
        <v>Anne Garland Mahler</v>
      </c>
      <c r="E149" s="43" t="str">
        <f>'T01 revisión'!D145</f>
        <v>A02</v>
      </c>
      <c r="F149" s="43" t="str">
        <f>'T01 revisión'!E145</f>
        <v>anglófono (EE.UU.)</v>
      </c>
      <c r="G149" s="43" t="str">
        <f>'T01 revisión'!H145</f>
        <v>abreviaturas por normalizar; función territorial no demostrada</v>
      </c>
      <c r="H149" s="45" t="str">
        <f t="shared" si="24"/>
        <v>A</v>
      </c>
      <c r="I149" s="45"/>
      <c r="J149" s="45" t="str">
        <f t="shared" si="25"/>
        <v>GPT + muestra Claude/humana</v>
      </c>
      <c r="K149" s="43"/>
      <c r="L149" s="43"/>
      <c r="M149" s="43"/>
      <c r="N149" s="43"/>
      <c r="O149" s="43"/>
      <c r="P149" s="43"/>
      <c r="Q149" s="43"/>
      <c r="R149" s="43"/>
      <c r="S149" s="43"/>
      <c r="T149" s="43"/>
      <c r="U149" s="43"/>
      <c r="V149" s="43"/>
      <c r="W149" s="43"/>
      <c r="X149" s="43"/>
      <c r="Y149" s="43"/>
      <c r="Z149" s="43"/>
      <c r="AA149" s="43"/>
      <c r="AB149" s="43"/>
      <c r="AC149" s="45" t="str">
        <f t="shared" si="26"/>
        <v>pendiente</v>
      </c>
      <c r="AD149" s="45" t="str">
        <f t="shared" si="27"/>
        <v>pendiente</v>
      </c>
      <c r="AE149" s="45" t="str">
        <f t="shared" si="28"/>
        <v>pendiente</v>
      </c>
      <c r="AF149" s="45" t="str">
        <f t="shared" si="29"/>
        <v>pendiente</v>
      </c>
      <c r="AG149" s="45" t="str">
        <f t="shared" si="30"/>
        <v>insuficiente</v>
      </c>
      <c r="AH149" s="45" t="str">
        <f t="shared" si="31"/>
        <v>pendiente</v>
      </c>
      <c r="AI149" s="45" t="str">
        <f t="shared" si="32"/>
        <v>NO</v>
      </c>
      <c r="AJ149" s="45" t="str">
        <f t="shared" si="33"/>
        <v>NO</v>
      </c>
      <c r="AK149" s="45" t="str">
        <f t="shared" si="34"/>
        <v>NO</v>
      </c>
      <c r="AL149" s="45"/>
      <c r="AM149" s="45"/>
      <c r="AN149" s="45"/>
      <c r="AO149" s="49"/>
      <c r="AP149" s="45"/>
      <c r="AQ149" s="45"/>
      <c r="AR149" s="45" t="str">
        <f t="shared" si="35"/>
        <v>NO</v>
      </c>
      <c r="AS149" s="43"/>
    </row>
    <row r="150" spans="1:45" ht="44" customHeight="1">
      <c r="A150" s="45">
        <v>142</v>
      </c>
      <c r="B150" s="43" t="str">
        <f>'T01 revisión'!A146</f>
        <v>castrogomezhybris</v>
      </c>
      <c r="C150" s="43" t="str">
        <f>'T01 revisión'!B146</f>
        <v>La hybris del punto cero: ciencia, raza e ilustración en la Nueva Granada (1750-1816)</v>
      </c>
      <c r="D150" s="43" t="str">
        <f>'T01 revisión'!C146</f>
        <v>Santiago Castro-Gómez</v>
      </c>
      <c r="E150" s="43" t="str">
        <f>'T01 revisión'!D146</f>
        <v>DE01</v>
      </c>
      <c r="F150" s="43" t="str">
        <f>'T01 revisión'!E146</f>
        <v>hispano (Colombia)</v>
      </c>
      <c r="G150" s="43" t="str">
        <f>'T01 revisión'!H146</f>
        <v>función territorial no demostrada</v>
      </c>
      <c r="H150" s="45" t="str">
        <f t="shared" si="24"/>
        <v>A</v>
      </c>
      <c r="I150" s="45"/>
      <c r="J150" s="45" t="str">
        <f t="shared" si="25"/>
        <v>GPT + muestra Claude/humana</v>
      </c>
      <c r="K150" s="43"/>
      <c r="L150" s="43"/>
      <c r="M150" s="43"/>
      <c r="N150" s="43"/>
      <c r="O150" s="43"/>
      <c r="P150" s="43"/>
      <c r="Q150" s="43"/>
      <c r="R150" s="43"/>
      <c r="S150" s="43"/>
      <c r="T150" s="43"/>
      <c r="U150" s="43"/>
      <c r="V150" s="43"/>
      <c r="W150" s="43"/>
      <c r="X150" s="43"/>
      <c r="Y150" s="43"/>
      <c r="Z150" s="43"/>
      <c r="AA150" s="43"/>
      <c r="AB150" s="43"/>
      <c r="AC150" s="45" t="str">
        <f t="shared" si="26"/>
        <v>pendiente</v>
      </c>
      <c r="AD150" s="45" t="str">
        <f t="shared" si="27"/>
        <v>pendiente</v>
      </c>
      <c r="AE150" s="45" t="str">
        <f t="shared" si="28"/>
        <v>pendiente</v>
      </c>
      <c r="AF150" s="45" t="str">
        <f t="shared" si="29"/>
        <v>pendiente</v>
      </c>
      <c r="AG150" s="45" t="str">
        <f t="shared" si="30"/>
        <v>insuficiente</v>
      </c>
      <c r="AH150" s="45" t="str">
        <f t="shared" si="31"/>
        <v>pendiente</v>
      </c>
      <c r="AI150" s="45" t="str">
        <f t="shared" si="32"/>
        <v>NO</v>
      </c>
      <c r="AJ150" s="45" t="str">
        <f t="shared" si="33"/>
        <v>NO</v>
      </c>
      <c r="AK150" s="45" t="str">
        <f t="shared" si="34"/>
        <v>NO</v>
      </c>
      <c r="AL150" s="45"/>
      <c r="AM150" s="45"/>
      <c r="AN150" s="45"/>
      <c r="AO150" s="49"/>
      <c r="AP150" s="45"/>
      <c r="AQ150" s="45"/>
      <c r="AR150" s="45" t="str">
        <f t="shared" si="35"/>
        <v>NO</v>
      </c>
      <c r="AS150" s="43"/>
    </row>
    <row r="151" spans="1:45" ht="44" customHeight="1">
      <c r="A151" s="45">
        <v>143</v>
      </c>
      <c r="B151" s="43" t="str">
        <f>'T01 revisión'!A147</f>
        <v>firmin</v>
      </c>
      <c r="C151" s="43" t="str">
        <f>'T01 revisión'!B147</f>
        <v>De la igualdad de las razas humanas (The Equality of the Human Races)</v>
      </c>
      <c r="D151" s="43" t="str">
        <f>'T01 revisión'!C147</f>
        <v>Anténor Firmin</v>
      </c>
      <c r="E151" s="43" t="str">
        <f>'T01 revisión'!D147</f>
        <v>C03</v>
      </c>
      <c r="F151" s="43" t="str">
        <f>'T01 revisión'!E147</f>
        <v>francófono (Haití)</v>
      </c>
      <c r="G151" s="43" t="str">
        <f>'T01 revisión'!H147</f>
        <v>función territorial no demostrada</v>
      </c>
      <c r="H151" s="45" t="str">
        <f t="shared" si="24"/>
        <v>A</v>
      </c>
      <c r="I151" s="45"/>
      <c r="J151" s="45" t="str">
        <f t="shared" si="25"/>
        <v>GPT + muestra Claude/humana</v>
      </c>
      <c r="K151" s="43"/>
      <c r="L151" s="43"/>
      <c r="M151" s="43"/>
      <c r="N151" s="43"/>
      <c r="O151" s="43"/>
      <c r="P151" s="43"/>
      <c r="Q151" s="43"/>
      <c r="R151" s="43"/>
      <c r="S151" s="43"/>
      <c r="T151" s="43"/>
      <c r="U151" s="43"/>
      <c r="V151" s="43"/>
      <c r="W151" s="43"/>
      <c r="X151" s="43"/>
      <c r="Y151" s="43"/>
      <c r="Z151" s="43"/>
      <c r="AA151" s="43"/>
      <c r="AB151" s="43"/>
      <c r="AC151" s="45" t="str">
        <f t="shared" si="26"/>
        <v>pendiente</v>
      </c>
      <c r="AD151" s="45" t="str">
        <f t="shared" si="27"/>
        <v>pendiente</v>
      </c>
      <c r="AE151" s="45" t="str">
        <f t="shared" si="28"/>
        <v>pendiente</v>
      </c>
      <c r="AF151" s="45" t="str">
        <f t="shared" si="29"/>
        <v>pendiente</v>
      </c>
      <c r="AG151" s="45" t="str">
        <f t="shared" si="30"/>
        <v>insuficiente</v>
      </c>
      <c r="AH151" s="45" t="str">
        <f t="shared" si="31"/>
        <v>pendiente</v>
      </c>
      <c r="AI151" s="45" t="str">
        <f t="shared" si="32"/>
        <v>NO</v>
      </c>
      <c r="AJ151" s="45" t="str">
        <f t="shared" si="33"/>
        <v>NO</v>
      </c>
      <c r="AK151" s="45" t="str">
        <f t="shared" si="34"/>
        <v>NO</v>
      </c>
      <c r="AL151" s="45"/>
      <c r="AM151" s="45"/>
      <c r="AN151" s="45"/>
      <c r="AO151" s="49"/>
      <c r="AP151" s="45"/>
      <c r="AQ151" s="45"/>
      <c r="AR151" s="45" t="str">
        <f t="shared" si="35"/>
        <v>NO</v>
      </c>
      <c r="AS151" s="43"/>
    </row>
    <row r="152" spans="1:45" ht="44" customHeight="1">
      <c r="A152" s="45">
        <v>144</v>
      </c>
      <c r="B152" s="43" t="str">
        <f>'T01 revisión'!A148</f>
        <v>shellerconsuming</v>
      </c>
      <c r="C152" s="43" t="str">
        <f>'T01 revisión'!B148</f>
        <v>Consuming the Caribbean: From Arawaks to Zombies</v>
      </c>
      <c r="D152" s="43" t="str">
        <f>'T01 revisión'!C148</f>
        <v>Mimi Sheller</v>
      </c>
      <c r="E152" s="43" t="str">
        <f>'T01 revisión'!D148</f>
        <v>A01</v>
      </c>
      <c r="F152" s="43" t="str">
        <f>'T01 revisión'!E148</f>
        <v>anglófono (EE.UU./Caribe)</v>
      </c>
      <c r="G152" s="43" t="str">
        <f>'T01 revisión'!H148</f>
        <v>varias procedencias o territorios; abreviaturas por normalizar; función territorial no demostrada</v>
      </c>
      <c r="H152" s="45" t="str">
        <f t="shared" si="24"/>
        <v>B</v>
      </c>
      <c r="I152" s="45"/>
      <c r="J152" s="45" t="str">
        <f t="shared" si="25"/>
        <v>GPT + Claude ciegos; control abreviado</v>
      </c>
      <c r="K152" s="43"/>
      <c r="L152" s="43"/>
      <c r="M152" s="43"/>
      <c r="N152" s="43"/>
      <c r="O152" s="43"/>
      <c r="P152" s="43"/>
      <c r="Q152" s="43"/>
      <c r="R152" s="43"/>
      <c r="S152" s="43"/>
      <c r="T152" s="43"/>
      <c r="U152" s="43"/>
      <c r="V152" s="43"/>
      <c r="W152" s="43"/>
      <c r="X152" s="43"/>
      <c r="Y152" s="43"/>
      <c r="Z152" s="43"/>
      <c r="AA152" s="43"/>
      <c r="AB152" s="43"/>
      <c r="AC152" s="45" t="str">
        <f t="shared" si="26"/>
        <v>pendiente</v>
      </c>
      <c r="AD152" s="45" t="str">
        <f t="shared" si="27"/>
        <v>pendiente</v>
      </c>
      <c r="AE152" s="45" t="str">
        <f t="shared" si="28"/>
        <v>pendiente</v>
      </c>
      <c r="AF152" s="45" t="str">
        <f t="shared" si="29"/>
        <v>pendiente</v>
      </c>
      <c r="AG152" s="45" t="str">
        <f t="shared" si="30"/>
        <v>insuficiente</v>
      </c>
      <c r="AH152" s="45" t="str">
        <f t="shared" si="31"/>
        <v>pendiente</v>
      </c>
      <c r="AI152" s="45" t="str">
        <f t="shared" si="32"/>
        <v>SI</v>
      </c>
      <c r="AJ152" s="45" t="str">
        <f t="shared" si="33"/>
        <v>abreviado</v>
      </c>
      <c r="AK152" s="45" t="str">
        <f t="shared" si="34"/>
        <v>NO</v>
      </c>
      <c r="AL152" s="45"/>
      <c r="AM152" s="45"/>
      <c r="AN152" s="45"/>
      <c r="AO152" s="49"/>
      <c r="AP152" s="45"/>
      <c r="AQ152" s="45"/>
      <c r="AR152" s="45" t="str">
        <f t="shared" si="35"/>
        <v>NO</v>
      </c>
      <c r="AS152" s="43"/>
    </row>
    <row r="153" spans="1:45" ht="44" customHeight="1">
      <c r="A153" s="45">
        <v>145</v>
      </c>
      <c r="B153" s="43" t="str">
        <f>'T01 revisión'!A149</f>
        <v>henrycaliban</v>
      </c>
      <c r="C153" s="43" t="str">
        <f>'T01 revisión'!B149</f>
        <v>Caliban's Reason: Introducing Afro-Caribbean Philosophy</v>
      </c>
      <c r="D153" s="43" t="str">
        <f>'T01 revisión'!C149</f>
        <v>Paget Henry</v>
      </c>
      <c r="E153" s="43" t="str">
        <f>'T01 revisión'!D149</f>
        <v>C03</v>
      </c>
      <c r="F153" s="43" t="str">
        <f>'T01 revisión'!E149</f>
        <v>anglófono (Antigua/EE.UU.)</v>
      </c>
      <c r="G153" s="43" t="str">
        <f>'T01 revisión'!H149</f>
        <v>varias procedencias o territorios; abreviaturas por normalizar; función territorial no demostrada</v>
      </c>
      <c r="H153" s="45" t="str">
        <f t="shared" si="24"/>
        <v>B</v>
      </c>
      <c r="I153" s="45"/>
      <c r="J153" s="45" t="str">
        <f t="shared" si="25"/>
        <v>GPT + Claude ciegos; control abreviado</v>
      </c>
      <c r="K153" s="43"/>
      <c r="L153" s="43"/>
      <c r="M153" s="43"/>
      <c r="N153" s="43"/>
      <c r="O153" s="43"/>
      <c r="P153" s="43"/>
      <c r="Q153" s="43"/>
      <c r="R153" s="43"/>
      <c r="S153" s="43"/>
      <c r="T153" s="43"/>
      <c r="U153" s="43"/>
      <c r="V153" s="43"/>
      <c r="W153" s="43"/>
      <c r="X153" s="43"/>
      <c r="Y153" s="43"/>
      <c r="Z153" s="43"/>
      <c r="AA153" s="43"/>
      <c r="AB153" s="43"/>
      <c r="AC153" s="45" t="str">
        <f t="shared" si="26"/>
        <v>pendiente</v>
      </c>
      <c r="AD153" s="45" t="str">
        <f t="shared" si="27"/>
        <v>pendiente</v>
      </c>
      <c r="AE153" s="45" t="str">
        <f t="shared" si="28"/>
        <v>pendiente</v>
      </c>
      <c r="AF153" s="45" t="str">
        <f t="shared" si="29"/>
        <v>pendiente</v>
      </c>
      <c r="AG153" s="45" t="str">
        <f t="shared" si="30"/>
        <v>insuficiente</v>
      </c>
      <c r="AH153" s="45" t="str">
        <f t="shared" si="31"/>
        <v>pendiente</v>
      </c>
      <c r="AI153" s="45" t="str">
        <f t="shared" si="32"/>
        <v>SI</v>
      </c>
      <c r="AJ153" s="45" t="str">
        <f t="shared" si="33"/>
        <v>abreviado</v>
      </c>
      <c r="AK153" s="45" t="str">
        <f t="shared" si="34"/>
        <v>NO</v>
      </c>
      <c r="AL153" s="45"/>
      <c r="AM153" s="45"/>
      <c r="AN153" s="45"/>
      <c r="AO153" s="49"/>
      <c r="AP153" s="45"/>
      <c r="AQ153" s="45"/>
      <c r="AR153" s="45" t="str">
        <f t="shared" si="35"/>
        <v>NO</v>
      </c>
      <c r="AS153" s="43"/>
    </row>
    <row r="154" spans="1:45" ht="44" customHeight="1">
      <c r="A154" s="45">
        <v>146</v>
      </c>
      <c r="B154" s="43" t="str">
        <f>'T01 revisión'!A150</f>
        <v>lebroncimarronaje</v>
      </c>
      <c r="C154" s="43" t="str">
        <f>'T01 revisión'!B150</f>
        <v>Filosofía del cimarronaje</v>
      </c>
      <c r="D154" s="43" t="str">
        <f>'T01 revisión'!C150</f>
        <v>Pedro Lebrón Ortiz</v>
      </c>
      <c r="E154" s="43" t="str">
        <f>'T01 revisión'!D150</f>
        <v>B01</v>
      </c>
      <c r="F154" s="43" t="str">
        <f>'T01 revisión'!E150</f>
        <v>hispano (Puerto Rico)</v>
      </c>
      <c r="G154" s="43" t="str">
        <f>'T01 revisión'!H150</f>
        <v>función territorial no demostrada</v>
      </c>
      <c r="H154" s="45" t="str">
        <f t="shared" si="24"/>
        <v>A</v>
      </c>
      <c r="I154" s="45"/>
      <c r="J154" s="45" t="str">
        <f t="shared" si="25"/>
        <v>GPT + muestra Claude/humana</v>
      </c>
      <c r="K154" s="43"/>
      <c r="L154" s="43"/>
      <c r="M154" s="43"/>
      <c r="N154" s="43"/>
      <c r="O154" s="43"/>
      <c r="P154" s="43"/>
      <c r="Q154" s="43"/>
      <c r="R154" s="43"/>
      <c r="S154" s="43"/>
      <c r="T154" s="43"/>
      <c r="U154" s="43"/>
      <c r="V154" s="43"/>
      <c r="W154" s="43"/>
      <c r="X154" s="43"/>
      <c r="Y154" s="43"/>
      <c r="Z154" s="43"/>
      <c r="AA154" s="43"/>
      <c r="AB154" s="43"/>
      <c r="AC154" s="45" t="str">
        <f t="shared" si="26"/>
        <v>pendiente</v>
      </c>
      <c r="AD154" s="45" t="str">
        <f t="shared" si="27"/>
        <v>pendiente</v>
      </c>
      <c r="AE154" s="45" t="str">
        <f t="shared" si="28"/>
        <v>pendiente</v>
      </c>
      <c r="AF154" s="45" t="str">
        <f t="shared" si="29"/>
        <v>pendiente</v>
      </c>
      <c r="AG154" s="45" t="str">
        <f t="shared" si="30"/>
        <v>insuficiente</v>
      </c>
      <c r="AH154" s="45" t="str">
        <f t="shared" si="31"/>
        <v>pendiente</v>
      </c>
      <c r="AI154" s="45" t="str">
        <f t="shared" si="32"/>
        <v>NO</v>
      </c>
      <c r="AJ154" s="45" t="str">
        <f t="shared" si="33"/>
        <v>NO</v>
      </c>
      <c r="AK154" s="45" t="str">
        <f t="shared" si="34"/>
        <v>NO</v>
      </c>
      <c r="AL154" s="45"/>
      <c r="AM154" s="45"/>
      <c r="AN154" s="45"/>
      <c r="AO154" s="49"/>
      <c r="AP154" s="45"/>
      <c r="AQ154" s="45"/>
      <c r="AR154" s="45" t="str">
        <f t="shared" si="35"/>
        <v>NO</v>
      </c>
      <c r="AS154" s="43"/>
    </row>
    <row r="155" spans="1:45" ht="44" customHeight="1">
      <c r="A155" s="45">
        <v>147</v>
      </c>
      <c r="B155" s="43" t="str">
        <f>'T01 revisión'!A151</f>
        <v>sonicbodies</v>
      </c>
      <c r="C155" s="43" t="str">
        <f>'T01 revisión'!B151</f>
        <v>Sonic Bodies: Reggae Sound Systems, Performance Techniques, and Ways of Knowing</v>
      </c>
      <c r="D155" s="43" t="str">
        <f>'T01 revisión'!C151</f>
        <v>Julian Henriques</v>
      </c>
      <c r="E155" s="43" t="str">
        <f>'T01 revisión'!D151</f>
        <v>B03</v>
      </c>
      <c r="F155" s="43" t="str">
        <f>'T01 revisión'!E151</f>
        <v>anglófono (Jamaica/R.U.)</v>
      </c>
      <c r="G155" s="43" t="str">
        <f>'T01 revisión'!H151</f>
        <v>varias procedencias o territorios; abreviaturas por normalizar; función territorial no demostrada</v>
      </c>
      <c r="H155" s="45" t="str">
        <f t="shared" si="24"/>
        <v>B</v>
      </c>
      <c r="I155" s="45"/>
      <c r="J155" s="45" t="str">
        <f t="shared" si="25"/>
        <v>GPT + Claude ciegos; control abreviado</v>
      </c>
      <c r="K155" s="43"/>
      <c r="L155" s="43"/>
      <c r="M155" s="43"/>
      <c r="N155" s="43"/>
      <c r="O155" s="43"/>
      <c r="P155" s="43"/>
      <c r="Q155" s="43"/>
      <c r="R155" s="43"/>
      <c r="S155" s="43"/>
      <c r="T155" s="43"/>
      <c r="U155" s="43"/>
      <c r="V155" s="43"/>
      <c r="W155" s="43"/>
      <c r="X155" s="43"/>
      <c r="Y155" s="43"/>
      <c r="Z155" s="43"/>
      <c r="AA155" s="43"/>
      <c r="AB155" s="43"/>
      <c r="AC155" s="45" t="str">
        <f t="shared" si="26"/>
        <v>pendiente</v>
      </c>
      <c r="AD155" s="45" t="str">
        <f t="shared" si="27"/>
        <v>pendiente</v>
      </c>
      <c r="AE155" s="45" t="str">
        <f t="shared" si="28"/>
        <v>pendiente</v>
      </c>
      <c r="AF155" s="45" t="str">
        <f t="shared" si="29"/>
        <v>pendiente</v>
      </c>
      <c r="AG155" s="45" t="str">
        <f t="shared" si="30"/>
        <v>insuficiente</v>
      </c>
      <c r="AH155" s="45" t="str">
        <f t="shared" si="31"/>
        <v>pendiente</v>
      </c>
      <c r="AI155" s="45" t="str">
        <f t="shared" si="32"/>
        <v>SI</v>
      </c>
      <c r="AJ155" s="45" t="str">
        <f t="shared" si="33"/>
        <v>abreviado</v>
      </c>
      <c r="AK155" s="45" t="str">
        <f t="shared" si="34"/>
        <v>NO</v>
      </c>
      <c r="AL155" s="45"/>
      <c r="AM155" s="45"/>
      <c r="AN155" s="45"/>
      <c r="AO155" s="49"/>
      <c r="AP155" s="45"/>
      <c r="AQ155" s="45"/>
      <c r="AR155" s="45" t="str">
        <f t="shared" si="35"/>
        <v>NO</v>
      </c>
      <c r="AS155" s="43"/>
    </row>
    <row r="156" spans="1:45" ht="44" customHeight="1">
      <c r="A156" s="45">
        <v>148</v>
      </c>
      <c r="B156" s="43" t="str">
        <f>'T01 revisión'!A152</f>
        <v>yountaesecular</v>
      </c>
      <c r="C156" s="43" t="str">
        <f>'T01 revisión'!B152</f>
        <v>The Coloniality of the Secular: Race, Religion, and Poetics of World-Making</v>
      </c>
      <c r="D156" s="43" t="str">
        <f>'T01 revisión'!C152</f>
        <v>An Yountae</v>
      </c>
      <c r="E156" s="43" t="str">
        <f>'T01 revisión'!D152</f>
        <v>C04</v>
      </c>
      <c r="F156" s="43" t="str">
        <f>'T01 revisión'!E152</f>
        <v>comparado (transnacional)</v>
      </c>
      <c r="G156" s="43" t="str">
        <f>'T01 revisión'!H152</f>
        <v>sin lengua explícita; mezcla escala comparativa; mezcla tema, método o escala; función territorial no demostrada</v>
      </c>
      <c r="H156" s="45" t="str">
        <f t="shared" si="24"/>
        <v>C</v>
      </c>
      <c r="I156" s="45"/>
      <c r="J156" s="45" t="str">
        <f t="shared" si="25"/>
        <v>GPT + Claude ciegos; control humano obligatorio</v>
      </c>
      <c r="K156" s="43"/>
      <c r="L156" s="43"/>
      <c r="M156" s="43"/>
      <c r="N156" s="43"/>
      <c r="O156" s="43"/>
      <c r="P156" s="43"/>
      <c r="Q156" s="43"/>
      <c r="R156" s="43"/>
      <c r="S156" s="43"/>
      <c r="T156" s="43"/>
      <c r="U156" s="43"/>
      <c r="V156" s="43"/>
      <c r="W156" s="43"/>
      <c r="X156" s="43"/>
      <c r="Y156" s="43"/>
      <c r="Z156" s="43"/>
      <c r="AA156" s="43"/>
      <c r="AB156" s="43"/>
      <c r="AC156" s="45" t="str">
        <f t="shared" si="26"/>
        <v>pendiente</v>
      </c>
      <c r="AD156" s="45" t="str">
        <f t="shared" si="27"/>
        <v>pendiente</v>
      </c>
      <c r="AE156" s="45" t="str">
        <f t="shared" si="28"/>
        <v>pendiente</v>
      </c>
      <c r="AF156" s="45" t="str">
        <f t="shared" si="29"/>
        <v>pendiente</v>
      </c>
      <c r="AG156" s="45" t="str">
        <f t="shared" si="30"/>
        <v>insuficiente</v>
      </c>
      <c r="AH156" s="45" t="str">
        <f t="shared" si="31"/>
        <v>pendiente</v>
      </c>
      <c r="AI156" s="45" t="str">
        <f t="shared" si="32"/>
        <v>SI</v>
      </c>
      <c r="AJ156" s="45" t="str">
        <f t="shared" si="33"/>
        <v>obligatorio</v>
      </c>
      <c r="AK156" s="45" t="str">
        <f t="shared" si="34"/>
        <v>SI</v>
      </c>
      <c r="AL156" s="45"/>
      <c r="AM156" s="45"/>
      <c r="AN156" s="45"/>
      <c r="AO156" s="49"/>
      <c r="AP156" s="45"/>
      <c r="AQ156" s="45"/>
      <c r="AR156" s="45" t="str">
        <f t="shared" si="35"/>
        <v>NO</v>
      </c>
      <c r="AS156" s="43"/>
    </row>
    <row r="157" spans="1:45" ht="44" customHeight="1">
      <c r="A157" s="45">
        <v>149</v>
      </c>
      <c r="B157" s="43" t="str">
        <f>'T01 revisión'!A153</f>
        <v>branddoor</v>
      </c>
      <c r="C157" s="43" t="str">
        <f>'T01 revisión'!B153</f>
        <v>A Map to the Door of No Return: Notes to Belonging</v>
      </c>
      <c r="D157" s="43" t="str">
        <f>'T01 revisión'!C153</f>
        <v>Dionne Brand</v>
      </c>
      <c r="E157" s="43" t="str">
        <f>'T01 revisión'!D153</f>
        <v>C04</v>
      </c>
      <c r="F157" s="43" t="str">
        <f>'T01 revisión'!E153</f>
        <v>anglófono (Trinidad/Canadá)</v>
      </c>
      <c r="G157" s="43" t="str">
        <f>'T01 revisión'!H153</f>
        <v>varias procedencias o territorios; función territorial no demostrada</v>
      </c>
      <c r="H157" s="45" t="str">
        <f t="shared" si="24"/>
        <v>B</v>
      </c>
      <c r="I157" s="45"/>
      <c r="J157" s="45" t="str">
        <f t="shared" si="25"/>
        <v>GPT + Claude ciegos; control abreviado</v>
      </c>
      <c r="K157" s="43"/>
      <c r="L157" s="43"/>
      <c r="M157" s="43"/>
      <c r="N157" s="43"/>
      <c r="O157" s="43"/>
      <c r="P157" s="43"/>
      <c r="Q157" s="43"/>
      <c r="R157" s="43"/>
      <c r="S157" s="43"/>
      <c r="T157" s="43"/>
      <c r="U157" s="43"/>
      <c r="V157" s="43"/>
      <c r="W157" s="43"/>
      <c r="X157" s="43"/>
      <c r="Y157" s="43"/>
      <c r="Z157" s="43"/>
      <c r="AA157" s="43"/>
      <c r="AB157" s="43"/>
      <c r="AC157" s="45" t="str">
        <f t="shared" si="26"/>
        <v>pendiente</v>
      </c>
      <c r="AD157" s="45" t="str">
        <f t="shared" si="27"/>
        <v>pendiente</v>
      </c>
      <c r="AE157" s="45" t="str">
        <f t="shared" si="28"/>
        <v>pendiente</v>
      </c>
      <c r="AF157" s="45" t="str">
        <f t="shared" si="29"/>
        <v>pendiente</v>
      </c>
      <c r="AG157" s="45" t="str">
        <f t="shared" si="30"/>
        <v>insuficiente</v>
      </c>
      <c r="AH157" s="45" t="str">
        <f t="shared" si="31"/>
        <v>pendiente</v>
      </c>
      <c r="AI157" s="45" t="str">
        <f t="shared" si="32"/>
        <v>SI</v>
      </c>
      <c r="AJ157" s="45" t="str">
        <f t="shared" si="33"/>
        <v>abreviado</v>
      </c>
      <c r="AK157" s="45" t="str">
        <f t="shared" si="34"/>
        <v>NO</v>
      </c>
      <c r="AL157" s="45"/>
      <c r="AM157" s="45"/>
      <c r="AN157" s="45"/>
      <c r="AO157" s="49"/>
      <c r="AP157" s="45"/>
      <c r="AQ157" s="45"/>
      <c r="AR157" s="45" t="str">
        <f t="shared" si="35"/>
        <v>NO</v>
      </c>
      <c r="AS157" s="43"/>
    </row>
    <row r="158" spans="1:45" ht="44" customHeight="1">
      <c r="A158" s="45">
        <v>150</v>
      </c>
      <c r="B158" s="43" t="str">
        <f>'T01 revisión'!A154</f>
        <v>grosfoguelcolonial</v>
      </c>
      <c r="C158" s="43" t="str">
        <f>'T01 revisión'!B154</f>
        <v>Colonial Subjects: Puerto Ricans in a Global Perspective</v>
      </c>
      <c r="D158" s="43" t="str">
        <f>'T01 revisión'!C154</f>
        <v>Ramón Grosfoguel</v>
      </c>
      <c r="E158" s="43" t="str">
        <f>'T01 revisión'!D154</f>
        <v>C02</v>
      </c>
      <c r="F158" s="43" t="str">
        <f>'T01 revisión'!E154</f>
        <v>hispano (Puerto Rico)</v>
      </c>
      <c r="G158" s="43" t="str">
        <f>'T01 revisión'!H154</f>
        <v>función territorial no demostrada</v>
      </c>
      <c r="H158" s="45" t="str">
        <f t="shared" si="24"/>
        <v>A</v>
      </c>
      <c r="I158" s="45"/>
      <c r="J158" s="45" t="str">
        <f t="shared" si="25"/>
        <v>GPT + muestra Claude/humana</v>
      </c>
      <c r="K158" s="43"/>
      <c r="L158" s="43"/>
      <c r="M158" s="43"/>
      <c r="N158" s="43"/>
      <c r="O158" s="43"/>
      <c r="P158" s="43"/>
      <c r="Q158" s="43"/>
      <c r="R158" s="43"/>
      <c r="S158" s="43"/>
      <c r="T158" s="43"/>
      <c r="U158" s="43"/>
      <c r="V158" s="43"/>
      <c r="W158" s="43"/>
      <c r="X158" s="43"/>
      <c r="Y158" s="43"/>
      <c r="Z158" s="43"/>
      <c r="AA158" s="43"/>
      <c r="AB158" s="43"/>
      <c r="AC158" s="45" t="str">
        <f t="shared" si="26"/>
        <v>pendiente</v>
      </c>
      <c r="AD158" s="45" t="str">
        <f t="shared" si="27"/>
        <v>pendiente</v>
      </c>
      <c r="AE158" s="45" t="str">
        <f t="shared" si="28"/>
        <v>pendiente</v>
      </c>
      <c r="AF158" s="45" t="str">
        <f t="shared" si="29"/>
        <v>pendiente</v>
      </c>
      <c r="AG158" s="45" t="str">
        <f t="shared" si="30"/>
        <v>insuficiente</v>
      </c>
      <c r="AH158" s="45" t="str">
        <f t="shared" si="31"/>
        <v>pendiente</v>
      </c>
      <c r="AI158" s="45" t="str">
        <f t="shared" si="32"/>
        <v>NO</v>
      </c>
      <c r="AJ158" s="45" t="str">
        <f t="shared" si="33"/>
        <v>muestra</v>
      </c>
      <c r="AK158" s="45" t="str">
        <f t="shared" si="34"/>
        <v>NO</v>
      </c>
      <c r="AL158" s="45"/>
      <c r="AM158" s="45"/>
      <c r="AN158" s="45"/>
      <c r="AO158" s="49"/>
      <c r="AP158" s="45"/>
      <c r="AQ158" s="45"/>
      <c r="AR158" s="45" t="str">
        <f t="shared" si="35"/>
        <v>NO</v>
      </c>
      <c r="AS158" s="43"/>
    </row>
    <row r="159" spans="1:45" ht="44" customHeight="1">
      <c r="A159" s="45">
        <v>151</v>
      </c>
      <c r="B159" s="43" t="str">
        <f>'T01 revisión'!A155</f>
        <v>bahadurcoolie</v>
      </c>
      <c r="C159" s="43" t="str">
        <f>'T01 revisión'!B155</f>
        <v>Coolie Woman: The Odyssey of Indenture</v>
      </c>
      <c r="D159" s="43" t="str">
        <f>'T01 revisión'!C155</f>
        <v>Gaiutra Bahadur</v>
      </c>
      <c r="E159" s="43" t="str">
        <f>'T01 revisión'!D155</f>
        <v>B02</v>
      </c>
      <c r="F159" s="43" t="str">
        <f>'T01 revisión'!E155</f>
        <v>anglófono (Guyana/EE.UU.)</v>
      </c>
      <c r="G159" s="43" t="str">
        <f>'T01 revisión'!H155</f>
        <v>varias procedencias o territorios; abreviaturas por normalizar; función territorial no demostrada</v>
      </c>
      <c r="H159" s="45" t="str">
        <f t="shared" si="24"/>
        <v>B</v>
      </c>
      <c r="I159" s="45"/>
      <c r="J159" s="45" t="str">
        <f t="shared" si="25"/>
        <v>GPT + Claude ciegos; control abreviado</v>
      </c>
      <c r="K159" s="43"/>
      <c r="L159" s="43"/>
      <c r="M159" s="43"/>
      <c r="N159" s="43"/>
      <c r="O159" s="43"/>
      <c r="P159" s="43"/>
      <c r="Q159" s="43"/>
      <c r="R159" s="43"/>
      <c r="S159" s="43"/>
      <c r="T159" s="43"/>
      <c r="U159" s="43"/>
      <c r="V159" s="43"/>
      <c r="W159" s="43"/>
      <c r="X159" s="43"/>
      <c r="Y159" s="43"/>
      <c r="Z159" s="43"/>
      <c r="AA159" s="43"/>
      <c r="AB159" s="43"/>
      <c r="AC159" s="45" t="str">
        <f t="shared" si="26"/>
        <v>pendiente</v>
      </c>
      <c r="AD159" s="45" t="str">
        <f t="shared" si="27"/>
        <v>pendiente</v>
      </c>
      <c r="AE159" s="45" t="str">
        <f t="shared" si="28"/>
        <v>pendiente</v>
      </c>
      <c r="AF159" s="45" t="str">
        <f t="shared" si="29"/>
        <v>pendiente</v>
      </c>
      <c r="AG159" s="45" t="str">
        <f t="shared" si="30"/>
        <v>insuficiente</v>
      </c>
      <c r="AH159" s="45" t="str">
        <f t="shared" si="31"/>
        <v>pendiente</v>
      </c>
      <c r="AI159" s="45" t="str">
        <f t="shared" si="32"/>
        <v>SI</v>
      </c>
      <c r="AJ159" s="45" t="str">
        <f t="shared" si="33"/>
        <v>abreviado</v>
      </c>
      <c r="AK159" s="45" t="str">
        <f t="shared" si="34"/>
        <v>NO</v>
      </c>
      <c r="AL159" s="45"/>
      <c r="AM159" s="45"/>
      <c r="AN159" s="45"/>
      <c r="AO159" s="49"/>
      <c r="AP159" s="45"/>
      <c r="AQ159" s="45"/>
      <c r="AR159" s="45" t="str">
        <f t="shared" si="35"/>
        <v>NO</v>
      </c>
      <c r="AS159" s="43"/>
    </row>
    <row r="160" spans="1:45" ht="44" customHeight="1">
      <c r="A160" s="45">
        <v>152</v>
      </c>
      <c r="B160" s="43" t="str">
        <f>'T01 revisión'!A156</f>
        <v>zapataarbol</v>
      </c>
      <c r="C160" s="43" t="str">
        <f>'T01 revisión'!B156</f>
        <v>El árbol brujo de la libertad</v>
      </c>
      <c r="D160" s="43" t="str">
        <f>'T01 revisión'!C156</f>
        <v>Manuel Zapata Olivella</v>
      </c>
      <c r="E160" s="43" t="str">
        <f>'T01 revisión'!D156</f>
        <v>B05</v>
      </c>
      <c r="F160" s="43" t="str">
        <f>'T01 revisión'!E156</f>
        <v>hispano (Colombia)</v>
      </c>
      <c r="G160" s="43" t="str">
        <f>'T01 revisión'!H156</f>
        <v>función territorial no demostrada</v>
      </c>
      <c r="H160" s="45" t="str">
        <f t="shared" si="24"/>
        <v>A</v>
      </c>
      <c r="I160" s="45"/>
      <c r="J160" s="45" t="str">
        <f t="shared" si="25"/>
        <v>GPT + muestra Claude/humana</v>
      </c>
      <c r="K160" s="43"/>
      <c r="L160" s="43"/>
      <c r="M160" s="43"/>
      <c r="N160" s="43"/>
      <c r="O160" s="43"/>
      <c r="P160" s="43"/>
      <c r="Q160" s="43"/>
      <c r="R160" s="43"/>
      <c r="S160" s="43"/>
      <c r="T160" s="43"/>
      <c r="U160" s="43"/>
      <c r="V160" s="43"/>
      <c r="W160" s="43"/>
      <c r="X160" s="43"/>
      <c r="Y160" s="43"/>
      <c r="Z160" s="43"/>
      <c r="AA160" s="43"/>
      <c r="AB160" s="43"/>
      <c r="AC160" s="45" t="str">
        <f t="shared" si="26"/>
        <v>pendiente</v>
      </c>
      <c r="AD160" s="45" t="str">
        <f t="shared" si="27"/>
        <v>pendiente</v>
      </c>
      <c r="AE160" s="45" t="str">
        <f t="shared" si="28"/>
        <v>pendiente</v>
      </c>
      <c r="AF160" s="45" t="str">
        <f t="shared" si="29"/>
        <v>pendiente</v>
      </c>
      <c r="AG160" s="45" t="str">
        <f t="shared" si="30"/>
        <v>insuficiente</v>
      </c>
      <c r="AH160" s="45" t="str">
        <f t="shared" si="31"/>
        <v>pendiente</v>
      </c>
      <c r="AI160" s="45" t="str">
        <f t="shared" si="32"/>
        <v>NO</v>
      </c>
      <c r="AJ160" s="45" t="str">
        <f t="shared" si="33"/>
        <v>NO</v>
      </c>
      <c r="AK160" s="45" t="str">
        <f t="shared" si="34"/>
        <v>NO</v>
      </c>
      <c r="AL160" s="45"/>
      <c r="AM160" s="45"/>
      <c r="AN160" s="45"/>
      <c r="AO160" s="49"/>
      <c r="AP160" s="45"/>
      <c r="AQ160" s="45"/>
      <c r="AR160" s="45" t="str">
        <f t="shared" si="35"/>
        <v>NO</v>
      </c>
      <c r="AS160" s="43"/>
    </row>
    <row r="161" spans="1:45" ht="44" customHeight="1">
      <c r="A161" s="45">
        <v>153</v>
      </c>
      <c r="B161" s="43" t="str">
        <f>'T01 revisión'!A157</f>
        <v>almanzaorilla</v>
      </c>
      <c r="C161" s="43" t="str">
        <f>'T01 revisión'!B157</f>
        <v>La orilla de Calibán: el rastro de la filosofía afrocaribe en el siglo XX</v>
      </c>
      <c r="D161" s="43" t="str">
        <f>'T01 revisión'!C157</f>
        <v>Roberto Almanza Hernández</v>
      </c>
      <c r="E161" s="43" t="str">
        <f>'T01 revisión'!D157</f>
        <v>C03</v>
      </c>
      <c r="F161" s="43" t="str">
        <f>'T01 revisión'!E157</f>
        <v>hispano (Colombia)</v>
      </c>
      <c r="G161" s="43" t="str">
        <f>'T01 revisión'!H157</f>
        <v>función territorial no demostrada</v>
      </c>
      <c r="H161" s="45" t="str">
        <f t="shared" si="24"/>
        <v>A</v>
      </c>
      <c r="I161" s="45"/>
      <c r="J161" s="45" t="str">
        <f t="shared" si="25"/>
        <v>GPT + muestra Claude/humana</v>
      </c>
      <c r="K161" s="43"/>
      <c r="L161" s="43"/>
      <c r="M161" s="43"/>
      <c r="N161" s="43"/>
      <c r="O161" s="43"/>
      <c r="P161" s="43"/>
      <c r="Q161" s="43"/>
      <c r="R161" s="43"/>
      <c r="S161" s="43"/>
      <c r="T161" s="43"/>
      <c r="U161" s="43"/>
      <c r="V161" s="43"/>
      <c r="W161" s="43"/>
      <c r="X161" s="43"/>
      <c r="Y161" s="43"/>
      <c r="Z161" s="43"/>
      <c r="AA161" s="43"/>
      <c r="AB161" s="43"/>
      <c r="AC161" s="45" t="str">
        <f t="shared" si="26"/>
        <v>pendiente</v>
      </c>
      <c r="AD161" s="45" t="str">
        <f t="shared" si="27"/>
        <v>pendiente</v>
      </c>
      <c r="AE161" s="45" t="str">
        <f t="shared" si="28"/>
        <v>pendiente</v>
      </c>
      <c r="AF161" s="45" t="str">
        <f t="shared" si="29"/>
        <v>pendiente</v>
      </c>
      <c r="AG161" s="45" t="str">
        <f t="shared" si="30"/>
        <v>insuficiente</v>
      </c>
      <c r="AH161" s="45" t="str">
        <f t="shared" si="31"/>
        <v>pendiente</v>
      </c>
      <c r="AI161" s="45" t="str">
        <f t="shared" si="32"/>
        <v>NO</v>
      </c>
      <c r="AJ161" s="45" t="str">
        <f t="shared" si="33"/>
        <v>NO</v>
      </c>
      <c r="AK161" s="45" t="str">
        <f t="shared" si="34"/>
        <v>NO</v>
      </c>
      <c r="AL161" s="45"/>
      <c r="AM161" s="45"/>
      <c r="AN161" s="45"/>
      <c r="AO161" s="49"/>
      <c r="AP161" s="45"/>
      <c r="AQ161" s="45"/>
      <c r="AR161" s="45" t="str">
        <f t="shared" si="35"/>
        <v>NO</v>
      </c>
      <c r="AS161" s="43"/>
    </row>
    <row r="162" spans="1:45" ht="44" customHeight="1">
      <c r="A162" s="45">
        <v>154</v>
      </c>
      <c r="B162" s="43" t="str">
        <f>'T01 revisión'!A158</f>
        <v>goldbergabolition</v>
      </c>
      <c r="C162" s="43" t="str">
        <f>'T01 revisión'!B158</f>
        <v>Abolition Time: Grammars of Law, Poetics of Justice</v>
      </c>
      <c r="D162" s="43" t="str">
        <f>'T01 revisión'!C158</f>
        <v>Jess A. Goldberg</v>
      </c>
      <c r="E162" s="43" t="str">
        <f>'T01 revisión'!D158</f>
        <v>A03</v>
      </c>
      <c r="F162" s="43" t="str">
        <f>'T01 revisión'!E158</f>
        <v>anglófono (EE. UU./Guyana)</v>
      </c>
      <c r="G162" s="43" t="str">
        <f>'T01 revisión'!H158</f>
        <v>varias procedencias o territorios; abreviaturas por normalizar; función territorial no demostrada</v>
      </c>
      <c r="H162" s="45" t="str">
        <f t="shared" si="24"/>
        <v>B</v>
      </c>
      <c r="I162" s="45"/>
      <c r="J162" s="45" t="str">
        <f t="shared" si="25"/>
        <v>GPT + Claude ciegos; control abreviado</v>
      </c>
      <c r="K162" s="43"/>
      <c r="L162" s="43"/>
      <c r="M162" s="43"/>
      <c r="N162" s="43"/>
      <c r="O162" s="43"/>
      <c r="P162" s="43"/>
      <c r="Q162" s="43"/>
      <c r="R162" s="43"/>
      <c r="S162" s="43"/>
      <c r="T162" s="43"/>
      <c r="U162" s="43"/>
      <c r="V162" s="43"/>
      <c r="W162" s="43"/>
      <c r="X162" s="43"/>
      <c r="Y162" s="43"/>
      <c r="Z162" s="43"/>
      <c r="AA162" s="43"/>
      <c r="AB162" s="43"/>
      <c r="AC162" s="45" t="str">
        <f t="shared" si="26"/>
        <v>pendiente</v>
      </c>
      <c r="AD162" s="45" t="str">
        <f t="shared" si="27"/>
        <v>pendiente</v>
      </c>
      <c r="AE162" s="45" t="str">
        <f t="shared" si="28"/>
        <v>pendiente</v>
      </c>
      <c r="AF162" s="45" t="str">
        <f t="shared" si="29"/>
        <v>pendiente</v>
      </c>
      <c r="AG162" s="45" t="str">
        <f t="shared" si="30"/>
        <v>insuficiente</v>
      </c>
      <c r="AH162" s="45" t="str">
        <f t="shared" si="31"/>
        <v>pendiente</v>
      </c>
      <c r="AI162" s="45" t="str">
        <f t="shared" si="32"/>
        <v>SI</v>
      </c>
      <c r="AJ162" s="45" t="str">
        <f t="shared" si="33"/>
        <v>abreviado</v>
      </c>
      <c r="AK162" s="45" t="str">
        <f t="shared" si="34"/>
        <v>NO</v>
      </c>
      <c r="AL162" s="45"/>
      <c r="AM162" s="45"/>
      <c r="AN162" s="45"/>
      <c r="AO162" s="49"/>
      <c r="AP162" s="45"/>
      <c r="AQ162" s="45"/>
      <c r="AR162" s="45" t="str">
        <f t="shared" si="35"/>
        <v>NO</v>
      </c>
      <c r="AS162" s="43"/>
    </row>
    <row r="163" spans="1:45" ht="44" customHeight="1">
      <c r="A163" s="45">
        <v>155</v>
      </c>
      <c r="B163" s="43" t="str">
        <f>'T01 revisión'!A159</f>
        <v>hurboncomprendre</v>
      </c>
      <c r="C163" s="43" t="str">
        <f>'T01 revisión'!B159</f>
        <v>Comprendre Haïti: essai sur l'État, la nation, la culture</v>
      </c>
      <c r="D163" s="43" t="str">
        <f>'T01 revisión'!C159</f>
        <v>Laënnec Hurbon</v>
      </c>
      <c r="E163" s="43" t="str">
        <f>'T01 revisión'!D159</f>
        <v>C02</v>
      </c>
      <c r="F163" s="43" t="str">
        <f>'T01 revisión'!E159</f>
        <v>francófono (Haití)</v>
      </c>
      <c r="G163" s="43" t="str">
        <f>'T01 revisión'!H159</f>
        <v>función territorial no demostrada</v>
      </c>
      <c r="H163" s="45" t="str">
        <f t="shared" si="24"/>
        <v>A</v>
      </c>
      <c r="I163" s="45"/>
      <c r="J163" s="45" t="str">
        <f t="shared" si="25"/>
        <v>GPT + muestra Claude/humana</v>
      </c>
      <c r="K163" s="43"/>
      <c r="L163" s="43"/>
      <c r="M163" s="43"/>
      <c r="N163" s="43"/>
      <c r="O163" s="43"/>
      <c r="P163" s="43"/>
      <c r="Q163" s="43"/>
      <c r="R163" s="43"/>
      <c r="S163" s="43"/>
      <c r="T163" s="43"/>
      <c r="U163" s="43"/>
      <c r="V163" s="43"/>
      <c r="W163" s="43"/>
      <c r="X163" s="43"/>
      <c r="Y163" s="43"/>
      <c r="Z163" s="43"/>
      <c r="AA163" s="43"/>
      <c r="AB163" s="43"/>
      <c r="AC163" s="45" t="str">
        <f t="shared" si="26"/>
        <v>pendiente</v>
      </c>
      <c r="AD163" s="45" t="str">
        <f t="shared" si="27"/>
        <v>pendiente</v>
      </c>
      <c r="AE163" s="45" t="str">
        <f t="shared" si="28"/>
        <v>pendiente</v>
      </c>
      <c r="AF163" s="45" t="str">
        <f t="shared" si="29"/>
        <v>pendiente</v>
      </c>
      <c r="AG163" s="45" t="str">
        <f t="shared" si="30"/>
        <v>insuficiente</v>
      </c>
      <c r="AH163" s="45" t="str">
        <f t="shared" si="31"/>
        <v>pendiente</v>
      </c>
      <c r="AI163" s="45" t="str">
        <f t="shared" si="32"/>
        <v>NO</v>
      </c>
      <c r="AJ163" s="45" t="str">
        <f t="shared" si="33"/>
        <v>NO</v>
      </c>
      <c r="AK163" s="45" t="str">
        <f t="shared" si="34"/>
        <v>NO</v>
      </c>
      <c r="AL163" s="45"/>
      <c r="AM163" s="45"/>
      <c r="AN163" s="45"/>
      <c r="AO163" s="49"/>
      <c r="AP163" s="45"/>
      <c r="AQ163" s="45"/>
      <c r="AR163" s="45" t="str">
        <f t="shared" si="35"/>
        <v>NO</v>
      </c>
      <c r="AS163" s="43"/>
    </row>
    <row r="164" spans="1:45" ht="44" customHeight="1">
      <c r="A164" s="45">
        <v>156</v>
      </c>
      <c r="B164" s="43" t="str">
        <f>'T01 revisión'!A160</f>
        <v>rifkinfictions</v>
      </c>
      <c r="C164" s="43" t="str">
        <f>'T01 revisión'!B160</f>
        <v>Fictions of Land and Flesh: Blackness, Indigeneity, Speculation</v>
      </c>
      <c r="D164" s="43" t="str">
        <f>'T01 revisión'!C160</f>
        <v>Mark Rifkin</v>
      </c>
      <c r="E164" s="43" t="str">
        <f>'T01 revisión'!D160</f>
        <v>B03</v>
      </c>
      <c r="F164" s="43" t="str">
        <f>'T01 revisión'!E160</f>
        <v>anglófono (EE. UU./Jamaica)</v>
      </c>
      <c r="G164" s="43" t="str">
        <f>'T01 revisión'!H160</f>
        <v>varias procedencias o territorios; abreviaturas por normalizar; función territorial no demostrada</v>
      </c>
      <c r="H164" s="45" t="str">
        <f t="shared" si="24"/>
        <v>B</v>
      </c>
      <c r="I164" s="45"/>
      <c r="J164" s="45" t="str">
        <f t="shared" si="25"/>
        <v>GPT + Claude ciegos; control abreviado</v>
      </c>
      <c r="K164" s="43"/>
      <c r="L164" s="43"/>
      <c r="M164" s="43"/>
      <c r="N164" s="43"/>
      <c r="O164" s="43"/>
      <c r="P164" s="43"/>
      <c r="Q164" s="43"/>
      <c r="R164" s="43"/>
      <c r="S164" s="43"/>
      <c r="T164" s="43"/>
      <c r="U164" s="43"/>
      <c r="V164" s="43"/>
      <c r="W164" s="43"/>
      <c r="X164" s="43"/>
      <c r="Y164" s="43"/>
      <c r="Z164" s="43"/>
      <c r="AA164" s="43"/>
      <c r="AB164" s="43"/>
      <c r="AC164" s="45" t="str">
        <f t="shared" si="26"/>
        <v>pendiente</v>
      </c>
      <c r="AD164" s="45" t="str">
        <f t="shared" si="27"/>
        <v>pendiente</v>
      </c>
      <c r="AE164" s="45" t="str">
        <f t="shared" si="28"/>
        <v>pendiente</v>
      </c>
      <c r="AF164" s="45" t="str">
        <f t="shared" si="29"/>
        <v>pendiente</v>
      </c>
      <c r="AG164" s="45" t="str">
        <f t="shared" si="30"/>
        <v>insuficiente</v>
      </c>
      <c r="AH164" s="45" t="str">
        <f t="shared" si="31"/>
        <v>pendiente</v>
      </c>
      <c r="AI164" s="45" t="str">
        <f t="shared" si="32"/>
        <v>SI</v>
      </c>
      <c r="AJ164" s="45" t="str">
        <f t="shared" si="33"/>
        <v>abreviado</v>
      </c>
      <c r="AK164" s="45" t="str">
        <f t="shared" si="34"/>
        <v>NO</v>
      </c>
      <c r="AL164" s="45"/>
      <c r="AM164" s="45"/>
      <c r="AN164" s="45"/>
      <c r="AO164" s="49"/>
      <c r="AP164" s="45"/>
      <c r="AQ164" s="45"/>
      <c r="AR164" s="45" t="str">
        <f t="shared" si="35"/>
        <v>NO</v>
      </c>
      <c r="AS164" s="43"/>
    </row>
    <row r="165" spans="1:45" ht="44" customHeight="1">
      <c r="A165" s="45">
        <v>157</v>
      </c>
      <c r="B165" s="43" t="str">
        <f>'T01 revisión'!A161</f>
        <v>whiteheadtiger</v>
      </c>
      <c r="C165" s="43" t="str">
        <f>'T01 revisión'!B161</f>
        <v>Lords of the Tiger Spirit: A History of the Caribs in Colonial Venezuela and Guyana, 1498–1820</v>
      </c>
      <c r="D165" s="43" t="str">
        <f>'T01 revisión'!C161</f>
        <v>Neil L. Whitehead</v>
      </c>
      <c r="E165" s="43" t="str">
        <f>'T01 revisión'!D161</f>
        <v>C04</v>
      </c>
      <c r="F165" s="43" t="str">
        <f>'T01 revisión'!E161</f>
        <v>anglófono (R. U./Guyana)</v>
      </c>
      <c r="G165" s="43" t="str">
        <f>'T01 revisión'!H161</f>
        <v>varias procedencias o territorios; abreviaturas por normalizar; función territorial no demostrada</v>
      </c>
      <c r="H165" s="45" t="str">
        <f t="shared" si="24"/>
        <v>B</v>
      </c>
      <c r="I165" s="45"/>
      <c r="J165" s="45" t="str">
        <f t="shared" si="25"/>
        <v>GPT + Claude ciegos; control abreviado</v>
      </c>
      <c r="K165" s="43"/>
      <c r="L165" s="43"/>
      <c r="M165" s="43"/>
      <c r="N165" s="43"/>
      <c r="O165" s="43"/>
      <c r="P165" s="43"/>
      <c r="Q165" s="43"/>
      <c r="R165" s="43"/>
      <c r="S165" s="43"/>
      <c r="T165" s="43"/>
      <c r="U165" s="43"/>
      <c r="V165" s="43"/>
      <c r="W165" s="43"/>
      <c r="X165" s="43"/>
      <c r="Y165" s="43"/>
      <c r="Z165" s="43"/>
      <c r="AA165" s="43"/>
      <c r="AB165" s="43"/>
      <c r="AC165" s="45" t="str">
        <f t="shared" si="26"/>
        <v>pendiente</v>
      </c>
      <c r="AD165" s="45" t="str">
        <f t="shared" si="27"/>
        <v>pendiente</v>
      </c>
      <c r="AE165" s="45" t="str">
        <f t="shared" si="28"/>
        <v>pendiente</v>
      </c>
      <c r="AF165" s="45" t="str">
        <f t="shared" si="29"/>
        <v>pendiente</v>
      </c>
      <c r="AG165" s="45" t="str">
        <f t="shared" si="30"/>
        <v>insuficiente</v>
      </c>
      <c r="AH165" s="45" t="str">
        <f t="shared" si="31"/>
        <v>pendiente</v>
      </c>
      <c r="AI165" s="45" t="str">
        <f t="shared" si="32"/>
        <v>SI</v>
      </c>
      <c r="AJ165" s="45" t="str">
        <f t="shared" si="33"/>
        <v>abreviado</v>
      </c>
      <c r="AK165" s="45" t="str">
        <f t="shared" si="34"/>
        <v>NO</v>
      </c>
      <c r="AL165" s="45"/>
      <c r="AM165" s="45"/>
      <c r="AN165" s="45"/>
      <c r="AO165" s="49"/>
      <c r="AP165" s="45"/>
      <c r="AQ165" s="45"/>
      <c r="AR165" s="45" t="str">
        <f t="shared" si="35"/>
        <v>NO</v>
      </c>
      <c r="AS165" s="43"/>
    </row>
    <row r="166" spans="1:45" ht="44" customHeight="1">
      <c r="A166" s="45">
        <v>158</v>
      </c>
      <c r="B166" s="43" t="str">
        <f>'T01 revisión'!A162</f>
        <v>olsencartagena</v>
      </c>
      <c r="C166" s="43" t="str">
        <f>'T01 revisión'!B162</f>
        <v>Slavery and Salvation in Colonial Cartagena de Indias</v>
      </c>
      <c r="D166" s="43" t="str">
        <f>'T01 revisión'!C162</f>
        <v>Margaret M. Olsen</v>
      </c>
      <c r="E166" s="43" t="str">
        <f>'T01 revisión'!D162</f>
        <v>C04</v>
      </c>
      <c r="F166" s="43" t="str">
        <f>'T01 revisión'!E162</f>
        <v>anglófono (EE. UU./Colombia)</v>
      </c>
      <c r="G166" s="43" t="str">
        <f>'T01 revisión'!H162</f>
        <v>varias procedencias o territorios; abreviaturas por normalizar; función territorial no demostrada</v>
      </c>
      <c r="H166" s="45" t="str">
        <f t="shared" si="24"/>
        <v>B</v>
      </c>
      <c r="I166" s="45"/>
      <c r="J166" s="45" t="str">
        <f t="shared" si="25"/>
        <v>GPT + Claude ciegos; control abreviado</v>
      </c>
      <c r="K166" s="43"/>
      <c r="L166" s="43"/>
      <c r="M166" s="43"/>
      <c r="N166" s="43"/>
      <c r="O166" s="43"/>
      <c r="P166" s="43"/>
      <c r="Q166" s="43"/>
      <c r="R166" s="43"/>
      <c r="S166" s="43"/>
      <c r="T166" s="43"/>
      <c r="U166" s="43"/>
      <c r="V166" s="43"/>
      <c r="W166" s="43"/>
      <c r="X166" s="43"/>
      <c r="Y166" s="43"/>
      <c r="Z166" s="43"/>
      <c r="AA166" s="43"/>
      <c r="AB166" s="43"/>
      <c r="AC166" s="45" t="str">
        <f t="shared" si="26"/>
        <v>pendiente</v>
      </c>
      <c r="AD166" s="45" t="str">
        <f t="shared" si="27"/>
        <v>pendiente</v>
      </c>
      <c r="AE166" s="45" t="str">
        <f t="shared" si="28"/>
        <v>pendiente</v>
      </c>
      <c r="AF166" s="45" t="str">
        <f t="shared" si="29"/>
        <v>pendiente</v>
      </c>
      <c r="AG166" s="45" t="str">
        <f t="shared" si="30"/>
        <v>insuficiente</v>
      </c>
      <c r="AH166" s="45" t="str">
        <f t="shared" si="31"/>
        <v>pendiente</v>
      </c>
      <c r="AI166" s="45" t="str">
        <f t="shared" si="32"/>
        <v>SI</v>
      </c>
      <c r="AJ166" s="45" t="str">
        <f t="shared" si="33"/>
        <v>abreviado</v>
      </c>
      <c r="AK166" s="45" t="str">
        <f t="shared" si="34"/>
        <v>NO</v>
      </c>
      <c r="AL166" s="45"/>
      <c r="AM166" s="45"/>
      <c r="AN166" s="45"/>
      <c r="AO166" s="49"/>
      <c r="AP166" s="45"/>
      <c r="AQ166" s="45"/>
      <c r="AR166" s="45" t="str">
        <f t="shared" si="35"/>
        <v>NO</v>
      </c>
      <c r="AS166" s="43"/>
    </row>
    <row r="167" spans="1:45" ht="44" customHeight="1">
      <c r="A167" s="45">
        <v>159</v>
      </c>
      <c r="B167" s="43" t="str">
        <f>'T01 revisión'!A163</f>
        <v>cosgrovegarifuna</v>
      </c>
      <c r="C167" s="43" t="str">
        <f>'T01 revisión'!B163</f>
        <v>Surviving the Americas: Garifuna Persistence from Nicaragua to New York City</v>
      </c>
      <c r="D167" s="43" t="str">
        <f>'T01 revisión'!C163</f>
        <v>Cosgrove, Idiáquez, Bent &amp; Gorvetzian</v>
      </c>
      <c r="E167" s="43" t="str">
        <f>'T01 revisión'!D163</f>
        <v>B05</v>
      </c>
      <c r="F167" s="43" t="str">
        <f>'T01 revisión'!E163</f>
        <v>anglófono (EE. UU./Nicaragua)</v>
      </c>
      <c r="G167" s="43" t="str">
        <f>'T01 revisión'!H163</f>
        <v>varias procedencias o territorios; abreviaturas por normalizar; función territorial no demostrada</v>
      </c>
      <c r="H167" s="45" t="str">
        <f t="shared" si="24"/>
        <v>B</v>
      </c>
      <c r="I167" s="45"/>
      <c r="J167" s="45" t="str">
        <f t="shared" si="25"/>
        <v>GPT + Claude ciegos; control abreviado</v>
      </c>
      <c r="K167" s="43"/>
      <c r="L167" s="43"/>
      <c r="M167" s="43"/>
      <c r="N167" s="43"/>
      <c r="O167" s="43"/>
      <c r="P167" s="43"/>
      <c r="Q167" s="43"/>
      <c r="R167" s="43"/>
      <c r="S167" s="43"/>
      <c r="T167" s="43"/>
      <c r="U167" s="43"/>
      <c r="V167" s="43"/>
      <c r="W167" s="43"/>
      <c r="X167" s="43"/>
      <c r="Y167" s="43"/>
      <c r="Z167" s="43"/>
      <c r="AA167" s="43"/>
      <c r="AB167" s="43"/>
      <c r="AC167" s="45" t="str">
        <f t="shared" si="26"/>
        <v>pendiente</v>
      </c>
      <c r="AD167" s="45" t="str">
        <f t="shared" si="27"/>
        <v>pendiente</v>
      </c>
      <c r="AE167" s="45" t="str">
        <f t="shared" si="28"/>
        <v>pendiente</v>
      </c>
      <c r="AF167" s="45" t="str">
        <f t="shared" si="29"/>
        <v>pendiente</v>
      </c>
      <c r="AG167" s="45" t="str">
        <f t="shared" si="30"/>
        <v>insuficiente</v>
      </c>
      <c r="AH167" s="45" t="str">
        <f t="shared" si="31"/>
        <v>pendiente</v>
      </c>
      <c r="AI167" s="45" t="str">
        <f t="shared" si="32"/>
        <v>SI</v>
      </c>
      <c r="AJ167" s="45" t="str">
        <f t="shared" si="33"/>
        <v>abreviado</v>
      </c>
      <c r="AK167" s="45" t="str">
        <f t="shared" si="34"/>
        <v>NO</v>
      </c>
      <c r="AL167" s="45"/>
      <c r="AM167" s="45"/>
      <c r="AN167" s="45"/>
      <c r="AO167" s="49"/>
      <c r="AP167" s="45"/>
      <c r="AQ167" s="45"/>
      <c r="AR167" s="45" t="str">
        <f t="shared" si="35"/>
        <v>NO</v>
      </c>
      <c r="AS167" s="43"/>
    </row>
    <row r="168" spans="1:45" ht="44" customHeight="1">
      <c r="A168" s="45">
        <v>160</v>
      </c>
      <c r="B168" s="43" t="str">
        <f>'T01 revisión'!A164</f>
        <v>helglibertyequality</v>
      </c>
      <c r="C168" s="43" t="str">
        <f>'T01 revisión'!B164</f>
        <v>Liberty and Equality in Caribbean Colombia, 1770-1835</v>
      </c>
      <c r="D168" s="43" t="str">
        <f>'T01 revisión'!C164</f>
        <v>Aline Helg</v>
      </c>
      <c r="E168" s="43" t="str">
        <f>'T01 revisión'!D164</f>
        <v>C02</v>
      </c>
      <c r="F168" s="43" t="str">
        <f>'T01 revisión'!E164</f>
        <v>hispano (Suiza/Colombia)</v>
      </c>
      <c r="G168" s="43" t="str">
        <f>'T01 revisión'!H164</f>
        <v>varias procedencias o territorios; función territorial no demostrada</v>
      </c>
      <c r="H168" s="45" t="str">
        <f t="shared" si="24"/>
        <v>B</v>
      </c>
      <c r="I168" s="45"/>
      <c r="J168" s="45" t="str">
        <f t="shared" si="25"/>
        <v>GPT + Claude ciegos; control abreviado</v>
      </c>
      <c r="K168" s="43"/>
      <c r="L168" s="43"/>
      <c r="M168" s="43"/>
      <c r="N168" s="43"/>
      <c r="O168" s="43"/>
      <c r="P168" s="43"/>
      <c r="Q168" s="43"/>
      <c r="R168" s="43"/>
      <c r="S168" s="43"/>
      <c r="T168" s="43"/>
      <c r="U168" s="43"/>
      <c r="V168" s="43"/>
      <c r="W168" s="43"/>
      <c r="X168" s="43"/>
      <c r="Y168" s="43"/>
      <c r="Z168" s="43"/>
      <c r="AA168" s="43"/>
      <c r="AB168" s="43"/>
      <c r="AC168" s="45" t="str">
        <f t="shared" si="26"/>
        <v>pendiente</v>
      </c>
      <c r="AD168" s="45" t="str">
        <f t="shared" si="27"/>
        <v>pendiente</v>
      </c>
      <c r="AE168" s="45" t="str">
        <f t="shared" si="28"/>
        <v>pendiente</v>
      </c>
      <c r="AF168" s="45" t="str">
        <f t="shared" si="29"/>
        <v>pendiente</v>
      </c>
      <c r="AG168" s="45" t="str">
        <f t="shared" si="30"/>
        <v>insuficiente</v>
      </c>
      <c r="AH168" s="45" t="str">
        <f t="shared" si="31"/>
        <v>pendiente</v>
      </c>
      <c r="AI168" s="45" t="str">
        <f t="shared" si="32"/>
        <v>SI</v>
      </c>
      <c r="AJ168" s="45" t="str">
        <f t="shared" si="33"/>
        <v>abreviado</v>
      </c>
      <c r="AK168" s="45" t="str">
        <f t="shared" si="34"/>
        <v>NO</v>
      </c>
      <c r="AL168" s="45"/>
      <c r="AM168" s="45"/>
      <c r="AN168" s="45"/>
      <c r="AO168" s="49"/>
      <c r="AP168" s="45"/>
      <c r="AQ168" s="45"/>
      <c r="AR168" s="45" t="str">
        <f t="shared" si="35"/>
        <v>NO</v>
      </c>
      <c r="AS168" s="43"/>
    </row>
    <row r="169" spans="1:45" ht="44" customHeight="1">
      <c r="A169" s="45">
        <v>161</v>
      </c>
      <c r="B169" s="43" t="str">
        <f>'T01 revisión'!A165</f>
        <v>brathwaitearchipelago</v>
      </c>
      <c r="C169" s="43" t="str">
        <f>'T01 revisión'!B165</f>
        <v>Caribbean Man in Space and Time</v>
      </c>
      <c r="D169" s="43" t="str">
        <f>'T01 revisión'!C165</f>
        <v>Kamau Brathwaite</v>
      </c>
      <c r="E169" s="43" t="str">
        <f>'T01 revisión'!D165</f>
        <v>C03</v>
      </c>
      <c r="F169" s="43" t="str">
        <f>'T01 revisión'!E165</f>
        <v>anglófono (Barbados)</v>
      </c>
      <c r="G169" s="43" t="str">
        <f>'T01 revisión'!H165</f>
        <v>función territorial no demostrada</v>
      </c>
      <c r="H169" s="45" t="str">
        <f t="shared" si="24"/>
        <v>A</v>
      </c>
      <c r="I169" s="45"/>
      <c r="J169" s="45" t="str">
        <f t="shared" si="25"/>
        <v>GPT + muestra Claude/humana</v>
      </c>
      <c r="K169" s="43"/>
      <c r="L169" s="43"/>
      <c r="M169" s="43"/>
      <c r="N169" s="43"/>
      <c r="O169" s="43"/>
      <c r="P169" s="43"/>
      <c r="Q169" s="43"/>
      <c r="R169" s="43"/>
      <c r="S169" s="43"/>
      <c r="T169" s="43"/>
      <c r="U169" s="43"/>
      <c r="V169" s="43"/>
      <c r="W169" s="43"/>
      <c r="X169" s="43"/>
      <c r="Y169" s="43"/>
      <c r="Z169" s="43"/>
      <c r="AA169" s="43"/>
      <c r="AB169" s="43"/>
      <c r="AC169" s="45" t="str">
        <f t="shared" si="26"/>
        <v>pendiente</v>
      </c>
      <c r="AD169" s="45" t="str">
        <f t="shared" si="27"/>
        <v>pendiente</v>
      </c>
      <c r="AE169" s="45" t="str">
        <f t="shared" si="28"/>
        <v>pendiente</v>
      </c>
      <c r="AF169" s="45" t="str">
        <f t="shared" si="29"/>
        <v>pendiente</v>
      </c>
      <c r="AG169" s="45" t="str">
        <f t="shared" si="30"/>
        <v>insuficiente</v>
      </c>
      <c r="AH169" s="45" t="str">
        <f t="shared" si="31"/>
        <v>pendiente</v>
      </c>
      <c r="AI169" s="45" t="str">
        <f t="shared" si="32"/>
        <v>SI</v>
      </c>
      <c r="AJ169" s="45" t="str">
        <f t="shared" si="33"/>
        <v>NO</v>
      </c>
      <c r="AK169" s="45" t="str">
        <f t="shared" si="34"/>
        <v>NO</v>
      </c>
      <c r="AL169" s="45"/>
      <c r="AM169" s="45"/>
      <c r="AN169" s="45"/>
      <c r="AO169" s="49"/>
      <c r="AP169" s="45"/>
      <c r="AQ169" s="45"/>
      <c r="AR169" s="45" t="str">
        <f t="shared" si="35"/>
        <v>NO</v>
      </c>
      <c r="AS169" s="43"/>
    </row>
    <row r="170" spans="1:45" ht="44" customHeight="1">
      <c r="A170" s="45">
        <v>162</v>
      </c>
      <c r="B170" s="43" t="str">
        <f>'T01 revisión'!A166</f>
        <v>muneraelfracaso</v>
      </c>
      <c r="C170" s="43" t="str">
        <f>'T01 revisión'!B166</f>
        <v>El fracaso de la nación: región, clase y raza en el Caribe colombiano (1717-1821)</v>
      </c>
      <c r="D170" s="43" t="str">
        <f>'T01 revisión'!C166</f>
        <v>Alfonso Múnera</v>
      </c>
      <c r="E170" s="43" t="str">
        <f>'T01 revisión'!D166</f>
        <v>C02</v>
      </c>
      <c r="F170" s="43" t="str">
        <f>'T01 revisión'!E166</f>
        <v>hispano (Colombia)</v>
      </c>
      <c r="G170" s="43" t="str">
        <f>'T01 revisión'!H166</f>
        <v>función territorial no demostrada</v>
      </c>
      <c r="H170" s="45" t="str">
        <f t="shared" si="24"/>
        <v>A</v>
      </c>
      <c r="I170" s="45"/>
      <c r="J170" s="45" t="str">
        <f t="shared" si="25"/>
        <v>GPT + muestra Claude/humana</v>
      </c>
      <c r="K170" s="43"/>
      <c r="L170" s="43"/>
      <c r="M170" s="43"/>
      <c r="N170" s="43"/>
      <c r="O170" s="43"/>
      <c r="P170" s="43"/>
      <c r="Q170" s="43"/>
      <c r="R170" s="43"/>
      <c r="S170" s="43"/>
      <c r="T170" s="43"/>
      <c r="U170" s="43"/>
      <c r="V170" s="43"/>
      <c r="W170" s="43"/>
      <c r="X170" s="43"/>
      <c r="Y170" s="43"/>
      <c r="Z170" s="43"/>
      <c r="AA170" s="43"/>
      <c r="AB170" s="43"/>
      <c r="AC170" s="45" t="str">
        <f t="shared" si="26"/>
        <v>pendiente</v>
      </c>
      <c r="AD170" s="45" t="str">
        <f t="shared" si="27"/>
        <v>pendiente</v>
      </c>
      <c r="AE170" s="45" t="str">
        <f t="shared" si="28"/>
        <v>pendiente</v>
      </c>
      <c r="AF170" s="45" t="str">
        <f t="shared" si="29"/>
        <v>pendiente</v>
      </c>
      <c r="AG170" s="45" t="str">
        <f t="shared" si="30"/>
        <v>insuficiente</v>
      </c>
      <c r="AH170" s="45" t="str">
        <f t="shared" si="31"/>
        <v>pendiente</v>
      </c>
      <c r="AI170" s="45" t="str">
        <f t="shared" si="32"/>
        <v>NO</v>
      </c>
      <c r="AJ170" s="45" t="str">
        <f t="shared" si="33"/>
        <v>NO</v>
      </c>
      <c r="AK170" s="45" t="str">
        <f t="shared" si="34"/>
        <v>NO</v>
      </c>
      <c r="AL170" s="45"/>
      <c r="AM170" s="45"/>
      <c r="AN170" s="45"/>
      <c r="AO170" s="49"/>
      <c r="AP170" s="45"/>
      <c r="AQ170" s="45"/>
      <c r="AR170" s="45" t="str">
        <f t="shared" si="35"/>
        <v>NO</v>
      </c>
      <c r="AS170" s="43"/>
    </row>
    <row r="171" spans="1:45" ht="44" customHeight="1">
      <c r="A171" s="45">
        <v>163</v>
      </c>
      <c r="B171" s="43" t="str">
        <f>'T01 revisión'!A167</f>
        <v>saetheridentidades</v>
      </c>
      <c r="C171" s="43" t="str">
        <f>'T01 revisión'!B167</f>
        <v>Identidades e independencia en Santa Marta y Riohacha, 1750-1850</v>
      </c>
      <c r="D171" s="43" t="str">
        <f>'T01 revisión'!C167</f>
        <v>Steinar A. Sæther</v>
      </c>
      <c r="E171" s="43" t="str">
        <f>'T01 revisión'!D167</f>
        <v>C02</v>
      </c>
      <c r="F171" s="43" t="str">
        <f>'T01 revisión'!E167</f>
        <v>hispano (Noruega/Colombia)</v>
      </c>
      <c r="G171" s="43" t="str">
        <f>'T01 revisión'!H167</f>
        <v>varias procedencias o territorios; función territorial no demostrada</v>
      </c>
      <c r="H171" s="45" t="str">
        <f t="shared" si="24"/>
        <v>B</v>
      </c>
      <c r="I171" s="45"/>
      <c r="J171" s="45" t="str">
        <f t="shared" si="25"/>
        <v>GPT + Claude ciegos; control abreviado</v>
      </c>
      <c r="K171" s="43"/>
      <c r="L171" s="43"/>
      <c r="M171" s="43"/>
      <c r="N171" s="43"/>
      <c r="O171" s="43"/>
      <c r="P171" s="43"/>
      <c r="Q171" s="43"/>
      <c r="R171" s="43"/>
      <c r="S171" s="43"/>
      <c r="T171" s="43"/>
      <c r="U171" s="43"/>
      <c r="V171" s="43"/>
      <c r="W171" s="43"/>
      <c r="X171" s="43"/>
      <c r="Y171" s="43"/>
      <c r="Z171" s="43"/>
      <c r="AA171" s="43"/>
      <c r="AB171" s="43"/>
      <c r="AC171" s="45" t="str">
        <f t="shared" si="26"/>
        <v>pendiente</v>
      </c>
      <c r="AD171" s="45" t="str">
        <f t="shared" si="27"/>
        <v>pendiente</v>
      </c>
      <c r="AE171" s="45" t="str">
        <f t="shared" si="28"/>
        <v>pendiente</v>
      </c>
      <c r="AF171" s="45" t="str">
        <f t="shared" si="29"/>
        <v>pendiente</v>
      </c>
      <c r="AG171" s="45" t="str">
        <f t="shared" si="30"/>
        <v>insuficiente</v>
      </c>
      <c r="AH171" s="45" t="str">
        <f t="shared" si="31"/>
        <v>pendiente</v>
      </c>
      <c r="AI171" s="45" t="str">
        <f t="shared" si="32"/>
        <v>SI</v>
      </c>
      <c r="AJ171" s="45" t="str">
        <f t="shared" si="33"/>
        <v>abreviado</v>
      </c>
      <c r="AK171" s="45" t="str">
        <f t="shared" si="34"/>
        <v>NO</v>
      </c>
      <c r="AL171" s="45"/>
      <c r="AM171" s="45"/>
      <c r="AN171" s="45"/>
      <c r="AO171" s="49"/>
      <c r="AP171" s="45"/>
      <c r="AQ171" s="45"/>
      <c r="AR171" s="45" t="str">
        <f t="shared" si="35"/>
        <v>NO</v>
      </c>
      <c r="AS171" s="43"/>
    </row>
    <row r="172" spans="1:45" ht="44" customHeight="1">
      <c r="A172" s="45">
        <v>164</v>
      </c>
      <c r="B172" s="43" t="str">
        <f>'T01 revisión'!A168</f>
        <v>zonabananera</v>
      </c>
      <c r="C172" s="43" t="str">
        <f>'T01 revisión'!B168</f>
        <v>Las geografías negras en la Zona Bananera: algunas cuestiones de método para encarar las vidas negras del Caribe colombiano</v>
      </c>
      <c r="D172" s="43" t="str">
        <f>'T01 revisión'!C168</f>
        <v>Roberto Almanza y Margarita Granados Castellanos</v>
      </c>
      <c r="E172" s="43" t="str">
        <f>'T01 revisión'!D168</f>
        <v>A03</v>
      </c>
      <c r="F172" s="43" t="str">
        <f>'T01 revisión'!E168</f>
        <v>hispano (Colombia)</v>
      </c>
      <c r="G172" s="43" t="str">
        <f>'T01 revisión'!H168</f>
        <v>función territorial no demostrada</v>
      </c>
      <c r="H172" s="45" t="str">
        <f t="shared" si="24"/>
        <v>A</v>
      </c>
      <c r="I172" s="45"/>
      <c r="J172" s="45" t="str">
        <f t="shared" si="25"/>
        <v>GPT + muestra Claude/humana</v>
      </c>
      <c r="K172" s="43"/>
      <c r="L172" s="43"/>
      <c r="M172" s="43"/>
      <c r="N172" s="43"/>
      <c r="O172" s="43"/>
      <c r="P172" s="43"/>
      <c r="Q172" s="43"/>
      <c r="R172" s="43"/>
      <c r="S172" s="43"/>
      <c r="T172" s="43"/>
      <c r="U172" s="43"/>
      <c r="V172" s="43"/>
      <c r="W172" s="43"/>
      <c r="X172" s="43"/>
      <c r="Y172" s="43"/>
      <c r="Z172" s="43"/>
      <c r="AA172" s="43"/>
      <c r="AB172" s="43"/>
      <c r="AC172" s="45" t="str">
        <f t="shared" si="26"/>
        <v>pendiente</v>
      </c>
      <c r="AD172" s="45" t="str">
        <f t="shared" si="27"/>
        <v>pendiente</v>
      </c>
      <c r="AE172" s="45" t="str">
        <f t="shared" si="28"/>
        <v>pendiente</v>
      </c>
      <c r="AF172" s="45" t="str">
        <f t="shared" si="29"/>
        <v>pendiente</v>
      </c>
      <c r="AG172" s="45" t="str">
        <f t="shared" si="30"/>
        <v>insuficiente</v>
      </c>
      <c r="AH172" s="45" t="str">
        <f t="shared" si="31"/>
        <v>pendiente</v>
      </c>
      <c r="AI172" s="45" t="str">
        <f t="shared" si="32"/>
        <v>NO</v>
      </c>
      <c r="AJ172" s="45" t="str">
        <f t="shared" si="33"/>
        <v>NO</v>
      </c>
      <c r="AK172" s="45" t="str">
        <f t="shared" si="34"/>
        <v>NO</v>
      </c>
      <c r="AL172" s="45"/>
      <c r="AM172" s="45"/>
      <c r="AN172" s="45"/>
      <c r="AO172" s="49"/>
      <c r="AP172" s="45"/>
      <c r="AQ172" s="45"/>
      <c r="AR172" s="45" t="str">
        <f t="shared" si="35"/>
        <v>NO</v>
      </c>
      <c r="AS172" s="43"/>
    </row>
    <row r="173" spans="1:45" ht="44" customHeight="1">
      <c r="A173" s="45">
        <v>165</v>
      </c>
      <c r="B173" s="43" t="str">
        <f>'T01 revisión'!A169</f>
        <v>rappaportcobarde</v>
      </c>
      <c r="C173" s="43" t="str">
        <f>'T01 revisión'!B169</f>
        <v>El cobarde no hace historia: Orlando Fals Borda y los inicios de la investigación-acción participativa</v>
      </c>
      <c r="D173" s="43" t="str">
        <f>'T01 revisión'!C169</f>
        <v>Joanne Rappaport</v>
      </c>
      <c r="E173" s="43" t="str">
        <f>'T01 revisión'!D169</f>
        <v>B03</v>
      </c>
      <c r="F173" s="43" t="str">
        <f>'T01 revisión'!E169</f>
        <v>hispano (Colombia)</v>
      </c>
      <c r="G173" s="43" t="str">
        <f>'T01 revisión'!H169</f>
        <v>función territorial no demostrada</v>
      </c>
      <c r="H173" s="45" t="str">
        <f t="shared" si="24"/>
        <v>A</v>
      </c>
      <c r="I173" s="45"/>
      <c r="J173" s="45" t="str">
        <f t="shared" si="25"/>
        <v>GPT + muestra Claude/humana</v>
      </c>
      <c r="K173" s="43"/>
      <c r="L173" s="43"/>
      <c r="M173" s="43"/>
      <c r="N173" s="43"/>
      <c r="O173" s="43"/>
      <c r="P173" s="43"/>
      <c r="Q173" s="43"/>
      <c r="R173" s="43"/>
      <c r="S173" s="43"/>
      <c r="T173" s="43"/>
      <c r="U173" s="43"/>
      <c r="V173" s="43"/>
      <c r="W173" s="43"/>
      <c r="X173" s="43"/>
      <c r="Y173" s="43"/>
      <c r="Z173" s="43"/>
      <c r="AA173" s="43"/>
      <c r="AB173" s="43"/>
      <c r="AC173" s="45" t="str">
        <f t="shared" si="26"/>
        <v>pendiente</v>
      </c>
      <c r="AD173" s="45" t="str">
        <f t="shared" si="27"/>
        <v>pendiente</v>
      </c>
      <c r="AE173" s="45" t="str">
        <f t="shared" si="28"/>
        <v>pendiente</v>
      </c>
      <c r="AF173" s="45" t="str">
        <f t="shared" si="29"/>
        <v>pendiente</v>
      </c>
      <c r="AG173" s="45" t="str">
        <f t="shared" si="30"/>
        <v>insuficiente</v>
      </c>
      <c r="AH173" s="45" t="str">
        <f t="shared" si="31"/>
        <v>pendiente</v>
      </c>
      <c r="AI173" s="45" t="str">
        <f t="shared" si="32"/>
        <v>NO</v>
      </c>
      <c r="AJ173" s="45" t="str">
        <f t="shared" si="33"/>
        <v>NO</v>
      </c>
      <c r="AK173" s="45" t="str">
        <f t="shared" si="34"/>
        <v>NO</v>
      </c>
      <c r="AL173" s="45"/>
      <c r="AM173" s="45"/>
      <c r="AN173" s="45"/>
      <c r="AO173" s="49"/>
      <c r="AP173" s="45"/>
      <c r="AQ173" s="45"/>
      <c r="AR173" s="45" t="str">
        <f t="shared" si="35"/>
        <v>NO</v>
      </c>
      <c r="AS173" s="43"/>
    </row>
    <row r="174" spans="1:45" ht="44" customHeight="1">
      <c r="A174" s="45">
        <v>166</v>
      </c>
      <c r="B174" s="43" t="str">
        <f>'T01 revisión'!A170</f>
        <v>reysinningcristorey</v>
      </c>
      <c r="C174" s="43" t="str">
        <f>'T01 revisión'!B170</f>
        <v>Cristo Rey, un espacio para permanecer en el tiempo</v>
      </c>
      <c r="D174" s="43" t="str">
        <f>'T01 revisión'!C170</f>
        <v>Édgar Rey Sinning</v>
      </c>
      <c r="E174" s="43" t="str">
        <f>'T01 revisión'!D170</f>
        <v>C04</v>
      </c>
      <c r="F174" s="43" t="str">
        <f>'T01 revisión'!E170</f>
        <v>hispano (Colombia)</v>
      </c>
      <c r="G174" s="43" t="str">
        <f>'T01 revisión'!H170</f>
        <v>función territorial no demostrada</v>
      </c>
      <c r="H174" s="45" t="str">
        <f t="shared" si="24"/>
        <v>A</v>
      </c>
      <c r="I174" s="45"/>
      <c r="J174" s="45" t="str">
        <f t="shared" si="25"/>
        <v>GPT + muestra Claude/humana</v>
      </c>
      <c r="K174" s="43" t="s">
        <v>3051</v>
      </c>
      <c r="L174" s="43" t="s">
        <v>2356</v>
      </c>
      <c r="M174" s="43"/>
      <c r="N174" s="43" t="s">
        <v>3052</v>
      </c>
      <c r="O174" s="43"/>
      <c r="P174" s="43" t="s">
        <v>3053</v>
      </c>
      <c r="Q174" s="43" t="s">
        <v>3054</v>
      </c>
      <c r="R174" s="43" t="s">
        <v>3055</v>
      </c>
      <c r="S174" s="43" t="s">
        <v>2229</v>
      </c>
      <c r="T174" s="43"/>
      <c r="U174" s="43"/>
      <c r="V174" s="43"/>
      <c r="W174" s="43"/>
      <c r="X174" s="43"/>
      <c r="Y174" s="43"/>
      <c r="Z174" s="43"/>
      <c r="AA174" s="43"/>
      <c r="AB174" s="43"/>
      <c r="AC174" s="45" t="str">
        <f t="shared" si="26"/>
        <v>pendiente</v>
      </c>
      <c r="AD174" s="45" t="str">
        <f t="shared" si="27"/>
        <v>pendiente</v>
      </c>
      <c r="AE174" s="45" t="str">
        <f t="shared" si="28"/>
        <v>pendiente</v>
      </c>
      <c r="AF174" s="45" t="str">
        <f t="shared" si="29"/>
        <v>pendiente</v>
      </c>
      <c r="AG174" s="45" t="str">
        <f t="shared" si="30"/>
        <v>GPT completa</v>
      </c>
      <c r="AH174" s="45" t="str">
        <f t="shared" si="31"/>
        <v>dictamen_unico_A</v>
      </c>
      <c r="AI174" s="45" t="str">
        <f t="shared" si="32"/>
        <v>NO</v>
      </c>
      <c r="AJ174" s="45" t="str">
        <f t="shared" si="33"/>
        <v>NO</v>
      </c>
      <c r="AK174" s="45" t="str">
        <f t="shared" si="34"/>
        <v>NO</v>
      </c>
      <c r="AL174" s="45"/>
      <c r="AM174" s="45"/>
      <c r="AN174" s="45"/>
      <c r="AO174" s="49"/>
      <c r="AP174" s="45"/>
      <c r="AQ174" s="45"/>
      <c r="AR174" s="45" t="str">
        <f t="shared" si="35"/>
        <v>NO</v>
      </c>
      <c r="AS174" s="43" t="s">
        <v>3056</v>
      </c>
    </row>
    <row r="175" spans="1:45" ht="44" customHeight="1">
      <c r="A175" s="45">
        <v>167</v>
      </c>
      <c r="B175" s="43" t="str">
        <f>'T01 revisión'!A171</f>
        <v>hurbondictadura</v>
      </c>
      <c r="C175" s="43" t="str">
        <f>'T01 revisión'!B171</f>
        <v>Culture et dictature en Haïti: l'imaginaire sous contrôle</v>
      </c>
      <c r="D175" s="43" t="str">
        <f>'T01 revisión'!C171</f>
        <v>Laënnec Hurbon</v>
      </c>
      <c r="E175" s="43" t="str">
        <f>'T01 revisión'!D171</f>
        <v>A03</v>
      </c>
      <c r="F175" s="43" t="str">
        <f>'T01 revisión'!E171</f>
        <v>francófono (Haití)</v>
      </c>
      <c r="G175" s="43" t="str">
        <f>'T01 revisión'!H171</f>
        <v>función territorial no demostrada</v>
      </c>
      <c r="H175" s="45" t="str">
        <f t="shared" si="24"/>
        <v>A</v>
      </c>
      <c r="I175" s="45"/>
      <c r="J175" s="45" t="str">
        <f t="shared" si="25"/>
        <v>GPT + muestra Claude/humana</v>
      </c>
      <c r="K175" s="43"/>
      <c r="L175" s="43"/>
      <c r="M175" s="43"/>
      <c r="N175" s="43"/>
      <c r="O175" s="43"/>
      <c r="P175" s="43"/>
      <c r="Q175" s="43"/>
      <c r="R175" s="43"/>
      <c r="S175" s="43"/>
      <c r="T175" s="43"/>
      <c r="U175" s="43"/>
      <c r="V175" s="43"/>
      <c r="W175" s="43"/>
      <c r="X175" s="43"/>
      <c r="Y175" s="43"/>
      <c r="Z175" s="43"/>
      <c r="AA175" s="43"/>
      <c r="AB175" s="43"/>
      <c r="AC175" s="45" t="str">
        <f t="shared" si="26"/>
        <v>pendiente</v>
      </c>
      <c r="AD175" s="45" t="str">
        <f t="shared" si="27"/>
        <v>pendiente</v>
      </c>
      <c r="AE175" s="45" t="str">
        <f t="shared" si="28"/>
        <v>pendiente</v>
      </c>
      <c r="AF175" s="45" t="str">
        <f t="shared" si="29"/>
        <v>pendiente</v>
      </c>
      <c r="AG175" s="45" t="str">
        <f t="shared" si="30"/>
        <v>insuficiente</v>
      </c>
      <c r="AH175" s="45" t="str">
        <f t="shared" si="31"/>
        <v>pendiente</v>
      </c>
      <c r="AI175" s="45" t="str">
        <f t="shared" si="32"/>
        <v>NO</v>
      </c>
      <c r="AJ175" s="45" t="str">
        <f t="shared" si="33"/>
        <v>NO</v>
      </c>
      <c r="AK175" s="45" t="str">
        <f t="shared" si="34"/>
        <v>NO</v>
      </c>
      <c r="AL175" s="45"/>
      <c r="AM175" s="45"/>
      <c r="AN175" s="45"/>
      <c r="AO175" s="49"/>
      <c r="AP175" s="45"/>
      <c r="AQ175" s="45"/>
      <c r="AR175" s="45" t="str">
        <f t="shared" si="35"/>
        <v>NO</v>
      </c>
      <c r="AS175" s="43"/>
    </row>
    <row r="176" spans="1:45" ht="44" customHeight="1">
      <c r="A176" s="45">
        <v>168</v>
      </c>
      <c r="B176" s="43" t="str">
        <f>'T01 revisión'!A172</f>
        <v>lizcanocarnaval</v>
      </c>
      <c r="C176" s="43" t="str">
        <f>'T01 revisión'!B172</f>
        <v>Leyendo el carnaval: miradas desde Barranquilla, Bahía y Barcelona</v>
      </c>
      <c r="D176" s="43" t="str">
        <f>'T01 revisión'!C172</f>
        <v>Martha Lizcano Angarita y Danny González Cueto (comps.)</v>
      </c>
      <c r="E176" s="43" t="str">
        <f>'T01 revisión'!D172</f>
        <v>B04</v>
      </c>
      <c r="F176" s="43" t="str">
        <f>'T01 revisión'!E172</f>
        <v>hispano (Colombia)</v>
      </c>
      <c r="G176" s="43" t="str">
        <f>'T01 revisión'!H172</f>
        <v>función territorial no demostrada</v>
      </c>
      <c r="H176" s="45" t="str">
        <f t="shared" si="24"/>
        <v>A</v>
      </c>
      <c r="I176" s="45"/>
      <c r="J176" s="45" t="str">
        <f t="shared" si="25"/>
        <v>GPT + muestra Claude/humana</v>
      </c>
      <c r="K176" s="43"/>
      <c r="L176" s="43"/>
      <c r="M176" s="43"/>
      <c r="N176" s="43"/>
      <c r="O176" s="43"/>
      <c r="P176" s="43"/>
      <c r="Q176" s="43"/>
      <c r="R176" s="43"/>
      <c r="S176" s="43"/>
      <c r="T176" s="43"/>
      <c r="U176" s="43"/>
      <c r="V176" s="43"/>
      <c r="W176" s="43"/>
      <c r="X176" s="43"/>
      <c r="Y176" s="43"/>
      <c r="Z176" s="43"/>
      <c r="AA176" s="43"/>
      <c r="AB176" s="43"/>
      <c r="AC176" s="45" t="str">
        <f t="shared" si="26"/>
        <v>pendiente</v>
      </c>
      <c r="AD176" s="45" t="str">
        <f t="shared" si="27"/>
        <v>pendiente</v>
      </c>
      <c r="AE176" s="45" t="str">
        <f t="shared" si="28"/>
        <v>pendiente</v>
      </c>
      <c r="AF176" s="45" t="str">
        <f t="shared" si="29"/>
        <v>pendiente</v>
      </c>
      <c r="AG176" s="45" t="str">
        <f t="shared" si="30"/>
        <v>insuficiente</v>
      </c>
      <c r="AH176" s="45" t="str">
        <f t="shared" si="31"/>
        <v>pendiente</v>
      </c>
      <c r="AI176" s="45" t="str">
        <f t="shared" si="32"/>
        <v>SI</v>
      </c>
      <c r="AJ176" s="45" t="str">
        <f t="shared" si="33"/>
        <v>NO</v>
      </c>
      <c r="AK176" s="45" t="str">
        <f t="shared" si="34"/>
        <v>NO</v>
      </c>
      <c r="AL176" s="45"/>
      <c r="AM176" s="45"/>
      <c r="AN176" s="45"/>
      <c r="AO176" s="49"/>
      <c r="AP176" s="45"/>
      <c r="AQ176" s="45"/>
      <c r="AR176" s="45" t="str">
        <f t="shared" si="35"/>
        <v>NO</v>
      </c>
      <c r="AS176" s="43"/>
    </row>
    <row r="177" spans="1:45" ht="44" customHeight="1">
      <c r="A177" s="45">
        <v>169</v>
      </c>
      <c r="B177" s="43" t="str">
        <f>'T01 revisión'!A173</f>
        <v>sangbenvolviendo</v>
      </c>
      <c r="C177" s="43" t="str">
        <f>'T01 revisión'!B173</f>
        <v>Volviendo al Caribe</v>
      </c>
      <c r="D177" s="43" t="str">
        <f>'T01 revisión'!C173</f>
        <v>Mukien Adriana Sang Ben</v>
      </c>
      <c r="E177" s="43" t="str">
        <f>'T01 revisión'!D173</f>
        <v>B02</v>
      </c>
      <c r="F177" s="43" t="str">
        <f>'T01 revisión'!E173</f>
        <v>hispano (Rep. Dominicana/Colombia)</v>
      </c>
      <c r="G177" s="43" t="str">
        <f>'T01 revisión'!H173</f>
        <v>varias procedencias o territorios; función territorial no demostrada</v>
      </c>
      <c r="H177" s="45" t="str">
        <f t="shared" si="24"/>
        <v>B</v>
      </c>
      <c r="I177" s="45"/>
      <c r="J177" s="45" t="str">
        <f t="shared" si="25"/>
        <v>GPT + Claude ciegos; control abreviado</v>
      </c>
      <c r="K177" s="43"/>
      <c r="L177" s="43"/>
      <c r="M177" s="43"/>
      <c r="N177" s="43"/>
      <c r="O177" s="43"/>
      <c r="P177" s="43"/>
      <c r="Q177" s="43"/>
      <c r="R177" s="43"/>
      <c r="S177" s="43"/>
      <c r="T177" s="43"/>
      <c r="U177" s="43"/>
      <c r="V177" s="43"/>
      <c r="W177" s="43"/>
      <c r="X177" s="43"/>
      <c r="Y177" s="43"/>
      <c r="Z177" s="43"/>
      <c r="AA177" s="43"/>
      <c r="AB177" s="43"/>
      <c r="AC177" s="45" t="str">
        <f t="shared" si="26"/>
        <v>pendiente</v>
      </c>
      <c r="AD177" s="45" t="str">
        <f t="shared" si="27"/>
        <v>pendiente</v>
      </c>
      <c r="AE177" s="45" t="str">
        <f t="shared" si="28"/>
        <v>pendiente</v>
      </c>
      <c r="AF177" s="45" t="str">
        <f t="shared" si="29"/>
        <v>pendiente</v>
      </c>
      <c r="AG177" s="45" t="str">
        <f t="shared" si="30"/>
        <v>insuficiente</v>
      </c>
      <c r="AH177" s="45" t="str">
        <f t="shared" si="31"/>
        <v>pendiente</v>
      </c>
      <c r="AI177" s="45" t="str">
        <f t="shared" si="32"/>
        <v>SI</v>
      </c>
      <c r="AJ177" s="45" t="str">
        <f t="shared" si="33"/>
        <v>abreviado</v>
      </c>
      <c r="AK177" s="45" t="str">
        <f t="shared" si="34"/>
        <v>NO</v>
      </c>
      <c r="AL177" s="45"/>
      <c r="AM177" s="45"/>
      <c r="AN177" s="45"/>
      <c r="AO177" s="49"/>
      <c r="AP177" s="45"/>
      <c r="AQ177" s="45"/>
      <c r="AR177" s="45" t="str">
        <f t="shared" si="35"/>
        <v>NO</v>
      </c>
      <c r="AS177" s="43"/>
    </row>
    <row r="178" spans="1:45" ht="44" customHeight="1">
      <c r="A178" s="45">
        <v>170</v>
      </c>
      <c r="B178" s="43" t="str">
        <f>'T01 revisión'!A174</f>
        <v>chicamusicaafricana</v>
      </c>
      <c r="C178" s="43" t="str">
        <f>'T01 revisión'!B174</f>
        <v>¿Dónde hay música africana? Cultura picotera y Festival Internacional de Música del Caribe en Cartagena</v>
      </c>
      <c r="D178" s="43" t="str">
        <f>'T01 revisión'!C174</f>
        <v>Ricardo Chica Geliz y Adrián Fajardo Martínez</v>
      </c>
      <c r="E178" s="43" t="str">
        <f>'T01 revisión'!D174</f>
        <v>B04</v>
      </c>
      <c r="F178" s="43" t="str">
        <f>'T01 revisión'!E174</f>
        <v>hispano (Colombia)</v>
      </c>
      <c r="G178" s="43" t="str">
        <f>'T01 revisión'!H174</f>
        <v>función territorial no demostrada</v>
      </c>
      <c r="H178" s="45" t="str">
        <f t="shared" si="24"/>
        <v>A</v>
      </c>
      <c r="I178" s="45"/>
      <c r="J178" s="45" t="str">
        <f t="shared" si="25"/>
        <v>GPT + muestra Claude/humana</v>
      </c>
      <c r="K178" s="43"/>
      <c r="L178" s="43"/>
      <c r="M178" s="43"/>
      <c r="N178" s="43"/>
      <c r="O178" s="43"/>
      <c r="P178" s="43"/>
      <c r="Q178" s="43"/>
      <c r="R178" s="43"/>
      <c r="S178" s="43"/>
      <c r="T178" s="43"/>
      <c r="U178" s="43"/>
      <c r="V178" s="43"/>
      <c r="W178" s="43"/>
      <c r="X178" s="43"/>
      <c r="Y178" s="43"/>
      <c r="Z178" s="43"/>
      <c r="AA178" s="43"/>
      <c r="AB178" s="43"/>
      <c r="AC178" s="45" t="str">
        <f t="shared" si="26"/>
        <v>pendiente</v>
      </c>
      <c r="AD178" s="45" t="str">
        <f t="shared" si="27"/>
        <v>pendiente</v>
      </c>
      <c r="AE178" s="45" t="str">
        <f t="shared" si="28"/>
        <v>pendiente</v>
      </c>
      <c r="AF178" s="45" t="str">
        <f t="shared" si="29"/>
        <v>pendiente</v>
      </c>
      <c r="AG178" s="45" t="str">
        <f t="shared" si="30"/>
        <v>insuficiente</v>
      </c>
      <c r="AH178" s="45" t="str">
        <f t="shared" si="31"/>
        <v>pendiente</v>
      </c>
      <c r="AI178" s="45" t="str">
        <f t="shared" si="32"/>
        <v>NO</v>
      </c>
      <c r="AJ178" s="45" t="str">
        <f t="shared" si="33"/>
        <v>muestra</v>
      </c>
      <c r="AK178" s="45" t="str">
        <f t="shared" si="34"/>
        <v>NO</v>
      </c>
      <c r="AL178" s="45"/>
      <c r="AM178" s="45"/>
      <c r="AN178" s="45"/>
      <c r="AO178" s="49"/>
      <c r="AP178" s="45"/>
      <c r="AQ178" s="45"/>
      <c r="AR178" s="45" t="str">
        <f t="shared" si="35"/>
        <v>NO</v>
      </c>
      <c r="AS178" s="43"/>
    </row>
    <row r="179" spans="1:45" ht="44" customHeight="1">
      <c r="A179" s="45">
        <v>171</v>
      </c>
      <c r="B179" s="43" t="str">
        <f>'T01 revisión'!A175</f>
        <v>zambrana</v>
      </c>
      <c r="C179" s="43" t="str">
        <f>'T01 revisión'!B175</f>
        <v>Colonial Debts: The Case of Puerto Rico</v>
      </c>
      <c r="D179" s="43" t="str">
        <f>'T01 revisión'!C175</f>
        <v>Rocío Zambrana</v>
      </c>
      <c r="E179" s="43" t="str">
        <f>'T01 revisión'!D175</f>
        <v>DE01</v>
      </c>
      <c r="F179" s="43" t="str">
        <f>'T01 revisión'!E175</f>
        <v>hispano (Puerto Rico)</v>
      </c>
      <c r="G179" s="43" t="str">
        <f>'T01 revisión'!H175</f>
        <v>función territorial no demostrada</v>
      </c>
      <c r="H179" s="45" t="str">
        <f t="shared" si="24"/>
        <v>A</v>
      </c>
      <c r="I179" s="45"/>
      <c r="J179" s="45" t="str">
        <f t="shared" si="25"/>
        <v>GPT + muestra Claude/humana</v>
      </c>
      <c r="K179" s="43"/>
      <c r="L179" s="43"/>
      <c r="M179" s="43"/>
      <c r="N179" s="43"/>
      <c r="O179" s="43"/>
      <c r="P179" s="43"/>
      <c r="Q179" s="43"/>
      <c r="R179" s="43"/>
      <c r="S179" s="43"/>
      <c r="T179" s="43"/>
      <c r="U179" s="43"/>
      <c r="V179" s="43"/>
      <c r="W179" s="43"/>
      <c r="X179" s="43"/>
      <c r="Y179" s="43"/>
      <c r="Z179" s="43"/>
      <c r="AA179" s="43"/>
      <c r="AB179" s="43"/>
      <c r="AC179" s="45" t="str">
        <f t="shared" si="26"/>
        <v>pendiente</v>
      </c>
      <c r="AD179" s="45" t="str">
        <f t="shared" si="27"/>
        <v>pendiente</v>
      </c>
      <c r="AE179" s="45" t="str">
        <f t="shared" si="28"/>
        <v>pendiente</v>
      </c>
      <c r="AF179" s="45" t="str">
        <f t="shared" si="29"/>
        <v>pendiente</v>
      </c>
      <c r="AG179" s="45" t="str">
        <f t="shared" si="30"/>
        <v>insuficiente</v>
      </c>
      <c r="AH179" s="45" t="str">
        <f t="shared" si="31"/>
        <v>pendiente</v>
      </c>
      <c r="AI179" s="45" t="str">
        <f t="shared" si="32"/>
        <v>NO</v>
      </c>
      <c r="AJ179" s="45" t="str">
        <f t="shared" si="33"/>
        <v>NO</v>
      </c>
      <c r="AK179" s="45" t="str">
        <f t="shared" si="34"/>
        <v>NO</v>
      </c>
      <c r="AL179" s="45"/>
      <c r="AM179" s="45"/>
      <c r="AN179" s="45"/>
      <c r="AO179" s="49"/>
      <c r="AP179" s="45"/>
      <c r="AQ179" s="45"/>
      <c r="AR179" s="45" t="str">
        <f t="shared" si="35"/>
        <v>NO</v>
      </c>
      <c r="AS179" s="43"/>
    </row>
    <row r="180" spans="1:45" ht="44" customHeight="1">
      <c r="A180" s="45">
        <v>172</v>
      </c>
      <c r="B180" s="43" t="str">
        <f>'T01 revisión'!A176</f>
        <v>martinezsanmiguel</v>
      </c>
      <c r="C180" s="43" t="str">
        <f>'T01 revisión'!B176</f>
        <v>Coloniality of Diasporas: Rethinking Intra-Colonial Migrations in a Pan Caribbean Context</v>
      </c>
      <c r="D180" s="43" t="str">
        <f>'T01 revisión'!C176</f>
        <v>Yolanda Martínez-San Miguel</v>
      </c>
      <c r="E180" s="43" t="str">
        <f>'T01 revisión'!D176</f>
        <v>C03</v>
      </c>
      <c r="F180" s="43" t="str">
        <f>'T01 revisión'!E176</f>
        <v>hispano (Puerto Rico/comparado)</v>
      </c>
      <c r="G180" s="43" t="str">
        <f>'T01 revisión'!H176</f>
        <v>mezcla escala comparativa; varias procedencias o territorios; función territorial no demostrada</v>
      </c>
      <c r="H180" s="45" t="str">
        <f t="shared" si="24"/>
        <v>B</v>
      </c>
      <c r="I180" s="45"/>
      <c r="J180" s="45" t="str">
        <f t="shared" si="25"/>
        <v>GPT + Claude ciegos; control abreviado</v>
      </c>
      <c r="K180" s="43"/>
      <c r="L180" s="43"/>
      <c r="M180" s="43"/>
      <c r="N180" s="43"/>
      <c r="O180" s="43"/>
      <c r="P180" s="43"/>
      <c r="Q180" s="43"/>
      <c r="R180" s="43"/>
      <c r="S180" s="43"/>
      <c r="T180" s="43"/>
      <c r="U180" s="43"/>
      <c r="V180" s="43"/>
      <c r="W180" s="43"/>
      <c r="X180" s="43"/>
      <c r="Y180" s="43"/>
      <c r="Z180" s="43"/>
      <c r="AA180" s="43"/>
      <c r="AB180" s="43"/>
      <c r="AC180" s="45" t="str">
        <f t="shared" si="26"/>
        <v>pendiente</v>
      </c>
      <c r="AD180" s="45" t="str">
        <f t="shared" si="27"/>
        <v>pendiente</v>
      </c>
      <c r="AE180" s="45" t="str">
        <f t="shared" si="28"/>
        <v>pendiente</v>
      </c>
      <c r="AF180" s="45" t="str">
        <f t="shared" si="29"/>
        <v>pendiente</v>
      </c>
      <c r="AG180" s="45" t="str">
        <f t="shared" si="30"/>
        <v>insuficiente</v>
      </c>
      <c r="AH180" s="45" t="str">
        <f t="shared" si="31"/>
        <v>pendiente</v>
      </c>
      <c r="AI180" s="45" t="str">
        <f t="shared" si="32"/>
        <v>SI</v>
      </c>
      <c r="AJ180" s="45" t="str">
        <f t="shared" si="33"/>
        <v>abreviado</v>
      </c>
      <c r="AK180" s="45" t="str">
        <f t="shared" si="34"/>
        <v>NO</v>
      </c>
      <c r="AL180" s="45"/>
      <c r="AM180" s="45"/>
      <c r="AN180" s="45"/>
      <c r="AO180" s="49"/>
      <c r="AP180" s="45"/>
      <c r="AQ180" s="45"/>
      <c r="AR180" s="45" t="str">
        <f t="shared" si="35"/>
        <v>NO</v>
      </c>
      <c r="AS180" s="43"/>
    </row>
    <row r="181" spans="1:45" ht="44" customHeight="1">
      <c r="A181" s="45">
        <v>173</v>
      </c>
      <c r="B181" s="43" t="str">
        <f>'T01 revisión'!A177</f>
        <v>archipelagicthinking</v>
      </c>
      <c r="C181" s="43" t="str">
        <f>'T01 revisión'!B177</f>
        <v>Contemporary Archipelagic Thinking: Towards New Comparative Methodologies and Disciplinary Formations</v>
      </c>
      <c r="D181" s="43" t="str">
        <f>'T01 revisión'!C177</f>
        <v>Michelle Stephens y Yolanda Martínez-San Miguel (eds.)</v>
      </c>
      <c r="E181" s="43" t="str">
        <f>'T01 revisión'!D177</f>
        <v>C03</v>
      </c>
      <c r="F181" s="43" t="str">
        <f>'T01 revisión'!E177</f>
        <v>comparado (métodos comparados)</v>
      </c>
      <c r="G181" s="43" t="str">
        <f>'T01 revisión'!H177</f>
        <v>sin lengua explícita; mezcla escala comparativa; mezcla tema, método o escala; función territorial no demostrada</v>
      </c>
      <c r="H181" s="45" t="str">
        <f t="shared" si="24"/>
        <v>C</v>
      </c>
      <c r="I181" s="45"/>
      <c r="J181" s="45" t="str">
        <f t="shared" si="25"/>
        <v>GPT + Claude ciegos; control humano obligatorio</v>
      </c>
      <c r="K181" s="43" t="s">
        <v>3057</v>
      </c>
      <c r="L181" s="43" t="s">
        <v>2340</v>
      </c>
      <c r="M181" s="43"/>
      <c r="N181" s="43"/>
      <c r="O181" s="43" t="s">
        <v>3058</v>
      </c>
      <c r="P181" s="43" t="s">
        <v>3059</v>
      </c>
      <c r="Q181" s="43" t="s">
        <v>3007</v>
      </c>
      <c r="R181" s="43" t="s">
        <v>3060</v>
      </c>
      <c r="S181" s="43" t="s">
        <v>2229</v>
      </c>
      <c r="T181" s="43"/>
      <c r="U181" s="43"/>
      <c r="V181" s="43"/>
      <c r="W181" s="43"/>
      <c r="X181" s="43"/>
      <c r="Y181" s="43"/>
      <c r="Z181" s="43"/>
      <c r="AA181" s="43"/>
      <c r="AB181" s="43"/>
      <c r="AC181" s="45" t="str">
        <f t="shared" si="26"/>
        <v>pendiente</v>
      </c>
      <c r="AD181" s="45" t="str">
        <f t="shared" si="27"/>
        <v>pendiente</v>
      </c>
      <c r="AE181" s="45" t="str">
        <f t="shared" si="28"/>
        <v>pendiente</v>
      </c>
      <c r="AF181" s="45" t="str">
        <f t="shared" si="29"/>
        <v>pendiente</v>
      </c>
      <c r="AG181" s="45" t="str">
        <f t="shared" si="30"/>
        <v>insuficiente</v>
      </c>
      <c r="AH181" s="45" t="str">
        <f t="shared" si="31"/>
        <v>pendiente</v>
      </c>
      <c r="AI181" s="45" t="str">
        <f t="shared" si="32"/>
        <v>SI</v>
      </c>
      <c r="AJ181" s="45" t="str">
        <f t="shared" si="33"/>
        <v>obligatorio</v>
      </c>
      <c r="AK181" s="45" t="str">
        <f t="shared" si="34"/>
        <v>SI</v>
      </c>
      <c r="AL181" s="45"/>
      <c r="AM181" s="45"/>
      <c r="AN181" s="45"/>
      <c r="AO181" s="49"/>
      <c r="AP181" s="45"/>
      <c r="AQ181" s="45"/>
      <c r="AR181" s="45" t="str">
        <f t="shared" si="35"/>
        <v>NO</v>
      </c>
      <c r="AS181" s="43" t="s">
        <v>3061</v>
      </c>
    </row>
    <row r="182" spans="1:45" ht="44" customHeight="1">
      <c r="A182" s="45">
        <v>174</v>
      </c>
      <c r="B182" s="43" t="str">
        <f>'T01 revisión'!A178</f>
        <v>brownetropic</v>
      </c>
      <c r="C182" s="43" t="str">
        <f>'T01 revisión'!B178</f>
        <v>Tropic Tendencies: Rhetoric, Popular Culture, and the Anglophone Caribbean</v>
      </c>
      <c r="D182" s="43" t="str">
        <f>'T01 revisión'!C178</f>
        <v>Kevin Adonis Browne</v>
      </c>
      <c r="E182" s="43" t="str">
        <f>'T01 revisión'!D178</f>
        <v>A03</v>
      </c>
      <c r="F182" s="43" t="str">
        <f>'T01 revisión'!E178</f>
        <v>anglófono (Trinidad/EE.UU.)</v>
      </c>
      <c r="G182" s="43" t="str">
        <f>'T01 revisión'!H178</f>
        <v>varias procedencias o territorios; abreviaturas por normalizar; función territorial no demostrada</v>
      </c>
      <c r="H182" s="45" t="str">
        <f t="shared" si="24"/>
        <v>B</v>
      </c>
      <c r="I182" s="45"/>
      <c r="J182" s="45" t="str">
        <f t="shared" si="25"/>
        <v>GPT + Claude ciegos; control abreviado</v>
      </c>
      <c r="K182" s="43"/>
      <c r="L182" s="43"/>
      <c r="M182" s="43"/>
      <c r="N182" s="43"/>
      <c r="O182" s="43"/>
      <c r="P182" s="43"/>
      <c r="Q182" s="43"/>
      <c r="R182" s="43"/>
      <c r="S182" s="43"/>
      <c r="T182" s="43"/>
      <c r="U182" s="43"/>
      <c r="V182" s="43"/>
      <c r="W182" s="43"/>
      <c r="X182" s="43"/>
      <c r="Y182" s="43"/>
      <c r="Z182" s="43"/>
      <c r="AA182" s="43"/>
      <c r="AB182" s="43"/>
      <c r="AC182" s="45" t="str">
        <f t="shared" si="26"/>
        <v>pendiente</v>
      </c>
      <c r="AD182" s="45" t="str">
        <f t="shared" si="27"/>
        <v>pendiente</v>
      </c>
      <c r="AE182" s="45" t="str">
        <f t="shared" si="28"/>
        <v>pendiente</v>
      </c>
      <c r="AF182" s="45" t="str">
        <f t="shared" si="29"/>
        <v>pendiente</v>
      </c>
      <c r="AG182" s="45" t="str">
        <f t="shared" si="30"/>
        <v>insuficiente</v>
      </c>
      <c r="AH182" s="45" t="str">
        <f t="shared" si="31"/>
        <v>pendiente</v>
      </c>
      <c r="AI182" s="45" t="str">
        <f t="shared" si="32"/>
        <v>SI</v>
      </c>
      <c r="AJ182" s="45" t="str">
        <f t="shared" si="33"/>
        <v>abreviado</v>
      </c>
      <c r="AK182" s="45" t="str">
        <f t="shared" si="34"/>
        <v>NO</v>
      </c>
      <c r="AL182" s="45"/>
      <c r="AM182" s="45"/>
      <c r="AN182" s="45"/>
      <c r="AO182" s="49"/>
      <c r="AP182" s="45"/>
      <c r="AQ182" s="45"/>
      <c r="AR182" s="45" t="str">
        <f t="shared" si="35"/>
        <v>NO</v>
      </c>
      <c r="AS182" s="43"/>
    </row>
    <row r="183" spans="1:45" ht="44" customHeight="1">
      <c r="A183" s="45">
        <v>175</v>
      </c>
      <c r="B183" s="43" t="str">
        <f>'T01 revisión'!A179</f>
        <v>lightfoot</v>
      </c>
      <c r="C183" s="43" t="str">
        <f>'T01 revisión'!B179</f>
        <v>Troubling Freedom: Antigua and the Aftermath of British Emancipation</v>
      </c>
      <c r="D183" s="43" t="str">
        <f>'T01 revisión'!C179</f>
        <v>Natasha Lightfoot</v>
      </c>
      <c r="E183" s="43" t="str">
        <f>'T01 revisión'!D179</f>
        <v>B02</v>
      </c>
      <c r="F183" s="43" t="str">
        <f>'T01 revisión'!E179</f>
        <v>anglófono (comparado)</v>
      </c>
      <c r="G183" s="43" t="str">
        <f>'T01 revisión'!H179</f>
        <v>mezcla escala comparativa; función territorial no demostrada</v>
      </c>
      <c r="H183" s="45" t="str">
        <f t="shared" si="24"/>
        <v>A</v>
      </c>
      <c r="I183" s="45"/>
      <c r="J183" s="45" t="str">
        <f t="shared" si="25"/>
        <v>GPT + muestra Claude/humana</v>
      </c>
      <c r="K183" s="43"/>
      <c r="L183" s="43"/>
      <c r="M183" s="43"/>
      <c r="N183" s="43"/>
      <c r="O183" s="43"/>
      <c r="P183" s="43"/>
      <c r="Q183" s="43"/>
      <c r="R183" s="43"/>
      <c r="S183" s="43"/>
      <c r="T183" s="43"/>
      <c r="U183" s="43"/>
      <c r="V183" s="43"/>
      <c r="W183" s="43"/>
      <c r="X183" s="43"/>
      <c r="Y183" s="43"/>
      <c r="Z183" s="43"/>
      <c r="AA183" s="43"/>
      <c r="AB183" s="43"/>
      <c r="AC183" s="45" t="str">
        <f t="shared" si="26"/>
        <v>pendiente</v>
      </c>
      <c r="AD183" s="45" t="str">
        <f t="shared" si="27"/>
        <v>pendiente</v>
      </c>
      <c r="AE183" s="45" t="str">
        <f t="shared" si="28"/>
        <v>pendiente</v>
      </c>
      <c r="AF183" s="45" t="str">
        <f t="shared" si="29"/>
        <v>pendiente</v>
      </c>
      <c r="AG183" s="45" t="str">
        <f t="shared" si="30"/>
        <v>insuficiente</v>
      </c>
      <c r="AH183" s="45" t="str">
        <f t="shared" si="31"/>
        <v>pendiente</v>
      </c>
      <c r="AI183" s="45" t="str">
        <f t="shared" si="32"/>
        <v>SI</v>
      </c>
      <c r="AJ183" s="45" t="str">
        <f t="shared" si="33"/>
        <v>NO</v>
      </c>
      <c r="AK183" s="45" t="str">
        <f t="shared" si="34"/>
        <v>NO</v>
      </c>
      <c r="AL183" s="45"/>
      <c r="AM183" s="45"/>
      <c r="AN183" s="45"/>
      <c r="AO183" s="49"/>
      <c r="AP183" s="45"/>
      <c r="AQ183" s="45"/>
      <c r="AR183" s="45" t="str">
        <f t="shared" si="35"/>
        <v>NO</v>
      </c>
      <c r="AS183" s="43"/>
    </row>
    <row r="184" spans="1:45" ht="44" customHeight="1">
      <c r="A184" s="45">
        <v>176</v>
      </c>
      <c r="B184" s="43" t="str">
        <f>'T01 revisión'!A180</f>
        <v>fischer</v>
      </c>
      <c r="C184" s="43" t="str">
        <f>'T01 revisión'!B180</f>
        <v>Modernity Disavowed: Haiti and the Cultures of Slavery in the Age of Revolution</v>
      </c>
      <c r="D184" s="43" t="str">
        <f>'T01 revisión'!C180</f>
        <v>Sibylle Fischer</v>
      </c>
      <c r="E184" s="43" t="str">
        <f>'T01 revisión'!D180</f>
        <v>C04</v>
      </c>
      <c r="F184" s="43" t="str">
        <f>'T01 revisión'!E180</f>
        <v>comparado</v>
      </c>
      <c r="G184" s="43" t="str">
        <f>'T01 revisión'!H180</f>
        <v>sin lengua explícita; mezcla escala comparativa</v>
      </c>
      <c r="H184" s="45" t="str">
        <f t="shared" si="24"/>
        <v>C</v>
      </c>
      <c r="I184" s="45"/>
      <c r="J184" s="45" t="str">
        <f t="shared" si="25"/>
        <v>GPT + Claude ciegos; control humano obligatorio</v>
      </c>
      <c r="K184" s="43" t="s">
        <v>3062</v>
      </c>
      <c r="L184" s="43" t="s">
        <v>2340</v>
      </c>
      <c r="M184" s="43"/>
      <c r="N184" s="43" t="s">
        <v>3063</v>
      </c>
      <c r="O184" s="43"/>
      <c r="P184" s="43" t="s">
        <v>3064</v>
      </c>
      <c r="Q184" s="43" t="s">
        <v>3065</v>
      </c>
      <c r="R184" s="43" t="s">
        <v>2953</v>
      </c>
      <c r="S184" s="43" t="s">
        <v>2229</v>
      </c>
      <c r="T184" s="43"/>
      <c r="U184" s="43"/>
      <c r="V184" s="43"/>
      <c r="W184" s="43"/>
      <c r="X184" s="43"/>
      <c r="Y184" s="43"/>
      <c r="Z184" s="43"/>
      <c r="AA184" s="43"/>
      <c r="AB184" s="43"/>
      <c r="AC184" s="45" t="str">
        <f t="shared" si="26"/>
        <v>pendiente</v>
      </c>
      <c r="AD184" s="45" t="str">
        <f t="shared" si="27"/>
        <v>pendiente</v>
      </c>
      <c r="AE184" s="45" t="str">
        <f t="shared" si="28"/>
        <v>pendiente</v>
      </c>
      <c r="AF184" s="45" t="str">
        <f t="shared" si="29"/>
        <v>pendiente</v>
      </c>
      <c r="AG184" s="45" t="str">
        <f t="shared" si="30"/>
        <v>insuficiente</v>
      </c>
      <c r="AH184" s="45" t="str">
        <f t="shared" si="31"/>
        <v>pendiente</v>
      </c>
      <c r="AI184" s="45" t="str">
        <f t="shared" si="32"/>
        <v>SI</v>
      </c>
      <c r="AJ184" s="45" t="str">
        <f t="shared" si="33"/>
        <v>obligatorio</v>
      </c>
      <c r="AK184" s="45" t="str">
        <f t="shared" si="34"/>
        <v>SI</v>
      </c>
      <c r="AL184" s="45"/>
      <c r="AM184" s="45"/>
      <c r="AN184" s="45"/>
      <c r="AO184" s="49"/>
      <c r="AP184" s="45"/>
      <c r="AQ184" s="45"/>
      <c r="AR184" s="45" t="str">
        <f t="shared" si="35"/>
        <v>NO</v>
      </c>
      <c r="AS184" s="43" t="s">
        <v>3066</v>
      </c>
    </row>
    <row r="185" spans="1:45" ht="44" customHeight="1">
      <c r="A185" s="45">
        <v>177</v>
      </c>
      <c r="B185" s="43" t="str">
        <f>'T01 revisión'!A181</f>
        <v>felicianosantos</v>
      </c>
      <c r="C185" s="43" t="str">
        <f>'T01 revisión'!B181</f>
        <v>A Contested Caribbean Indigeneity: Language, Social Practice, and Native Puerto Rican Identity</v>
      </c>
      <c r="D185" s="43" t="str">
        <f>'T01 revisión'!C181</f>
        <v>Sherina Feliciano-Santos</v>
      </c>
      <c r="E185" s="43" t="str">
        <f>'T01 revisión'!D181</f>
        <v>C04</v>
      </c>
      <c r="F185" s="43" t="str">
        <f>'T01 revisión'!E181</f>
        <v>hispano (Puerto Rico/EE.UU.)</v>
      </c>
      <c r="G185" s="43" t="str">
        <f>'T01 revisión'!H181</f>
        <v>varias procedencias o territorios; abreviaturas por normalizar; función territorial no demostrada</v>
      </c>
      <c r="H185" s="45" t="str">
        <f t="shared" si="24"/>
        <v>B</v>
      </c>
      <c r="I185" s="45"/>
      <c r="J185" s="45" t="str">
        <f t="shared" si="25"/>
        <v>GPT + Claude ciegos; control abreviado</v>
      </c>
      <c r="K185" s="43"/>
      <c r="L185" s="43"/>
      <c r="M185" s="43"/>
      <c r="N185" s="43"/>
      <c r="O185" s="43"/>
      <c r="P185" s="43"/>
      <c r="Q185" s="43"/>
      <c r="R185" s="43"/>
      <c r="S185" s="43"/>
      <c r="T185" s="43"/>
      <c r="U185" s="43"/>
      <c r="V185" s="43"/>
      <c r="W185" s="43"/>
      <c r="X185" s="43"/>
      <c r="Y185" s="43"/>
      <c r="Z185" s="43"/>
      <c r="AA185" s="43"/>
      <c r="AB185" s="43"/>
      <c r="AC185" s="45" t="str">
        <f t="shared" si="26"/>
        <v>pendiente</v>
      </c>
      <c r="AD185" s="45" t="str">
        <f t="shared" si="27"/>
        <v>pendiente</v>
      </c>
      <c r="AE185" s="45" t="str">
        <f t="shared" si="28"/>
        <v>pendiente</v>
      </c>
      <c r="AF185" s="45" t="str">
        <f t="shared" si="29"/>
        <v>pendiente</v>
      </c>
      <c r="AG185" s="45" t="str">
        <f t="shared" si="30"/>
        <v>insuficiente</v>
      </c>
      <c r="AH185" s="45" t="str">
        <f t="shared" si="31"/>
        <v>pendiente</v>
      </c>
      <c r="AI185" s="45" t="str">
        <f t="shared" si="32"/>
        <v>SI</v>
      </c>
      <c r="AJ185" s="45" t="str">
        <f t="shared" si="33"/>
        <v>abreviado</v>
      </c>
      <c r="AK185" s="45" t="str">
        <f t="shared" si="34"/>
        <v>NO</v>
      </c>
      <c r="AL185" s="45"/>
      <c r="AM185" s="45"/>
      <c r="AN185" s="45"/>
      <c r="AO185" s="49"/>
      <c r="AP185" s="45"/>
      <c r="AQ185" s="45"/>
      <c r="AR185" s="45" t="str">
        <f t="shared" si="35"/>
        <v>NO</v>
      </c>
      <c r="AS185" s="43"/>
    </row>
    <row r="186" spans="1:45" ht="44" customHeight="1">
      <c r="A186" s="45">
        <v>178</v>
      </c>
      <c r="B186" s="43" t="str">
        <f>'T01 revisión'!A182</f>
        <v>prestolmasacre</v>
      </c>
      <c r="C186" s="43" t="str">
        <f>'T01 revisión'!B182</f>
        <v>El Masacre se pasa a pie (You Can Cross the Massacre on Foot)</v>
      </c>
      <c r="D186" s="43" t="str">
        <f>'T01 revisión'!C182</f>
        <v>Freddy Prestol Castillo</v>
      </c>
      <c r="E186" s="43" t="str">
        <f>'T01 revisión'!D182</f>
        <v>A03</v>
      </c>
      <c r="F186" s="43" t="str">
        <f>'T01 revisión'!E182</f>
        <v>hispano (República Dominicana)</v>
      </c>
      <c r="G186" s="43" t="str">
        <f>'T01 revisión'!H182</f>
        <v>función territorial no demostrada</v>
      </c>
      <c r="H186" s="45" t="str">
        <f t="shared" si="24"/>
        <v>A</v>
      </c>
      <c r="I186" s="45"/>
      <c r="J186" s="45" t="str">
        <f t="shared" si="25"/>
        <v>GPT + muestra Claude/humana</v>
      </c>
      <c r="K186" s="43"/>
      <c r="L186" s="43"/>
      <c r="M186" s="43"/>
      <c r="N186" s="43"/>
      <c r="O186" s="43"/>
      <c r="P186" s="43"/>
      <c r="Q186" s="43"/>
      <c r="R186" s="43"/>
      <c r="S186" s="43"/>
      <c r="T186" s="43"/>
      <c r="U186" s="43"/>
      <c r="V186" s="43"/>
      <c r="W186" s="43"/>
      <c r="X186" s="43"/>
      <c r="Y186" s="43"/>
      <c r="Z186" s="43"/>
      <c r="AA186" s="43"/>
      <c r="AB186" s="43"/>
      <c r="AC186" s="45" t="str">
        <f t="shared" si="26"/>
        <v>pendiente</v>
      </c>
      <c r="AD186" s="45" t="str">
        <f t="shared" si="27"/>
        <v>pendiente</v>
      </c>
      <c r="AE186" s="45" t="str">
        <f t="shared" si="28"/>
        <v>pendiente</v>
      </c>
      <c r="AF186" s="45" t="str">
        <f t="shared" si="29"/>
        <v>pendiente</v>
      </c>
      <c r="AG186" s="45" t="str">
        <f t="shared" si="30"/>
        <v>insuficiente</v>
      </c>
      <c r="AH186" s="45" t="str">
        <f t="shared" si="31"/>
        <v>pendiente</v>
      </c>
      <c r="AI186" s="45" t="str">
        <f t="shared" si="32"/>
        <v>NO</v>
      </c>
      <c r="AJ186" s="45" t="str">
        <f t="shared" si="33"/>
        <v>NO</v>
      </c>
      <c r="AK186" s="45" t="str">
        <f t="shared" si="34"/>
        <v>NO</v>
      </c>
      <c r="AL186" s="45"/>
      <c r="AM186" s="45"/>
      <c r="AN186" s="45"/>
      <c r="AO186" s="49"/>
      <c r="AP186" s="45"/>
      <c r="AQ186" s="45"/>
      <c r="AR186" s="45" t="str">
        <f t="shared" si="35"/>
        <v>NO</v>
      </c>
      <c r="AS186" s="43"/>
    </row>
    <row r="187" spans="1:45" ht="44" customHeight="1">
      <c r="A187" s="45">
        <v>179</v>
      </c>
      <c r="B187" s="43" t="str">
        <f>'T01 revisión'!A183</f>
        <v>hazareesingh</v>
      </c>
      <c r="C187" s="43" t="str">
        <f>'T01 revisión'!B183</f>
        <v>Black Spartacus: The Epic Life of Toussaint Louverture</v>
      </c>
      <c r="D187" s="43" t="str">
        <f>'T01 revisión'!C183</f>
        <v>Sudhir Hazareesingh</v>
      </c>
      <c r="E187" s="43" t="str">
        <f>'T01 revisión'!D183</f>
        <v>A02</v>
      </c>
      <c r="F187" s="43" t="str">
        <f>'T01 revisión'!E183</f>
        <v>comparado (Mauricio/Reino Unido)</v>
      </c>
      <c r="G187" s="43" t="str">
        <f>'T01 revisión'!H183</f>
        <v>sin lengua explícita; mezcla escala comparativa; varias procedencias o territorios; función territorial no demostrada</v>
      </c>
      <c r="H187" s="45" t="str">
        <f t="shared" si="24"/>
        <v>C</v>
      </c>
      <c r="I187" s="45"/>
      <c r="J187" s="45" t="str">
        <f t="shared" si="25"/>
        <v>GPT + Claude ciegos; control humano obligatorio</v>
      </c>
      <c r="K187" s="43"/>
      <c r="L187" s="43"/>
      <c r="M187" s="43"/>
      <c r="N187" s="43"/>
      <c r="O187" s="43"/>
      <c r="P187" s="43"/>
      <c r="Q187" s="43"/>
      <c r="R187" s="43"/>
      <c r="S187" s="43"/>
      <c r="T187" s="43"/>
      <c r="U187" s="43"/>
      <c r="V187" s="43"/>
      <c r="W187" s="43"/>
      <c r="X187" s="43"/>
      <c r="Y187" s="43"/>
      <c r="Z187" s="43"/>
      <c r="AA187" s="43"/>
      <c r="AB187" s="43"/>
      <c r="AC187" s="45" t="str">
        <f t="shared" si="26"/>
        <v>pendiente</v>
      </c>
      <c r="AD187" s="45" t="str">
        <f t="shared" si="27"/>
        <v>pendiente</v>
      </c>
      <c r="AE187" s="45" t="str">
        <f t="shared" si="28"/>
        <v>pendiente</v>
      </c>
      <c r="AF187" s="45" t="str">
        <f t="shared" si="29"/>
        <v>pendiente</v>
      </c>
      <c r="AG187" s="45" t="str">
        <f t="shared" si="30"/>
        <v>insuficiente</v>
      </c>
      <c r="AH187" s="45" t="str">
        <f t="shared" si="31"/>
        <v>pendiente</v>
      </c>
      <c r="AI187" s="45" t="str">
        <f t="shared" si="32"/>
        <v>SI</v>
      </c>
      <c r="AJ187" s="45" t="str">
        <f t="shared" si="33"/>
        <v>obligatorio</v>
      </c>
      <c r="AK187" s="45" t="str">
        <f t="shared" si="34"/>
        <v>SI</v>
      </c>
      <c r="AL187" s="45"/>
      <c r="AM187" s="45"/>
      <c r="AN187" s="45"/>
      <c r="AO187" s="49"/>
      <c r="AP187" s="45"/>
      <c r="AQ187" s="45"/>
      <c r="AR187" s="45" t="str">
        <f t="shared" si="35"/>
        <v>NO</v>
      </c>
      <c r="AS187" s="43"/>
    </row>
    <row r="188" spans="1:45" ht="44" customHeight="1">
      <c r="A188" s="45">
        <v>180</v>
      </c>
      <c r="B188" s="43" t="str">
        <f>'T01 revisión'!A184</f>
        <v>johnsonbelize</v>
      </c>
      <c r="C188" s="43" t="str">
        <f>'T01 revisión'!B184</f>
        <v>Becoming Creole: Nature and Race in Belize</v>
      </c>
      <c r="D188" s="43" t="str">
        <f>'T01 revisión'!C184</f>
        <v>Melissa A. Johnson</v>
      </c>
      <c r="E188" s="43" t="str">
        <f>'T01 revisión'!D184</f>
        <v>C03</v>
      </c>
      <c r="F188" s="43" t="str">
        <f>'T01 revisión'!E184</f>
        <v>anglófono (comparado)</v>
      </c>
      <c r="G188" s="43" t="str">
        <f>'T01 revisión'!H184</f>
        <v>mezcla escala comparativa; función territorial no demostrada</v>
      </c>
      <c r="H188" s="45" t="str">
        <f t="shared" si="24"/>
        <v>A</v>
      </c>
      <c r="I188" s="45"/>
      <c r="J188" s="45" t="str">
        <f t="shared" si="25"/>
        <v>GPT + muestra Claude/humana</v>
      </c>
      <c r="K188" s="43"/>
      <c r="L188" s="43"/>
      <c r="M188" s="43"/>
      <c r="N188" s="43"/>
      <c r="O188" s="43"/>
      <c r="P188" s="43"/>
      <c r="Q188" s="43"/>
      <c r="R188" s="43"/>
      <c r="S188" s="43"/>
      <c r="T188" s="43"/>
      <c r="U188" s="43"/>
      <c r="V188" s="43"/>
      <c r="W188" s="43"/>
      <c r="X188" s="43"/>
      <c r="Y188" s="43"/>
      <c r="Z188" s="43"/>
      <c r="AA188" s="43"/>
      <c r="AB188" s="43"/>
      <c r="AC188" s="45" t="str">
        <f t="shared" si="26"/>
        <v>pendiente</v>
      </c>
      <c r="AD188" s="45" t="str">
        <f t="shared" si="27"/>
        <v>pendiente</v>
      </c>
      <c r="AE188" s="45" t="str">
        <f t="shared" si="28"/>
        <v>pendiente</v>
      </c>
      <c r="AF188" s="45" t="str">
        <f t="shared" si="29"/>
        <v>pendiente</v>
      </c>
      <c r="AG188" s="45" t="str">
        <f t="shared" si="30"/>
        <v>insuficiente</v>
      </c>
      <c r="AH188" s="45" t="str">
        <f t="shared" si="31"/>
        <v>pendiente</v>
      </c>
      <c r="AI188" s="45" t="str">
        <f t="shared" si="32"/>
        <v>NO</v>
      </c>
      <c r="AJ188" s="45" t="str">
        <f t="shared" si="33"/>
        <v>muestra</v>
      </c>
      <c r="AK188" s="45" t="str">
        <f t="shared" si="34"/>
        <v>NO</v>
      </c>
      <c r="AL188" s="45"/>
      <c r="AM188" s="45"/>
      <c r="AN188" s="45"/>
      <c r="AO188" s="49"/>
      <c r="AP188" s="45"/>
      <c r="AQ188" s="45"/>
      <c r="AR188" s="45" t="str">
        <f t="shared" si="35"/>
        <v>NO</v>
      </c>
      <c r="AS188" s="43"/>
    </row>
    <row r="189" spans="1:45" ht="44" customHeight="1">
      <c r="A189" s="45">
        <v>181</v>
      </c>
      <c r="B189" s="43" t="str">
        <f>'T01 revisión'!A185</f>
        <v>millerbassey</v>
      </c>
      <c r="C189" s="43" t="str">
        <f>'T01 revisión'!B185</f>
        <v>Voice of the Leopard: African Secret Societies and Cuba</v>
      </c>
      <c r="D189" s="43" t="str">
        <f>'T01 revisión'!C185</f>
        <v>Ivor L. Miller y Bassey E. Bassey</v>
      </c>
      <c r="E189" s="43" t="str">
        <f>'T01 revisión'!D185</f>
        <v>B04</v>
      </c>
      <c r="F189" s="43" t="str">
        <f>'T01 revisión'!E185</f>
        <v>comparado (transatlántico)</v>
      </c>
      <c r="G189" s="43" t="str">
        <f>'T01 revisión'!H185</f>
        <v>sin lengua explícita; mezcla escala comparativa; mezcla tema, método o escala; función territorial no demostrada</v>
      </c>
      <c r="H189" s="45" t="str">
        <f t="shared" si="24"/>
        <v>C</v>
      </c>
      <c r="I189" s="45"/>
      <c r="J189" s="45" t="str">
        <f t="shared" si="25"/>
        <v>GPT + Claude ciegos; control humano obligatorio</v>
      </c>
      <c r="K189" s="43"/>
      <c r="L189" s="43"/>
      <c r="M189" s="43"/>
      <c r="N189" s="43"/>
      <c r="O189" s="43"/>
      <c r="P189" s="43"/>
      <c r="Q189" s="43"/>
      <c r="R189" s="43"/>
      <c r="S189" s="43"/>
      <c r="T189" s="43"/>
      <c r="U189" s="43"/>
      <c r="V189" s="43"/>
      <c r="W189" s="43"/>
      <c r="X189" s="43"/>
      <c r="Y189" s="43"/>
      <c r="Z189" s="43"/>
      <c r="AA189" s="43"/>
      <c r="AB189" s="43"/>
      <c r="AC189" s="45" t="str">
        <f t="shared" si="26"/>
        <v>pendiente</v>
      </c>
      <c r="AD189" s="45" t="str">
        <f t="shared" si="27"/>
        <v>pendiente</v>
      </c>
      <c r="AE189" s="45" t="str">
        <f t="shared" si="28"/>
        <v>pendiente</v>
      </c>
      <c r="AF189" s="45" t="str">
        <f t="shared" si="29"/>
        <v>pendiente</v>
      </c>
      <c r="AG189" s="45" t="str">
        <f t="shared" si="30"/>
        <v>insuficiente</v>
      </c>
      <c r="AH189" s="45" t="str">
        <f t="shared" si="31"/>
        <v>pendiente</v>
      </c>
      <c r="AI189" s="45" t="str">
        <f t="shared" si="32"/>
        <v>SI</v>
      </c>
      <c r="AJ189" s="45" t="str">
        <f t="shared" si="33"/>
        <v>obligatorio</v>
      </c>
      <c r="AK189" s="45" t="str">
        <f t="shared" si="34"/>
        <v>SI</v>
      </c>
      <c r="AL189" s="45"/>
      <c r="AM189" s="45"/>
      <c r="AN189" s="45"/>
      <c r="AO189" s="49"/>
      <c r="AP189" s="45"/>
      <c r="AQ189" s="45"/>
      <c r="AR189" s="45" t="str">
        <f t="shared" si="35"/>
        <v>NO</v>
      </c>
      <c r="AS189" s="43"/>
    </row>
    <row r="190" spans="1:45" ht="44" customHeight="1">
      <c r="A190" s="45">
        <v>182</v>
      </c>
      <c r="B190" s="43" t="str">
        <f>'T01 revisión'!A186</f>
        <v>schweitzerbata</v>
      </c>
      <c r="C190" s="43" t="str">
        <f>'T01 revisión'!B186</f>
        <v>The Artistry of Afro-Cuban Batá Drumming: Aesthetics, Transmission, and Bonding</v>
      </c>
      <c r="D190" s="43" t="str">
        <f>'T01 revisión'!C186</f>
        <v>Kenneth George Schweitzer</v>
      </c>
      <c r="E190" s="43" t="str">
        <f>'T01 revisión'!D186</f>
        <v>B04</v>
      </c>
      <c r="F190" s="43" t="str">
        <f>'T01 revisión'!E186</f>
        <v>anglófono (EE.UU./Cuba)</v>
      </c>
      <c r="G190" s="43" t="str">
        <f>'T01 revisión'!H186</f>
        <v>varias procedencias o territorios; abreviaturas por normalizar; función territorial no demostrada</v>
      </c>
      <c r="H190" s="45" t="str">
        <f t="shared" si="24"/>
        <v>B</v>
      </c>
      <c r="I190" s="45"/>
      <c r="J190" s="45" t="str">
        <f t="shared" si="25"/>
        <v>GPT + Claude ciegos; control abreviado</v>
      </c>
      <c r="K190" s="43"/>
      <c r="L190" s="43"/>
      <c r="M190" s="43"/>
      <c r="N190" s="43"/>
      <c r="O190" s="43"/>
      <c r="P190" s="43"/>
      <c r="Q190" s="43"/>
      <c r="R190" s="43"/>
      <c r="S190" s="43"/>
      <c r="T190" s="43"/>
      <c r="U190" s="43"/>
      <c r="V190" s="43"/>
      <c r="W190" s="43"/>
      <c r="X190" s="43"/>
      <c r="Y190" s="43"/>
      <c r="Z190" s="43"/>
      <c r="AA190" s="43"/>
      <c r="AB190" s="43"/>
      <c r="AC190" s="45" t="str">
        <f t="shared" si="26"/>
        <v>pendiente</v>
      </c>
      <c r="AD190" s="45" t="str">
        <f t="shared" si="27"/>
        <v>pendiente</v>
      </c>
      <c r="AE190" s="45" t="str">
        <f t="shared" si="28"/>
        <v>pendiente</v>
      </c>
      <c r="AF190" s="45" t="str">
        <f t="shared" si="29"/>
        <v>pendiente</v>
      </c>
      <c r="AG190" s="45" t="str">
        <f t="shared" si="30"/>
        <v>insuficiente</v>
      </c>
      <c r="AH190" s="45" t="str">
        <f t="shared" si="31"/>
        <v>pendiente</v>
      </c>
      <c r="AI190" s="45" t="str">
        <f t="shared" si="32"/>
        <v>SI</v>
      </c>
      <c r="AJ190" s="45" t="str">
        <f t="shared" si="33"/>
        <v>abreviado</v>
      </c>
      <c r="AK190" s="45" t="str">
        <f t="shared" si="34"/>
        <v>NO</v>
      </c>
      <c r="AL190" s="45"/>
      <c r="AM190" s="45"/>
      <c r="AN190" s="45"/>
      <c r="AO190" s="49"/>
      <c r="AP190" s="45"/>
      <c r="AQ190" s="45"/>
      <c r="AR190" s="45" t="str">
        <f t="shared" si="35"/>
        <v>NO</v>
      </c>
      <c r="AS190" s="43"/>
    </row>
    <row r="191" spans="1:45" ht="44" customHeight="1">
      <c r="A191" s="45">
        <v>183</v>
      </c>
      <c r="B191" s="43" t="str">
        <f>'T01 revisión'!A187</f>
        <v>mendozaraices</v>
      </c>
      <c r="C191" s="43" t="str">
        <f>'T01 revisión'!B187</f>
        <v>Raíces, Resistencias y Territorios: 500 años de experiencia Afro en Santa Marta</v>
      </c>
      <c r="D191" s="43" t="str">
        <f>'T01 revisión'!C187</f>
        <v>María Angélica del Mar Mendoza Manotas (comp.) et al.</v>
      </c>
      <c r="E191" s="43" t="str">
        <f>'T01 revisión'!D187</f>
        <v>B04</v>
      </c>
      <c r="F191" s="43" t="str">
        <f>'T01 revisión'!E187</f>
        <v>hispano (Colombia)</v>
      </c>
      <c r="G191" s="43" t="str">
        <f>'T01 revisión'!H187</f>
        <v>función territorial no demostrada</v>
      </c>
      <c r="H191" s="45" t="str">
        <f t="shared" si="24"/>
        <v>A</v>
      </c>
      <c r="I191" s="45"/>
      <c r="J191" s="45" t="str">
        <f t="shared" si="25"/>
        <v>GPT + muestra Claude/humana</v>
      </c>
      <c r="K191" s="43"/>
      <c r="L191" s="43"/>
      <c r="M191" s="43"/>
      <c r="N191" s="43"/>
      <c r="O191" s="43"/>
      <c r="P191" s="43"/>
      <c r="Q191" s="43"/>
      <c r="R191" s="43"/>
      <c r="S191" s="43"/>
      <c r="T191" s="43"/>
      <c r="U191" s="43"/>
      <c r="V191" s="43"/>
      <c r="W191" s="43"/>
      <c r="X191" s="43"/>
      <c r="Y191" s="43"/>
      <c r="Z191" s="43"/>
      <c r="AA191" s="43"/>
      <c r="AB191" s="43"/>
      <c r="AC191" s="45" t="str">
        <f t="shared" si="26"/>
        <v>pendiente</v>
      </c>
      <c r="AD191" s="45" t="str">
        <f t="shared" si="27"/>
        <v>pendiente</v>
      </c>
      <c r="AE191" s="45" t="str">
        <f t="shared" si="28"/>
        <v>pendiente</v>
      </c>
      <c r="AF191" s="45" t="str">
        <f t="shared" si="29"/>
        <v>pendiente</v>
      </c>
      <c r="AG191" s="45" t="str">
        <f t="shared" si="30"/>
        <v>insuficiente</v>
      </c>
      <c r="AH191" s="45" t="str">
        <f t="shared" si="31"/>
        <v>pendiente</v>
      </c>
      <c r="AI191" s="45" t="str">
        <f t="shared" si="32"/>
        <v>NO</v>
      </c>
      <c r="AJ191" s="45" t="str">
        <f t="shared" si="33"/>
        <v>NO</v>
      </c>
      <c r="AK191" s="45" t="str">
        <f t="shared" si="34"/>
        <v>NO</v>
      </c>
      <c r="AL191" s="45"/>
      <c r="AM191" s="45"/>
      <c r="AN191" s="45"/>
      <c r="AO191" s="49"/>
      <c r="AP191" s="45"/>
      <c r="AQ191" s="45"/>
      <c r="AR191" s="45" t="str">
        <f t="shared" si="35"/>
        <v>NO</v>
      </c>
      <c r="AS191" s="43"/>
    </row>
    <row r="192" spans="1:45" ht="44" customHeight="1">
      <c r="A192" s="45">
        <v>184</v>
      </c>
      <c r="B192" s="43" t="str">
        <f>'T01 revisión'!A188</f>
        <v>scottconscripts</v>
      </c>
      <c r="C192" s="43" t="str">
        <f>'T01 revisión'!B188</f>
        <v>Conscripts of Modernity: The Tragedy of Colonial Enlightenment</v>
      </c>
      <c r="D192" s="43" t="str">
        <f>'T01 revisión'!C188</f>
        <v>David Scott</v>
      </c>
      <c r="E192" s="43" t="str">
        <f>'T01 revisión'!D188</f>
        <v>C03</v>
      </c>
      <c r="F192" s="43" t="str">
        <f>'T01 revisión'!E188</f>
        <v>comparado</v>
      </c>
      <c r="G192" s="43" t="str">
        <f>'T01 revisión'!H188</f>
        <v>sin lengua explícita; mezcla escala comparativa</v>
      </c>
      <c r="H192" s="45" t="str">
        <f t="shared" si="24"/>
        <v>C</v>
      </c>
      <c r="I192" s="45"/>
      <c r="J192" s="45" t="str">
        <f t="shared" si="25"/>
        <v>GPT + Claude ciegos; control humano obligatorio</v>
      </c>
      <c r="K192" s="43"/>
      <c r="L192" s="43"/>
      <c r="M192" s="43"/>
      <c r="N192" s="43"/>
      <c r="O192" s="43"/>
      <c r="P192" s="43"/>
      <c r="Q192" s="43"/>
      <c r="R192" s="43"/>
      <c r="S192" s="43"/>
      <c r="T192" s="43"/>
      <c r="U192" s="43"/>
      <c r="V192" s="43"/>
      <c r="W192" s="43"/>
      <c r="X192" s="43"/>
      <c r="Y192" s="43"/>
      <c r="Z192" s="43"/>
      <c r="AA192" s="43"/>
      <c r="AB192" s="43"/>
      <c r="AC192" s="45" t="str">
        <f t="shared" si="26"/>
        <v>pendiente</v>
      </c>
      <c r="AD192" s="45" t="str">
        <f t="shared" si="27"/>
        <v>pendiente</v>
      </c>
      <c r="AE192" s="45" t="str">
        <f t="shared" si="28"/>
        <v>pendiente</v>
      </c>
      <c r="AF192" s="45" t="str">
        <f t="shared" si="29"/>
        <v>pendiente</v>
      </c>
      <c r="AG192" s="45" t="str">
        <f t="shared" si="30"/>
        <v>insuficiente</v>
      </c>
      <c r="AH192" s="45" t="str">
        <f t="shared" si="31"/>
        <v>pendiente</v>
      </c>
      <c r="AI192" s="45" t="str">
        <f t="shared" si="32"/>
        <v>SI</v>
      </c>
      <c r="AJ192" s="45" t="str">
        <f t="shared" si="33"/>
        <v>obligatorio</v>
      </c>
      <c r="AK192" s="45" t="str">
        <f t="shared" si="34"/>
        <v>SI</v>
      </c>
      <c r="AL192" s="45"/>
      <c r="AM192" s="45"/>
      <c r="AN192" s="45"/>
      <c r="AO192" s="49"/>
      <c r="AP192" s="45"/>
      <c r="AQ192" s="45"/>
      <c r="AR192" s="45" t="str">
        <f t="shared" si="35"/>
        <v>NO</v>
      </c>
      <c r="AS192" s="43"/>
    </row>
    <row r="193" spans="1:45" ht="44" customHeight="1">
      <c r="A193" s="45">
        <v>185</v>
      </c>
      <c r="B193" s="43" t="str">
        <f>'T01 revisión'!A189</f>
        <v>mcneillmosquito</v>
      </c>
      <c r="C193" s="43" t="str">
        <f>'T01 revisión'!B189</f>
        <v>Mosquito Empires: Ecology and War in the Greater Caribbean, 1620-1914</v>
      </c>
      <c r="D193" s="43" t="str">
        <f>'T01 revisión'!C189</f>
        <v>J. R. McNeill</v>
      </c>
      <c r="E193" s="43" t="str">
        <f>'T01 revisión'!D189</f>
        <v>C01</v>
      </c>
      <c r="F193" s="43" t="str">
        <f>'T01 revisión'!E189</f>
        <v>comparado (cuenca completa)</v>
      </c>
      <c r="G193" s="43" t="str">
        <f>'T01 revisión'!H189</f>
        <v>sin lengua explícita; mezcla escala comparativa; mezcla tema, método o escala; función territorial no demostrada</v>
      </c>
      <c r="H193" s="45" t="str">
        <f t="shared" si="24"/>
        <v>C</v>
      </c>
      <c r="I193" s="45"/>
      <c r="J193" s="45" t="str">
        <f t="shared" si="25"/>
        <v>GPT + Claude ciegos; control humano obligatorio</v>
      </c>
      <c r="K193" s="43"/>
      <c r="L193" s="43"/>
      <c r="M193" s="43"/>
      <c r="N193" s="43"/>
      <c r="O193" s="43"/>
      <c r="P193" s="43"/>
      <c r="Q193" s="43"/>
      <c r="R193" s="43"/>
      <c r="S193" s="43"/>
      <c r="T193" s="43"/>
      <c r="U193" s="43"/>
      <c r="V193" s="43"/>
      <c r="W193" s="43"/>
      <c r="X193" s="43"/>
      <c r="Y193" s="43"/>
      <c r="Z193" s="43"/>
      <c r="AA193" s="43"/>
      <c r="AB193" s="43"/>
      <c r="AC193" s="45" t="str">
        <f t="shared" si="26"/>
        <v>pendiente</v>
      </c>
      <c r="AD193" s="45" t="str">
        <f t="shared" si="27"/>
        <v>pendiente</v>
      </c>
      <c r="AE193" s="45" t="str">
        <f t="shared" si="28"/>
        <v>pendiente</v>
      </c>
      <c r="AF193" s="45" t="str">
        <f t="shared" si="29"/>
        <v>pendiente</v>
      </c>
      <c r="AG193" s="45" t="str">
        <f t="shared" si="30"/>
        <v>insuficiente</v>
      </c>
      <c r="AH193" s="45" t="str">
        <f t="shared" si="31"/>
        <v>pendiente</v>
      </c>
      <c r="AI193" s="45" t="str">
        <f t="shared" si="32"/>
        <v>SI</v>
      </c>
      <c r="AJ193" s="45" t="str">
        <f t="shared" si="33"/>
        <v>obligatorio</v>
      </c>
      <c r="AK193" s="45" t="str">
        <f t="shared" si="34"/>
        <v>SI</v>
      </c>
      <c r="AL193" s="45"/>
      <c r="AM193" s="45"/>
      <c r="AN193" s="45"/>
      <c r="AO193" s="49"/>
      <c r="AP193" s="45"/>
      <c r="AQ193" s="45"/>
      <c r="AR193" s="45" t="str">
        <f t="shared" si="35"/>
        <v>NO</v>
      </c>
      <c r="AS193" s="43"/>
    </row>
    <row r="194" spans="1:45" ht="44" customHeight="1">
      <c r="A194" s="45">
        <v>186</v>
      </c>
      <c r="B194" s="43" t="str">
        <f>'T01 revisión'!A190</f>
        <v>lassoerased</v>
      </c>
      <c r="C194" s="43" t="str">
        <f>'T01 revisión'!B190</f>
        <v>Erased: The Untold Story of the Panama Canal</v>
      </c>
      <c r="D194" s="43" t="str">
        <f>'T01 revisión'!C190</f>
        <v>Marixa Lasso</v>
      </c>
      <c r="E194" s="43" t="str">
        <f>'T01 revisión'!D190</f>
        <v>C03</v>
      </c>
      <c r="F194" s="43" t="str">
        <f>'T01 revisión'!E190</f>
        <v>anglófono (EE.UU./Colombia)</v>
      </c>
      <c r="G194" s="43" t="str">
        <f>'T01 revisión'!H190</f>
        <v>varias procedencias o territorios; abreviaturas por normalizar; función territorial no demostrada</v>
      </c>
      <c r="H194" s="45" t="str">
        <f t="shared" si="24"/>
        <v>B</v>
      </c>
      <c r="I194" s="45"/>
      <c r="J194" s="45" t="str">
        <f t="shared" si="25"/>
        <v>GPT + Claude ciegos; control abreviado</v>
      </c>
      <c r="K194" s="43"/>
      <c r="L194" s="43"/>
      <c r="M194" s="43"/>
      <c r="N194" s="43"/>
      <c r="O194" s="43"/>
      <c r="P194" s="43"/>
      <c r="Q194" s="43"/>
      <c r="R194" s="43"/>
      <c r="S194" s="43"/>
      <c r="T194" s="43"/>
      <c r="U194" s="43"/>
      <c r="V194" s="43"/>
      <c r="W194" s="43"/>
      <c r="X194" s="43"/>
      <c r="Y194" s="43"/>
      <c r="Z194" s="43"/>
      <c r="AA194" s="43"/>
      <c r="AB194" s="43"/>
      <c r="AC194" s="45" t="str">
        <f t="shared" si="26"/>
        <v>pendiente</v>
      </c>
      <c r="AD194" s="45" t="str">
        <f t="shared" si="27"/>
        <v>pendiente</v>
      </c>
      <c r="AE194" s="45" t="str">
        <f t="shared" si="28"/>
        <v>pendiente</v>
      </c>
      <c r="AF194" s="45" t="str">
        <f t="shared" si="29"/>
        <v>pendiente</v>
      </c>
      <c r="AG194" s="45" t="str">
        <f t="shared" si="30"/>
        <v>insuficiente</v>
      </c>
      <c r="AH194" s="45" t="str">
        <f t="shared" si="31"/>
        <v>pendiente</v>
      </c>
      <c r="AI194" s="45" t="str">
        <f t="shared" si="32"/>
        <v>SI</v>
      </c>
      <c r="AJ194" s="45" t="str">
        <f t="shared" si="33"/>
        <v>abreviado</v>
      </c>
      <c r="AK194" s="45" t="str">
        <f t="shared" si="34"/>
        <v>NO</v>
      </c>
      <c r="AL194" s="45"/>
      <c r="AM194" s="45"/>
      <c r="AN194" s="45"/>
      <c r="AO194" s="49"/>
      <c r="AP194" s="45"/>
      <c r="AQ194" s="45"/>
      <c r="AR194" s="45" t="str">
        <f t="shared" si="35"/>
        <v>NO</v>
      </c>
      <c r="AS194" s="43"/>
    </row>
    <row r="195" spans="1:45" ht="44" customHeight="1">
      <c r="A195" s="45">
        <v>187</v>
      </c>
      <c r="B195" s="43" t="str">
        <f>'T01 revisión'!A191</f>
        <v>floresvillalobos</v>
      </c>
      <c r="C195" s="43" t="str">
        <f>'T01 revisión'!B191</f>
        <v>The Silver Women: How Black Women's Labor Made the Panama Canal</v>
      </c>
      <c r="D195" s="43" t="str">
        <f>'T01 revisión'!C191</f>
        <v>Joan Flores-Villalobos</v>
      </c>
      <c r="E195" s="43" t="str">
        <f>'T01 revisión'!D191</f>
        <v>A01</v>
      </c>
      <c r="F195" s="43" t="str">
        <f>'T01 revisión'!E191</f>
        <v>anglófono (EE.UU.)</v>
      </c>
      <c r="G195" s="43" t="str">
        <f>'T01 revisión'!H191</f>
        <v>abreviaturas por normalizar; función territorial no demostrada</v>
      </c>
      <c r="H195" s="45" t="str">
        <f t="shared" si="24"/>
        <v>A</v>
      </c>
      <c r="I195" s="45"/>
      <c r="J195" s="45" t="str">
        <f t="shared" si="25"/>
        <v>GPT + muestra Claude/humana</v>
      </c>
      <c r="K195" s="43"/>
      <c r="L195" s="43"/>
      <c r="M195" s="43"/>
      <c r="N195" s="43"/>
      <c r="O195" s="43"/>
      <c r="P195" s="43"/>
      <c r="Q195" s="43"/>
      <c r="R195" s="43"/>
      <c r="S195" s="43"/>
      <c r="T195" s="43"/>
      <c r="U195" s="43"/>
      <c r="V195" s="43"/>
      <c r="W195" s="43"/>
      <c r="X195" s="43"/>
      <c r="Y195" s="43"/>
      <c r="Z195" s="43"/>
      <c r="AA195" s="43"/>
      <c r="AB195" s="43"/>
      <c r="AC195" s="45" t="str">
        <f t="shared" si="26"/>
        <v>pendiente</v>
      </c>
      <c r="AD195" s="45" t="str">
        <f t="shared" si="27"/>
        <v>pendiente</v>
      </c>
      <c r="AE195" s="45" t="str">
        <f t="shared" si="28"/>
        <v>pendiente</v>
      </c>
      <c r="AF195" s="45" t="str">
        <f t="shared" si="29"/>
        <v>pendiente</v>
      </c>
      <c r="AG195" s="45" t="str">
        <f t="shared" si="30"/>
        <v>insuficiente</v>
      </c>
      <c r="AH195" s="45" t="str">
        <f t="shared" si="31"/>
        <v>pendiente</v>
      </c>
      <c r="AI195" s="45" t="str">
        <f t="shared" si="32"/>
        <v>NO</v>
      </c>
      <c r="AJ195" s="45" t="str">
        <f t="shared" si="33"/>
        <v>NO</v>
      </c>
      <c r="AK195" s="45" t="str">
        <f t="shared" si="34"/>
        <v>NO</v>
      </c>
      <c r="AL195" s="45"/>
      <c r="AM195" s="45"/>
      <c r="AN195" s="45"/>
      <c r="AO195" s="49"/>
      <c r="AP195" s="45"/>
      <c r="AQ195" s="45"/>
      <c r="AR195" s="45" t="str">
        <f t="shared" si="35"/>
        <v>NO</v>
      </c>
      <c r="AS195" s="43"/>
    </row>
    <row r="196" spans="1:45" ht="44" customHeight="1">
      <c r="A196" s="45">
        <v>188</v>
      </c>
      <c r="B196" s="43" t="str">
        <f>'T01 revisión'!A192</f>
        <v>corinealdipanama</v>
      </c>
      <c r="C196" s="43" t="str">
        <f>'T01 revisión'!B192</f>
        <v>Panama in Black: Afro-Caribbean World Making in the Twentieth Century</v>
      </c>
      <c r="D196" s="43" t="str">
        <f>'T01 revisión'!C192</f>
        <v>Kaysha Corinealdi</v>
      </c>
      <c r="E196" s="43" t="str">
        <f>'T01 revisión'!D192</f>
        <v>C02</v>
      </c>
      <c r="F196" s="43" t="str">
        <f>'T01 revisión'!E192</f>
        <v>anglófono (EE.UU.)</v>
      </c>
      <c r="G196" s="43" t="str">
        <f>'T01 revisión'!H192</f>
        <v>abreviaturas por normalizar; función territorial no demostrada</v>
      </c>
      <c r="H196" s="45" t="str">
        <f t="shared" si="24"/>
        <v>A</v>
      </c>
      <c r="I196" s="45"/>
      <c r="J196" s="45" t="str">
        <f t="shared" si="25"/>
        <v>GPT + muestra Claude/humana</v>
      </c>
      <c r="K196" s="43"/>
      <c r="L196" s="43"/>
      <c r="M196" s="43"/>
      <c r="N196" s="43"/>
      <c r="O196" s="43"/>
      <c r="P196" s="43"/>
      <c r="Q196" s="43"/>
      <c r="R196" s="43"/>
      <c r="S196" s="43"/>
      <c r="T196" s="43"/>
      <c r="U196" s="43"/>
      <c r="V196" s="43"/>
      <c r="W196" s="43"/>
      <c r="X196" s="43"/>
      <c r="Y196" s="43"/>
      <c r="Z196" s="43"/>
      <c r="AA196" s="43"/>
      <c r="AB196" s="43"/>
      <c r="AC196" s="45" t="str">
        <f t="shared" si="26"/>
        <v>pendiente</v>
      </c>
      <c r="AD196" s="45" t="str">
        <f t="shared" si="27"/>
        <v>pendiente</v>
      </c>
      <c r="AE196" s="45" t="str">
        <f t="shared" si="28"/>
        <v>pendiente</v>
      </c>
      <c r="AF196" s="45" t="str">
        <f t="shared" si="29"/>
        <v>pendiente</v>
      </c>
      <c r="AG196" s="45" t="str">
        <f t="shared" si="30"/>
        <v>insuficiente</v>
      </c>
      <c r="AH196" s="45" t="str">
        <f t="shared" si="31"/>
        <v>pendiente</v>
      </c>
      <c r="AI196" s="45" t="str">
        <f t="shared" si="32"/>
        <v>NO</v>
      </c>
      <c r="AJ196" s="45" t="str">
        <f t="shared" si="33"/>
        <v>NO</v>
      </c>
      <c r="AK196" s="45" t="str">
        <f t="shared" si="34"/>
        <v>NO</v>
      </c>
      <c r="AL196" s="45"/>
      <c r="AM196" s="45"/>
      <c r="AN196" s="45"/>
      <c r="AO196" s="49"/>
      <c r="AP196" s="45"/>
      <c r="AQ196" s="45"/>
      <c r="AR196" s="45" t="str">
        <f t="shared" si="35"/>
        <v>NO</v>
      </c>
      <c r="AS196" s="43"/>
    </row>
    <row r="197" spans="1:45" ht="44" customHeight="1">
      <c r="A197" s="45">
        <v>189</v>
      </c>
      <c r="B197" s="43" t="str">
        <f>'T01 revisión'!A193</f>
        <v>kahnislands</v>
      </c>
      <c r="C197" s="43" t="str">
        <f>'T01 revisión'!B193</f>
        <v>Islands of Sovereignty: Haitian Migration and the Borders of Empire</v>
      </c>
      <c r="D197" s="43" t="str">
        <f>'T01 revisión'!C193</f>
        <v>Jeffrey S. Kahn</v>
      </c>
      <c r="E197" s="43" t="str">
        <f>'T01 revisión'!D193</f>
        <v>C02</v>
      </c>
      <c r="F197" s="43" t="str">
        <f>'T01 revisión'!E193</f>
        <v>anglófono (EE.UU.)</v>
      </c>
      <c r="G197" s="43" t="str">
        <f>'T01 revisión'!H193</f>
        <v>abreviaturas por normalizar; función territorial no demostrada</v>
      </c>
      <c r="H197" s="45" t="str">
        <f t="shared" si="24"/>
        <v>A</v>
      </c>
      <c r="I197" s="45"/>
      <c r="J197" s="45" t="str">
        <f t="shared" si="25"/>
        <v>GPT + muestra Claude/humana</v>
      </c>
      <c r="K197" s="43"/>
      <c r="L197" s="43"/>
      <c r="M197" s="43"/>
      <c r="N197" s="43"/>
      <c r="O197" s="43"/>
      <c r="P197" s="43"/>
      <c r="Q197" s="43"/>
      <c r="R197" s="43"/>
      <c r="S197" s="43"/>
      <c r="T197" s="43"/>
      <c r="U197" s="43"/>
      <c r="V197" s="43"/>
      <c r="W197" s="43"/>
      <c r="X197" s="43"/>
      <c r="Y197" s="43"/>
      <c r="Z197" s="43"/>
      <c r="AA197" s="43"/>
      <c r="AB197" s="43"/>
      <c r="AC197" s="45" t="str">
        <f t="shared" si="26"/>
        <v>pendiente</v>
      </c>
      <c r="AD197" s="45" t="str">
        <f t="shared" si="27"/>
        <v>pendiente</v>
      </c>
      <c r="AE197" s="45" t="str">
        <f t="shared" si="28"/>
        <v>pendiente</v>
      </c>
      <c r="AF197" s="45" t="str">
        <f t="shared" si="29"/>
        <v>pendiente</v>
      </c>
      <c r="AG197" s="45" t="str">
        <f t="shared" si="30"/>
        <v>insuficiente</v>
      </c>
      <c r="AH197" s="45" t="str">
        <f t="shared" si="31"/>
        <v>pendiente</v>
      </c>
      <c r="AI197" s="45" t="str">
        <f t="shared" si="32"/>
        <v>SI</v>
      </c>
      <c r="AJ197" s="45" t="str">
        <f t="shared" si="33"/>
        <v>NO</v>
      </c>
      <c r="AK197" s="45" t="str">
        <f t="shared" si="34"/>
        <v>NO</v>
      </c>
      <c r="AL197" s="45"/>
      <c r="AM197" s="45"/>
      <c r="AN197" s="45"/>
      <c r="AO197" s="49"/>
      <c r="AP197" s="45"/>
      <c r="AQ197" s="45"/>
      <c r="AR197" s="45" t="str">
        <f t="shared" si="35"/>
        <v>NO</v>
      </c>
      <c r="AS197" s="43"/>
    </row>
    <row r="198" spans="1:45" ht="44" customHeight="1">
      <c r="A198" s="45">
        <v>190</v>
      </c>
      <c r="B198" s="43" t="str">
        <f>'T01 revisión'!A194</f>
        <v>dubuissonhaiti</v>
      </c>
      <c r="C198" s="43" t="str">
        <f>'T01 revisión'!B194</f>
        <v>Reclaiming Haiti's Futures</v>
      </c>
      <c r="D198" s="43" t="str">
        <f>'T01 revisión'!C194</f>
        <v>Darlène Elizabeth Dubuisson</v>
      </c>
      <c r="E198" s="43" t="str">
        <f>'T01 revisión'!D194</f>
        <v>C03</v>
      </c>
      <c r="F198" s="43" t="str">
        <f>'T01 revisión'!E194</f>
        <v>anglófono (EE.UU.)</v>
      </c>
      <c r="G198" s="43" t="str">
        <f>'T01 revisión'!H194</f>
        <v>abreviaturas por normalizar; función territorial no demostrada</v>
      </c>
      <c r="H198" s="45" t="str">
        <f t="shared" si="24"/>
        <v>A</v>
      </c>
      <c r="I198" s="45"/>
      <c r="J198" s="45" t="str">
        <f t="shared" si="25"/>
        <v>GPT + muestra Claude/humana</v>
      </c>
      <c r="K198" s="43"/>
      <c r="L198" s="43"/>
      <c r="M198" s="43"/>
      <c r="N198" s="43"/>
      <c r="O198" s="43"/>
      <c r="P198" s="43"/>
      <c r="Q198" s="43"/>
      <c r="R198" s="43"/>
      <c r="S198" s="43"/>
      <c r="T198" s="43"/>
      <c r="U198" s="43"/>
      <c r="V198" s="43"/>
      <c r="W198" s="43"/>
      <c r="X198" s="43"/>
      <c r="Y198" s="43"/>
      <c r="Z198" s="43"/>
      <c r="AA198" s="43"/>
      <c r="AB198" s="43"/>
      <c r="AC198" s="45" t="str">
        <f t="shared" si="26"/>
        <v>pendiente</v>
      </c>
      <c r="AD198" s="45" t="str">
        <f t="shared" si="27"/>
        <v>pendiente</v>
      </c>
      <c r="AE198" s="45" t="str">
        <f t="shared" si="28"/>
        <v>pendiente</v>
      </c>
      <c r="AF198" s="45" t="str">
        <f t="shared" si="29"/>
        <v>pendiente</v>
      </c>
      <c r="AG198" s="45" t="str">
        <f t="shared" si="30"/>
        <v>insuficiente</v>
      </c>
      <c r="AH198" s="45" t="str">
        <f t="shared" si="31"/>
        <v>pendiente</v>
      </c>
      <c r="AI198" s="45" t="str">
        <f t="shared" si="32"/>
        <v>NO</v>
      </c>
      <c r="AJ198" s="45" t="str">
        <f t="shared" si="33"/>
        <v>muestra</v>
      </c>
      <c r="AK198" s="45" t="str">
        <f t="shared" si="34"/>
        <v>NO</v>
      </c>
      <c r="AL198" s="45"/>
      <c r="AM198" s="45"/>
      <c r="AN198" s="45"/>
      <c r="AO198" s="49"/>
      <c r="AP198" s="45"/>
      <c r="AQ198" s="45"/>
      <c r="AR198" s="45" t="str">
        <f t="shared" si="35"/>
        <v>NO</v>
      </c>
      <c r="AS198" s="43"/>
    </row>
    <row r="199" spans="1:45" ht="44" customHeight="1">
      <c r="A199" s="45">
        <v>191</v>
      </c>
      <c r="B199" s="43" t="str">
        <f>'T01 revisión'!A195</f>
        <v>pinedashipwrecked</v>
      </c>
      <c r="C199" s="43" t="str">
        <f>'T01 revisión'!B195</f>
        <v>Shipwrecked Identities: Navigating Race on Nicaragua's Mosquito Coast</v>
      </c>
      <c r="D199" s="43" t="str">
        <f>'T01 revisión'!C195</f>
        <v>Baron L. Pineda</v>
      </c>
      <c r="E199" s="43" t="str">
        <f>'T01 revisión'!D195</f>
        <v>C03</v>
      </c>
      <c r="F199" s="43" t="str">
        <f>'T01 revisión'!E195</f>
        <v>anglófono (EE.UU.)</v>
      </c>
      <c r="G199" s="43" t="str">
        <f>'T01 revisión'!H195</f>
        <v>abreviaturas por normalizar; función territorial no demostrada</v>
      </c>
      <c r="H199" s="45" t="str">
        <f t="shared" si="24"/>
        <v>A</v>
      </c>
      <c r="I199" s="45"/>
      <c r="J199" s="45" t="str">
        <f t="shared" si="25"/>
        <v>GPT + muestra Claude/humana</v>
      </c>
      <c r="K199" s="43"/>
      <c r="L199" s="43"/>
      <c r="M199" s="43"/>
      <c r="N199" s="43"/>
      <c r="O199" s="43"/>
      <c r="P199" s="43"/>
      <c r="Q199" s="43"/>
      <c r="R199" s="43"/>
      <c r="S199" s="43"/>
      <c r="T199" s="43"/>
      <c r="U199" s="43"/>
      <c r="V199" s="43"/>
      <c r="W199" s="43"/>
      <c r="X199" s="43"/>
      <c r="Y199" s="43"/>
      <c r="Z199" s="43"/>
      <c r="AA199" s="43"/>
      <c r="AB199" s="43"/>
      <c r="AC199" s="45" t="str">
        <f t="shared" si="26"/>
        <v>pendiente</v>
      </c>
      <c r="AD199" s="45" t="str">
        <f t="shared" si="27"/>
        <v>pendiente</v>
      </c>
      <c r="AE199" s="45" t="str">
        <f t="shared" si="28"/>
        <v>pendiente</v>
      </c>
      <c r="AF199" s="45" t="str">
        <f t="shared" si="29"/>
        <v>pendiente</v>
      </c>
      <c r="AG199" s="45" t="str">
        <f t="shared" si="30"/>
        <v>insuficiente</v>
      </c>
      <c r="AH199" s="45" t="str">
        <f t="shared" si="31"/>
        <v>pendiente</v>
      </c>
      <c r="AI199" s="45" t="str">
        <f t="shared" si="32"/>
        <v>NO</v>
      </c>
      <c r="AJ199" s="45" t="str">
        <f t="shared" si="33"/>
        <v>NO</v>
      </c>
      <c r="AK199" s="45" t="str">
        <f t="shared" si="34"/>
        <v>NO</v>
      </c>
      <c r="AL199" s="45"/>
      <c r="AM199" s="45"/>
      <c r="AN199" s="45"/>
      <c r="AO199" s="49"/>
      <c r="AP199" s="45"/>
      <c r="AQ199" s="45"/>
      <c r="AR199" s="45" t="str">
        <f t="shared" si="35"/>
        <v>NO</v>
      </c>
      <c r="AS199" s="43"/>
    </row>
    <row r="200" spans="1:45" ht="44" customHeight="1">
      <c r="A200" s="45">
        <v>192</v>
      </c>
      <c r="B200" s="43" t="str">
        <f>'T01 revisión'!A196</f>
        <v>stoutafterlove</v>
      </c>
      <c r="C200" s="43" t="str">
        <f>'T01 revisión'!B196</f>
        <v>After Love: Queer Intimacy and Erotic Economies in Post-Soviet Cuba</v>
      </c>
      <c r="D200" s="43" t="str">
        <f>'T01 revisión'!C196</f>
        <v>Noelle M. Stout</v>
      </c>
      <c r="E200" s="43" t="str">
        <f>'T01 revisión'!D196</f>
        <v>A01</v>
      </c>
      <c r="F200" s="43" t="str">
        <f>'T01 revisión'!E196</f>
        <v>anglófono (EE.UU.)</v>
      </c>
      <c r="G200" s="43" t="str">
        <f>'T01 revisión'!H196</f>
        <v>abreviaturas por normalizar; función territorial no demostrada</v>
      </c>
      <c r="H200" s="45" t="str">
        <f t="shared" si="24"/>
        <v>A</v>
      </c>
      <c r="I200" s="45"/>
      <c r="J200" s="45" t="str">
        <f t="shared" si="25"/>
        <v>GPT + muestra Claude/humana</v>
      </c>
      <c r="K200" s="43"/>
      <c r="L200" s="43"/>
      <c r="M200" s="43"/>
      <c r="N200" s="43"/>
      <c r="O200" s="43"/>
      <c r="P200" s="43"/>
      <c r="Q200" s="43"/>
      <c r="R200" s="43"/>
      <c r="S200" s="43"/>
      <c r="T200" s="43"/>
      <c r="U200" s="43"/>
      <c r="V200" s="43"/>
      <c r="W200" s="43"/>
      <c r="X200" s="43"/>
      <c r="Y200" s="43"/>
      <c r="Z200" s="43"/>
      <c r="AA200" s="43"/>
      <c r="AB200" s="43"/>
      <c r="AC200" s="45" t="str">
        <f t="shared" si="26"/>
        <v>pendiente</v>
      </c>
      <c r="AD200" s="45" t="str">
        <f t="shared" si="27"/>
        <v>pendiente</v>
      </c>
      <c r="AE200" s="45" t="str">
        <f t="shared" si="28"/>
        <v>pendiente</v>
      </c>
      <c r="AF200" s="45" t="str">
        <f t="shared" si="29"/>
        <v>pendiente</v>
      </c>
      <c r="AG200" s="45" t="str">
        <f t="shared" si="30"/>
        <v>insuficiente</v>
      </c>
      <c r="AH200" s="45" t="str">
        <f t="shared" si="31"/>
        <v>pendiente</v>
      </c>
      <c r="AI200" s="45" t="str">
        <f t="shared" si="32"/>
        <v>NO</v>
      </c>
      <c r="AJ200" s="45" t="str">
        <f t="shared" si="33"/>
        <v>NO</v>
      </c>
      <c r="AK200" s="45" t="str">
        <f t="shared" si="34"/>
        <v>NO</v>
      </c>
      <c r="AL200" s="45"/>
      <c r="AM200" s="45"/>
      <c r="AN200" s="45"/>
      <c r="AO200" s="49"/>
      <c r="AP200" s="45"/>
      <c r="AQ200" s="45"/>
      <c r="AR200" s="45" t="str">
        <f t="shared" si="35"/>
        <v>NO</v>
      </c>
      <c r="AS200" s="43"/>
    </row>
    <row r="201" spans="1:45" ht="44" customHeight="1">
      <c r="A201" s="45">
        <v>193</v>
      </c>
      <c r="B201" s="43" t="str">
        <f>'T01 revisión'!A197</f>
        <v>wirtzperforming</v>
      </c>
      <c r="C201" s="43" t="str">
        <f>'T01 revisión'!B197</f>
        <v>Performing Afro-Cuba: Image, Voice, Spectacle in the Making of Race and History</v>
      </c>
      <c r="D201" s="43" t="str">
        <f>'T01 revisión'!C197</f>
        <v>Kristina Wirtz</v>
      </c>
      <c r="E201" s="43" t="str">
        <f>'T01 revisión'!D197</f>
        <v>B04</v>
      </c>
      <c r="F201" s="43" t="str">
        <f>'T01 revisión'!E197</f>
        <v>anglófono (EE.UU.)</v>
      </c>
      <c r="G201" s="43" t="str">
        <f>'T01 revisión'!H197</f>
        <v>abreviaturas por normalizar; función territorial no demostrada</v>
      </c>
      <c r="H201" s="45" t="str">
        <f t="shared" ref="H201:H264" si="36">IF(OR(ISNUMBER(SEARCH(" / ",C201)),LEFT(F201,9)="comparado",ISNUMBER(SEARCH("entrada compuesta",G201))),"C",IF(OR(ISNUMBER(SEARCH("/",F201)),ISNUMBER(SEARCH("múltiples",G201)),ISNUMBER(SEARCH("trayectoria",G201)),ISNUMBER(SEARCH("diáspora",G201)),ISNUMBER(SEARCH("temporalidad",G201))),"B","A"))</f>
        <v>A</v>
      </c>
      <c r="I201" s="45"/>
      <c r="J201" s="45" t="str">
        <f t="shared" ref="J201:J264" si="37">IF(IF(I201="",H201,I201)="A","GPT + muestra Claude/humana",IF(IF(I201="",H201,I201)="B","GPT + Claude ciegos; control abreviado","GPT + Claude ciegos; control humano obligatorio"))</f>
        <v>GPT + muestra Claude/humana</v>
      </c>
      <c r="K201" s="43"/>
      <c r="L201" s="43"/>
      <c r="M201" s="43"/>
      <c r="N201" s="43"/>
      <c r="O201" s="43"/>
      <c r="P201" s="43"/>
      <c r="Q201" s="43"/>
      <c r="R201" s="43"/>
      <c r="S201" s="43"/>
      <c r="T201" s="43"/>
      <c r="U201" s="43"/>
      <c r="V201" s="43"/>
      <c r="W201" s="43"/>
      <c r="X201" s="43"/>
      <c r="Y201" s="43"/>
      <c r="Z201" s="43"/>
      <c r="AA201" s="43"/>
      <c r="AB201" s="43"/>
      <c r="AC201" s="45" t="str">
        <f t="shared" ref="AC201:AC241" si="38">IF(OR(L201="",U201=""),"pendiente",IF(L201=U201,"acuerdo","desacuerdo"))</f>
        <v>pendiente</v>
      </c>
      <c r="AD201" s="45" t="str">
        <f t="shared" ref="AD201:AD241" si="39">IF(OR(M201="",V201=""),"pendiente",IF(M201=V201,"acuerdo","desacuerdo"))</f>
        <v>pendiente</v>
      </c>
      <c r="AE201" s="45" t="str">
        <f t="shared" ref="AE201:AE241" si="40">IF(OR(N201="",W201=""),"pendiente",IF(N201=W201,"acuerdo","desacuerdo"))</f>
        <v>pendiente</v>
      </c>
      <c r="AF201" s="45" t="str">
        <f t="shared" ref="AF201:AF241" si="41">IF(OR(O201="",X201=""),"pendiente",IF(O201=X201,"acuerdo","desacuerdo"))</f>
        <v>pendiente</v>
      </c>
      <c r="AG201" s="45" t="str">
        <f t="shared" ref="AG201:AG241" si="42">IF(AI201="NO",IF(AND(P201&lt;&gt;"",Q201&lt;&gt;""),"GPT completa","insuficiente"),IF(AND(P201&lt;&gt;"",Q201&lt;&gt;"",Y201&lt;&gt;"",Z201&lt;&gt;""),"ambos completa","insuficiente"))</f>
        <v>insuficiente</v>
      </c>
      <c r="AH201" s="45" t="str">
        <f t="shared" ref="AH201:AH264" si="43">IF(AI201="NO",IF(AG201="GPT completa","dictamen_unico_A","pendiente"),IF(OR(AC201="pendiente",AD201="pendiente",AE201="pendiente",AF201="pendiente"),"pendiente",IF(AND(AC201="acuerdo",AD201="acuerdo",AE201="acuerdo",AF201="acuerdo",AG201="ambos completa"),"consenso_con_evidencia",IF(AG201="insuficiente","consenso_sin_evidencia_suficiente","desacuerdo"))))</f>
        <v>pendiente</v>
      </c>
      <c r="AI201" s="45" t="str">
        <f t="shared" ref="AI201:AI241" si="44">IF(IF(I201="",H201,I201)="A",IF(MOD(A201,7)=0,"SI","NO"),"SI")</f>
        <v>NO</v>
      </c>
      <c r="AJ201" s="45" t="str">
        <f t="shared" ref="AJ201:AJ241" si="45">IF(IF(I201="",H201,I201)="C","obligatorio",IF(IF(I201="",H201,I201)="B","abreviado",IF(MOD(A201,10)=0,"muestra","NO")))</f>
        <v>NO</v>
      </c>
      <c r="AK201" s="45" t="str">
        <f t="shared" ref="AK201:AK241" si="46">IF(OR(IF(I201="",H201,I201)="C",AH201="desacuerdo",AH201="consenso_sin_evidencia_suficiente",AND(AG201="insuficiente",OR(P201&lt;&gt;"",Q201&lt;&gt;"",Y201&lt;&gt;"",Z201&lt;&gt;""))),"SI","NO")</f>
        <v>NO</v>
      </c>
      <c r="AL201" s="45"/>
      <c r="AM201" s="45"/>
      <c r="AN201" s="45"/>
      <c r="AO201" s="49"/>
      <c r="AP201" s="45"/>
      <c r="AQ201" s="45"/>
      <c r="AR201" s="45" t="str">
        <f t="shared" ref="AR201:AR264" si="47">IF(AND(AL201="revisada",AM201&lt;&gt;"",AN201&lt;&gt;"",AO201&lt;&gt;"",AP201="pasa",AQ201="aprobada"),"SI","NO")</f>
        <v>NO</v>
      </c>
      <c r="AS201" s="43"/>
    </row>
    <row r="202" spans="1:45" ht="44" customHeight="1">
      <c r="A202" s="45">
        <v>194</v>
      </c>
      <c r="B202" s="43" t="str">
        <f>'T01 revisión'!A198</f>
        <v>belisodelirium</v>
      </c>
      <c r="C202" s="43" t="str">
        <f>'T01 revisión'!B198</f>
        <v>Excited Delirium: Race, Police Violence, and the Invention of a Disease</v>
      </c>
      <c r="D202" s="43" t="str">
        <f>'T01 revisión'!C198</f>
        <v>Aisha M. Beliso-De Jesús</v>
      </c>
      <c r="E202" s="43" t="str">
        <f>'T01 revisión'!D198</f>
        <v>A01</v>
      </c>
      <c r="F202" s="43" t="str">
        <f>'T01 revisión'!E198</f>
        <v>anglófono (EE.UU.)</v>
      </c>
      <c r="G202" s="43" t="str">
        <f>'T01 revisión'!H198</f>
        <v>abreviaturas por normalizar; función territorial no demostrada</v>
      </c>
      <c r="H202" s="45" t="str">
        <f t="shared" si="36"/>
        <v>A</v>
      </c>
      <c r="I202" s="45"/>
      <c r="J202" s="45" t="str">
        <f t="shared" si="37"/>
        <v>GPT + muestra Claude/humana</v>
      </c>
      <c r="K202" s="43"/>
      <c r="L202" s="43"/>
      <c r="M202" s="43"/>
      <c r="N202" s="43"/>
      <c r="O202" s="43"/>
      <c r="P202" s="43"/>
      <c r="Q202" s="43"/>
      <c r="R202" s="43"/>
      <c r="S202" s="43"/>
      <c r="T202" s="43"/>
      <c r="U202" s="43"/>
      <c r="V202" s="43"/>
      <c r="W202" s="43"/>
      <c r="X202" s="43"/>
      <c r="Y202" s="43"/>
      <c r="Z202" s="43"/>
      <c r="AA202" s="43"/>
      <c r="AB202" s="43"/>
      <c r="AC202" s="45" t="str">
        <f t="shared" si="38"/>
        <v>pendiente</v>
      </c>
      <c r="AD202" s="45" t="str">
        <f t="shared" si="39"/>
        <v>pendiente</v>
      </c>
      <c r="AE202" s="45" t="str">
        <f t="shared" si="40"/>
        <v>pendiente</v>
      </c>
      <c r="AF202" s="45" t="str">
        <f t="shared" si="41"/>
        <v>pendiente</v>
      </c>
      <c r="AG202" s="45" t="str">
        <f t="shared" si="42"/>
        <v>insuficiente</v>
      </c>
      <c r="AH202" s="45" t="str">
        <f t="shared" si="43"/>
        <v>pendiente</v>
      </c>
      <c r="AI202" s="45" t="str">
        <f t="shared" si="44"/>
        <v>NO</v>
      </c>
      <c r="AJ202" s="45" t="str">
        <f t="shared" si="45"/>
        <v>NO</v>
      </c>
      <c r="AK202" s="45" t="str">
        <f t="shared" si="46"/>
        <v>NO</v>
      </c>
      <c r="AL202" s="45"/>
      <c r="AM202" s="45"/>
      <c r="AN202" s="45"/>
      <c r="AO202" s="49"/>
      <c r="AP202" s="45"/>
      <c r="AQ202" s="45"/>
      <c r="AR202" s="45" t="str">
        <f t="shared" si="47"/>
        <v>NO</v>
      </c>
      <c r="AS202" s="43"/>
    </row>
    <row r="203" spans="1:45" ht="44" customHeight="1">
      <c r="A203" s="45">
        <v>195</v>
      </c>
      <c r="B203" s="43" t="str">
        <f>'T01 revisión'!A199</f>
        <v>garciapenaborders</v>
      </c>
      <c r="C203" s="43" t="str">
        <f>'T01 revisión'!B199</f>
        <v>The Borders of Dominicanidad: Race, Nation, and Archives of Contradiction</v>
      </c>
      <c r="D203" s="43" t="str">
        <f>'T01 revisión'!C199</f>
        <v>Lorgia García-Peña</v>
      </c>
      <c r="E203" s="43" t="str">
        <f>'T01 revisión'!D199</f>
        <v>C03</v>
      </c>
      <c r="F203" s="43" t="str">
        <f>'T01 revisión'!E199</f>
        <v>anglófono (EE.UU.)</v>
      </c>
      <c r="G203" s="43" t="str">
        <f>'T01 revisión'!H199</f>
        <v>abreviaturas por normalizar; función territorial no demostrada</v>
      </c>
      <c r="H203" s="45" t="str">
        <f t="shared" si="36"/>
        <v>A</v>
      </c>
      <c r="I203" s="45"/>
      <c r="J203" s="45" t="str">
        <f t="shared" si="37"/>
        <v>GPT + muestra Claude/humana</v>
      </c>
      <c r="K203" s="43"/>
      <c r="L203" s="43"/>
      <c r="M203" s="43"/>
      <c r="N203" s="43"/>
      <c r="O203" s="43"/>
      <c r="P203" s="43"/>
      <c r="Q203" s="43"/>
      <c r="R203" s="43"/>
      <c r="S203" s="43"/>
      <c r="T203" s="43"/>
      <c r="U203" s="43"/>
      <c r="V203" s="43"/>
      <c r="W203" s="43"/>
      <c r="X203" s="43"/>
      <c r="Y203" s="43"/>
      <c r="Z203" s="43"/>
      <c r="AA203" s="43"/>
      <c r="AB203" s="43"/>
      <c r="AC203" s="45" t="str">
        <f t="shared" si="38"/>
        <v>pendiente</v>
      </c>
      <c r="AD203" s="45" t="str">
        <f t="shared" si="39"/>
        <v>pendiente</v>
      </c>
      <c r="AE203" s="45" t="str">
        <f t="shared" si="40"/>
        <v>pendiente</v>
      </c>
      <c r="AF203" s="45" t="str">
        <f t="shared" si="41"/>
        <v>pendiente</v>
      </c>
      <c r="AG203" s="45" t="str">
        <f t="shared" si="42"/>
        <v>insuficiente</v>
      </c>
      <c r="AH203" s="45" t="str">
        <f t="shared" si="43"/>
        <v>pendiente</v>
      </c>
      <c r="AI203" s="45" t="str">
        <f t="shared" si="44"/>
        <v>NO</v>
      </c>
      <c r="AJ203" s="45" t="str">
        <f t="shared" si="45"/>
        <v>NO</v>
      </c>
      <c r="AK203" s="45" t="str">
        <f t="shared" si="46"/>
        <v>NO</v>
      </c>
      <c r="AL203" s="45"/>
      <c r="AM203" s="45"/>
      <c r="AN203" s="45"/>
      <c r="AO203" s="49"/>
      <c r="AP203" s="45"/>
      <c r="AQ203" s="45"/>
      <c r="AR203" s="45" t="str">
        <f t="shared" si="47"/>
        <v>NO</v>
      </c>
      <c r="AS203" s="43"/>
    </row>
    <row r="204" spans="1:45" ht="44" customHeight="1">
      <c r="A204" s="45">
        <v>196</v>
      </c>
      <c r="B204" s="43" t="str">
        <f>'T01 revisión'!A200</f>
        <v>godreauscripts</v>
      </c>
      <c r="C204" s="43" t="str">
        <f>'T01 revisión'!B200</f>
        <v>Scripts of Blackness: Race, Cultural Nationalism, and U.S. Colonialism in Puerto Rico</v>
      </c>
      <c r="D204" s="43" t="str">
        <f>'T01 revisión'!C200</f>
        <v>Isar P. Godreau</v>
      </c>
      <c r="E204" s="43" t="str">
        <f>'T01 revisión'!D200</f>
        <v>C02</v>
      </c>
      <c r="F204" s="43" t="str">
        <f>'T01 revisión'!E200</f>
        <v>anglófono (EE.UU.)</v>
      </c>
      <c r="G204" s="43" t="str">
        <f>'T01 revisión'!H200</f>
        <v>abreviaturas por normalizar; función territorial no demostrada</v>
      </c>
      <c r="H204" s="45" t="str">
        <f t="shared" si="36"/>
        <v>A</v>
      </c>
      <c r="I204" s="45"/>
      <c r="J204" s="45" t="str">
        <f t="shared" si="37"/>
        <v>GPT + muestra Claude/humana</v>
      </c>
      <c r="K204" s="43"/>
      <c r="L204" s="43"/>
      <c r="M204" s="43"/>
      <c r="N204" s="43"/>
      <c r="O204" s="43"/>
      <c r="P204" s="43"/>
      <c r="Q204" s="43"/>
      <c r="R204" s="43"/>
      <c r="S204" s="43"/>
      <c r="T204" s="43"/>
      <c r="U204" s="43"/>
      <c r="V204" s="43"/>
      <c r="W204" s="43"/>
      <c r="X204" s="43"/>
      <c r="Y204" s="43"/>
      <c r="Z204" s="43"/>
      <c r="AA204" s="43"/>
      <c r="AB204" s="43"/>
      <c r="AC204" s="45" t="str">
        <f t="shared" si="38"/>
        <v>pendiente</v>
      </c>
      <c r="AD204" s="45" t="str">
        <f t="shared" si="39"/>
        <v>pendiente</v>
      </c>
      <c r="AE204" s="45" t="str">
        <f t="shared" si="40"/>
        <v>pendiente</v>
      </c>
      <c r="AF204" s="45" t="str">
        <f t="shared" si="41"/>
        <v>pendiente</v>
      </c>
      <c r="AG204" s="45" t="str">
        <f t="shared" si="42"/>
        <v>insuficiente</v>
      </c>
      <c r="AH204" s="45" t="str">
        <f t="shared" si="43"/>
        <v>pendiente</v>
      </c>
      <c r="AI204" s="45" t="str">
        <f t="shared" si="44"/>
        <v>SI</v>
      </c>
      <c r="AJ204" s="45" t="str">
        <f t="shared" si="45"/>
        <v>NO</v>
      </c>
      <c r="AK204" s="45" t="str">
        <f t="shared" si="46"/>
        <v>NO</v>
      </c>
      <c r="AL204" s="45"/>
      <c r="AM204" s="45"/>
      <c r="AN204" s="45"/>
      <c r="AO204" s="49"/>
      <c r="AP204" s="45"/>
      <c r="AQ204" s="45"/>
      <c r="AR204" s="45" t="str">
        <f t="shared" si="47"/>
        <v>NO</v>
      </c>
      <c r="AS204" s="43"/>
    </row>
    <row r="205" spans="1:45" ht="44" customHeight="1">
      <c r="A205" s="45">
        <v>197</v>
      </c>
      <c r="B205" s="43" t="str">
        <f>'T01 revisión'!A201</f>
        <v>castorspiritual</v>
      </c>
      <c r="C205" s="43" t="str">
        <f>'T01 revisión'!B201</f>
        <v>Spiritual Citizenship: Transnational Pathways from Black Power to Ifá in Trinidad</v>
      </c>
      <c r="D205" s="43" t="str">
        <f>'T01 revisión'!C201</f>
        <v>N. Fadeke Castor</v>
      </c>
      <c r="E205" s="43" t="str">
        <f>'T01 revisión'!D201</f>
        <v>B05</v>
      </c>
      <c r="F205" s="43" t="str">
        <f>'T01 revisión'!E201</f>
        <v>anglófono (EE.UU.)</v>
      </c>
      <c r="G205" s="43" t="str">
        <f>'T01 revisión'!H201</f>
        <v>abreviaturas por normalizar; función territorial no demostrada</v>
      </c>
      <c r="H205" s="45" t="str">
        <f t="shared" si="36"/>
        <v>A</v>
      </c>
      <c r="I205" s="45"/>
      <c r="J205" s="45" t="str">
        <f t="shared" si="37"/>
        <v>GPT + muestra Claude/humana</v>
      </c>
      <c r="K205" s="43"/>
      <c r="L205" s="43"/>
      <c r="M205" s="43"/>
      <c r="N205" s="43"/>
      <c r="O205" s="43"/>
      <c r="P205" s="43"/>
      <c r="Q205" s="43"/>
      <c r="R205" s="43"/>
      <c r="S205" s="43"/>
      <c r="T205" s="43"/>
      <c r="U205" s="43"/>
      <c r="V205" s="43"/>
      <c r="W205" s="43"/>
      <c r="X205" s="43"/>
      <c r="Y205" s="43"/>
      <c r="Z205" s="43"/>
      <c r="AA205" s="43"/>
      <c r="AB205" s="43"/>
      <c r="AC205" s="45" t="str">
        <f t="shared" si="38"/>
        <v>pendiente</v>
      </c>
      <c r="AD205" s="45" t="str">
        <f t="shared" si="39"/>
        <v>pendiente</v>
      </c>
      <c r="AE205" s="45" t="str">
        <f t="shared" si="40"/>
        <v>pendiente</v>
      </c>
      <c r="AF205" s="45" t="str">
        <f t="shared" si="41"/>
        <v>pendiente</v>
      </c>
      <c r="AG205" s="45" t="str">
        <f t="shared" si="42"/>
        <v>insuficiente</v>
      </c>
      <c r="AH205" s="45" t="str">
        <f t="shared" si="43"/>
        <v>pendiente</v>
      </c>
      <c r="AI205" s="45" t="str">
        <f t="shared" si="44"/>
        <v>NO</v>
      </c>
      <c r="AJ205" s="45" t="str">
        <f t="shared" si="45"/>
        <v>NO</v>
      </c>
      <c r="AK205" s="45" t="str">
        <f t="shared" si="46"/>
        <v>NO</v>
      </c>
      <c r="AL205" s="45"/>
      <c r="AM205" s="45"/>
      <c r="AN205" s="45"/>
      <c r="AO205" s="49"/>
      <c r="AP205" s="45"/>
      <c r="AQ205" s="45"/>
      <c r="AR205" s="45" t="str">
        <f t="shared" si="47"/>
        <v>NO</v>
      </c>
      <c r="AS205" s="43"/>
    </row>
    <row r="206" spans="1:45" ht="44" customHeight="1">
      <c r="A206" s="45">
        <v>198</v>
      </c>
      <c r="B206" s="43" t="str">
        <f>'T01 revisión'!A202</f>
        <v>alvarezboro</v>
      </c>
      <c r="C206" s="43" t="str">
        <f>'T01 revisión'!B202</f>
        <v>“Esto es el boro”: vidas en la periferia</v>
      </c>
      <c r="D206" s="43" t="str">
        <f>'T01 revisión'!C202</f>
        <v>William Álvarez Álvarez</v>
      </c>
      <c r="E206" s="43" t="str">
        <f>'T01 revisión'!D202</f>
        <v>S01</v>
      </c>
      <c r="F206" s="43" t="str">
        <f>'T01 revisión'!E202</f>
        <v>hispanófono (Colombia)</v>
      </c>
      <c r="G206" s="43" t="str">
        <f>'T01 revisión'!H202</f>
        <v>función territorial no demostrada</v>
      </c>
      <c r="H206" s="45" t="str">
        <f t="shared" si="36"/>
        <v>A</v>
      </c>
      <c r="I206" s="45"/>
      <c r="J206" s="45" t="str">
        <f t="shared" si="37"/>
        <v>GPT + muestra Claude/humana</v>
      </c>
      <c r="K206" s="43"/>
      <c r="L206" s="43"/>
      <c r="M206" s="43"/>
      <c r="N206" s="43"/>
      <c r="O206" s="43"/>
      <c r="P206" s="43"/>
      <c r="Q206" s="43"/>
      <c r="R206" s="43"/>
      <c r="S206" s="43"/>
      <c r="T206" s="43"/>
      <c r="U206" s="43"/>
      <c r="V206" s="43"/>
      <c r="W206" s="43"/>
      <c r="X206" s="43"/>
      <c r="Y206" s="43"/>
      <c r="Z206" s="43"/>
      <c r="AA206" s="43"/>
      <c r="AB206" s="43"/>
      <c r="AC206" s="45" t="str">
        <f t="shared" si="38"/>
        <v>pendiente</v>
      </c>
      <c r="AD206" s="45" t="str">
        <f t="shared" si="39"/>
        <v>pendiente</v>
      </c>
      <c r="AE206" s="45" t="str">
        <f t="shared" si="40"/>
        <v>pendiente</v>
      </c>
      <c r="AF206" s="45" t="str">
        <f t="shared" si="41"/>
        <v>pendiente</v>
      </c>
      <c r="AG206" s="45" t="str">
        <f t="shared" si="42"/>
        <v>insuficiente</v>
      </c>
      <c r="AH206" s="45" t="str">
        <f t="shared" si="43"/>
        <v>pendiente</v>
      </c>
      <c r="AI206" s="45" t="str">
        <f t="shared" si="44"/>
        <v>NO</v>
      </c>
      <c r="AJ206" s="45" t="str">
        <f t="shared" si="45"/>
        <v>NO</v>
      </c>
      <c r="AK206" s="45" t="str">
        <f t="shared" si="46"/>
        <v>NO</v>
      </c>
      <c r="AL206" s="45"/>
      <c r="AM206" s="45"/>
      <c r="AN206" s="45"/>
      <c r="AO206" s="49"/>
      <c r="AP206" s="45"/>
      <c r="AQ206" s="45"/>
      <c r="AR206" s="45" t="str">
        <f t="shared" si="47"/>
        <v>NO</v>
      </c>
      <c r="AS206" s="43"/>
    </row>
    <row r="207" spans="1:45" ht="44" customHeight="1">
      <c r="A207" s="45">
        <v>199</v>
      </c>
      <c r="B207" s="43" t="str">
        <f>'T01 revisión'!A203</f>
        <v>londonoargonauts</v>
      </c>
      <c r="C207" s="43" t="str">
        <f>'T01 revisión'!B203</f>
        <v>The Argonauts of West Caribbean: Tradition of Canoes of Taganga</v>
      </c>
      <c r="D207" s="43" t="str">
        <f>'T01 revisión'!C203</f>
        <v>Wilhelm Londoño Díaz</v>
      </c>
      <c r="E207" s="43" t="str">
        <f>'T01 revisión'!D203</f>
        <v>S01</v>
      </c>
      <c r="F207" s="43" t="str">
        <f>'T01 revisión'!E203</f>
        <v>hispanófono (Colombia)</v>
      </c>
      <c r="G207" s="43" t="str">
        <f>'T01 revisión'!H203</f>
        <v>función territorial no demostrada</v>
      </c>
      <c r="H207" s="45" t="str">
        <f t="shared" si="36"/>
        <v>A</v>
      </c>
      <c r="I207" s="45"/>
      <c r="J207" s="45" t="str">
        <f t="shared" si="37"/>
        <v>GPT + muestra Claude/humana</v>
      </c>
      <c r="K207" s="43"/>
      <c r="L207" s="43"/>
      <c r="M207" s="43"/>
      <c r="N207" s="43"/>
      <c r="O207" s="43"/>
      <c r="P207" s="43"/>
      <c r="Q207" s="43"/>
      <c r="R207" s="43"/>
      <c r="S207" s="43"/>
      <c r="T207" s="43"/>
      <c r="U207" s="43"/>
      <c r="V207" s="43"/>
      <c r="W207" s="43"/>
      <c r="X207" s="43"/>
      <c r="Y207" s="43"/>
      <c r="Z207" s="43"/>
      <c r="AA207" s="43"/>
      <c r="AB207" s="43"/>
      <c r="AC207" s="45" t="str">
        <f t="shared" si="38"/>
        <v>pendiente</v>
      </c>
      <c r="AD207" s="45" t="str">
        <f t="shared" si="39"/>
        <v>pendiente</v>
      </c>
      <c r="AE207" s="45" t="str">
        <f t="shared" si="40"/>
        <v>pendiente</v>
      </c>
      <c r="AF207" s="45" t="str">
        <f t="shared" si="41"/>
        <v>pendiente</v>
      </c>
      <c r="AG207" s="45" t="str">
        <f t="shared" si="42"/>
        <v>insuficiente</v>
      </c>
      <c r="AH207" s="45" t="str">
        <f t="shared" si="43"/>
        <v>pendiente</v>
      </c>
      <c r="AI207" s="45" t="str">
        <f t="shared" si="44"/>
        <v>NO</v>
      </c>
      <c r="AJ207" s="45" t="str">
        <f t="shared" si="45"/>
        <v>NO</v>
      </c>
      <c r="AK207" s="45" t="str">
        <f t="shared" si="46"/>
        <v>NO</v>
      </c>
      <c r="AL207" s="45"/>
      <c r="AM207" s="45"/>
      <c r="AN207" s="45"/>
      <c r="AO207" s="49"/>
      <c r="AP207" s="45"/>
      <c r="AQ207" s="45"/>
      <c r="AR207" s="45" t="str">
        <f t="shared" si="47"/>
        <v>NO</v>
      </c>
      <c r="AS207" s="43"/>
    </row>
    <row r="208" spans="1:45" ht="44" customHeight="1">
      <c r="A208" s="45">
        <v>200</v>
      </c>
      <c r="B208" s="43" t="str">
        <f>'T01 revisión'!A204</f>
        <v>crawfordturtlemen</v>
      </c>
      <c r="C208" s="43" t="str">
        <f>'T01 revisión'!B204</f>
        <v>The Last Turtlemen of the Caribbean: Waterscapes of Labor, Conservation, and Boundary Making</v>
      </c>
      <c r="D208" s="43" t="str">
        <f>'T01 revisión'!C204</f>
        <v>Sharika D. Crawford</v>
      </c>
      <c r="E208" s="43" t="str">
        <f>'T01 revisión'!D204</f>
        <v>B03</v>
      </c>
      <c r="F208" s="43" t="str">
        <f>'T01 revisión'!E204</f>
        <v>anglófono (EE.UU.)</v>
      </c>
      <c r="G208" s="43" t="str">
        <f>'T01 revisión'!H204</f>
        <v>abreviaturas por normalizar; función territorial no demostrada</v>
      </c>
      <c r="H208" s="45" t="str">
        <f t="shared" si="36"/>
        <v>A</v>
      </c>
      <c r="I208" s="45"/>
      <c r="J208" s="45" t="str">
        <f t="shared" si="37"/>
        <v>GPT + muestra Claude/humana</v>
      </c>
      <c r="K208" s="43"/>
      <c r="L208" s="43"/>
      <c r="M208" s="43"/>
      <c r="N208" s="43"/>
      <c r="O208" s="43"/>
      <c r="P208" s="43"/>
      <c r="Q208" s="43"/>
      <c r="R208" s="43"/>
      <c r="S208" s="43"/>
      <c r="T208" s="43"/>
      <c r="U208" s="43"/>
      <c r="V208" s="43"/>
      <c r="W208" s="43"/>
      <c r="X208" s="43"/>
      <c r="Y208" s="43"/>
      <c r="Z208" s="43"/>
      <c r="AA208" s="43"/>
      <c r="AB208" s="43"/>
      <c r="AC208" s="45" t="str">
        <f t="shared" si="38"/>
        <v>pendiente</v>
      </c>
      <c r="AD208" s="45" t="str">
        <f t="shared" si="39"/>
        <v>pendiente</v>
      </c>
      <c r="AE208" s="45" t="str">
        <f t="shared" si="40"/>
        <v>pendiente</v>
      </c>
      <c r="AF208" s="45" t="str">
        <f t="shared" si="41"/>
        <v>pendiente</v>
      </c>
      <c r="AG208" s="45" t="str">
        <f t="shared" si="42"/>
        <v>insuficiente</v>
      </c>
      <c r="AH208" s="45" t="str">
        <f t="shared" si="43"/>
        <v>pendiente</v>
      </c>
      <c r="AI208" s="45" t="str">
        <f t="shared" si="44"/>
        <v>NO</v>
      </c>
      <c r="AJ208" s="45" t="str">
        <f t="shared" si="45"/>
        <v>muestra</v>
      </c>
      <c r="AK208" s="45" t="str">
        <f t="shared" si="46"/>
        <v>NO</v>
      </c>
      <c r="AL208" s="45"/>
      <c r="AM208" s="45"/>
      <c r="AN208" s="45"/>
      <c r="AO208" s="49"/>
      <c r="AP208" s="45"/>
      <c r="AQ208" s="45"/>
      <c r="AR208" s="45" t="str">
        <f t="shared" si="47"/>
        <v>NO</v>
      </c>
      <c r="AS208" s="43"/>
    </row>
    <row r="209" spans="1:45" ht="44" customHeight="1">
      <c r="A209" s="45">
        <v>201</v>
      </c>
      <c r="B209" s="43" t="str">
        <f>'T01 revisión'!A205</f>
        <v>stewardpuertorico</v>
      </c>
      <c r="C209" s="43" t="str">
        <f>'T01 revisión'!B205</f>
        <v>The People of Puerto Rico: A Study in Social Anthropology</v>
      </c>
      <c r="D209" s="43" t="str">
        <f>'T01 revisión'!C205</f>
        <v>Julian H. Steward, Robert A. Manners, Eric R. Wolf, Elena Padilla Seda, Sidney W. Mintz, Raymond L. Scheele</v>
      </c>
      <c r="E209" s="43" t="str">
        <f>'T01 revisión'!D205</f>
        <v>P00</v>
      </c>
      <c r="F209" s="43" t="str">
        <f>'T01 revisión'!E205</f>
        <v>anglófono (EE.UU.)</v>
      </c>
      <c r="G209" s="43" t="str">
        <f>'T01 revisión'!H205</f>
        <v>abreviaturas por normalizar; función territorial no demostrada</v>
      </c>
      <c r="H209" s="45" t="str">
        <f t="shared" si="36"/>
        <v>A</v>
      </c>
      <c r="I209" s="45"/>
      <c r="J209" s="45" t="str">
        <f t="shared" si="37"/>
        <v>GPT + muestra Claude/humana</v>
      </c>
      <c r="K209" s="43" t="s">
        <v>3005</v>
      </c>
      <c r="L209" s="43" t="s">
        <v>2340</v>
      </c>
      <c r="M209" s="43"/>
      <c r="N209" s="43" t="s">
        <v>2370</v>
      </c>
      <c r="O209" s="43"/>
      <c r="P209" s="43" t="s">
        <v>3067</v>
      </c>
      <c r="Q209" s="43" t="s">
        <v>3007</v>
      </c>
      <c r="R209" s="43" t="s">
        <v>3008</v>
      </c>
      <c r="S209" s="43" t="s">
        <v>2229</v>
      </c>
      <c r="T209" s="43"/>
      <c r="U209" s="43"/>
      <c r="V209" s="43"/>
      <c r="W209" s="43"/>
      <c r="X209" s="43"/>
      <c r="Y209" s="43"/>
      <c r="Z209" s="43"/>
      <c r="AA209" s="43"/>
      <c r="AB209" s="43"/>
      <c r="AC209" s="45" t="str">
        <f t="shared" si="38"/>
        <v>pendiente</v>
      </c>
      <c r="AD209" s="45" t="str">
        <f t="shared" si="39"/>
        <v>pendiente</v>
      </c>
      <c r="AE209" s="45" t="str">
        <f t="shared" si="40"/>
        <v>pendiente</v>
      </c>
      <c r="AF209" s="45" t="str">
        <f t="shared" si="41"/>
        <v>pendiente</v>
      </c>
      <c r="AG209" s="45" t="str">
        <f t="shared" si="42"/>
        <v>GPT completa</v>
      </c>
      <c r="AH209" s="45" t="str">
        <f t="shared" si="43"/>
        <v>dictamen_unico_A</v>
      </c>
      <c r="AI209" s="45" t="str">
        <f t="shared" si="44"/>
        <v>NO</v>
      </c>
      <c r="AJ209" s="45" t="str">
        <f t="shared" si="45"/>
        <v>NO</v>
      </c>
      <c r="AK209" s="45" t="str">
        <f t="shared" si="46"/>
        <v>NO</v>
      </c>
      <c r="AL209" s="45"/>
      <c r="AM209" s="45"/>
      <c r="AN209" s="45"/>
      <c r="AO209" s="49"/>
      <c r="AP209" s="45"/>
      <c r="AQ209" s="45"/>
      <c r="AR209" s="45" t="str">
        <f t="shared" si="47"/>
        <v>NO</v>
      </c>
      <c r="AS209" s="43" t="s">
        <v>3068</v>
      </c>
    </row>
    <row r="210" spans="1:45" ht="44" customHeight="1">
      <c r="A210" s="45">
        <v>202</v>
      </c>
      <c r="B210" s="43" t="str">
        <f>'T01 revisión'!A206</f>
        <v>mitchellalibi</v>
      </c>
      <c r="C210" s="43" t="str">
        <f>'T01 revisión'!B206</f>
        <v>The Alibi of Capital: How We Broke the Earth to Steal the Future on the Promise of a Better Tomorrow</v>
      </c>
      <c r="D210" s="43" t="str">
        <f>'T01 revisión'!C206</f>
        <v>Timothy Mitchell</v>
      </c>
      <c r="E210" s="43" t="str">
        <f>'T01 revisión'!D206</f>
        <v>DE01</v>
      </c>
      <c r="F210" s="43" t="str">
        <f>'T01 revisión'!E206</f>
        <v>anglófono (Reino Unido/EE.UU.)</v>
      </c>
      <c r="G210" s="43" t="str">
        <f>'T01 revisión'!H206</f>
        <v>varias procedencias o territorios; abreviaturas por normalizar; función territorial no demostrada</v>
      </c>
      <c r="H210" s="45" t="str">
        <f t="shared" si="36"/>
        <v>B</v>
      </c>
      <c r="I210" s="45"/>
      <c r="J210" s="45" t="str">
        <f t="shared" si="37"/>
        <v>GPT + Claude ciegos; control abreviado</v>
      </c>
      <c r="K210" s="43"/>
      <c r="L210" s="43"/>
      <c r="M210" s="43"/>
      <c r="N210" s="43"/>
      <c r="O210" s="43"/>
      <c r="P210" s="43"/>
      <c r="Q210" s="43"/>
      <c r="R210" s="43"/>
      <c r="S210" s="43"/>
      <c r="T210" s="43"/>
      <c r="U210" s="43"/>
      <c r="V210" s="43"/>
      <c r="W210" s="43"/>
      <c r="X210" s="43"/>
      <c r="Y210" s="43"/>
      <c r="Z210" s="43"/>
      <c r="AA210" s="43"/>
      <c r="AB210" s="43"/>
      <c r="AC210" s="45" t="str">
        <f t="shared" si="38"/>
        <v>pendiente</v>
      </c>
      <c r="AD210" s="45" t="str">
        <f t="shared" si="39"/>
        <v>pendiente</v>
      </c>
      <c r="AE210" s="45" t="str">
        <f t="shared" si="40"/>
        <v>pendiente</v>
      </c>
      <c r="AF210" s="45" t="str">
        <f t="shared" si="41"/>
        <v>pendiente</v>
      </c>
      <c r="AG210" s="45" t="str">
        <f t="shared" si="42"/>
        <v>insuficiente</v>
      </c>
      <c r="AH210" s="45" t="str">
        <f t="shared" si="43"/>
        <v>pendiente</v>
      </c>
      <c r="AI210" s="45" t="str">
        <f t="shared" si="44"/>
        <v>SI</v>
      </c>
      <c r="AJ210" s="45" t="str">
        <f t="shared" si="45"/>
        <v>abreviado</v>
      </c>
      <c r="AK210" s="45" t="str">
        <f t="shared" si="46"/>
        <v>NO</v>
      </c>
      <c r="AL210" s="45"/>
      <c r="AM210" s="45"/>
      <c r="AN210" s="45"/>
      <c r="AO210" s="49"/>
      <c r="AP210" s="45"/>
      <c r="AQ210" s="45"/>
      <c r="AR210" s="45" t="str">
        <f t="shared" si="47"/>
        <v>NO</v>
      </c>
      <c r="AS210" s="43"/>
    </row>
    <row r="211" spans="1:45" ht="44" customHeight="1">
      <c r="A211" s="45">
        <v>203</v>
      </c>
      <c r="B211" s="43" t="str">
        <f>'T01 revisión'!A207</f>
        <v>allenvenceremos</v>
      </c>
      <c r="C211" s="43" t="str">
        <f>'T01 revisión'!B207</f>
        <v>¡Venceremos? The Erotics of Black Self-Making in Cuba</v>
      </c>
      <c r="D211" s="43" t="str">
        <f>'T01 revisión'!C207</f>
        <v>Jafari S. Allen</v>
      </c>
      <c r="E211" s="43" t="str">
        <f>'T01 revisión'!D207</f>
        <v>B01</v>
      </c>
      <c r="F211" s="43" t="str">
        <f>'T01 revisión'!E207</f>
        <v>anglófono (EE.UU.)</v>
      </c>
      <c r="G211" s="43" t="str">
        <f>'T01 revisión'!H207</f>
        <v>abreviaturas por normalizar; función territorial no demostrada</v>
      </c>
      <c r="H211" s="45" t="str">
        <f t="shared" si="36"/>
        <v>A</v>
      </c>
      <c r="I211" s="45"/>
      <c r="J211" s="45" t="str">
        <f t="shared" si="37"/>
        <v>GPT + muestra Claude/humana</v>
      </c>
      <c r="K211" s="43"/>
      <c r="L211" s="43"/>
      <c r="M211" s="43"/>
      <c r="N211" s="43"/>
      <c r="O211" s="43"/>
      <c r="P211" s="43"/>
      <c r="Q211" s="43"/>
      <c r="R211" s="43"/>
      <c r="S211" s="43"/>
      <c r="T211" s="43"/>
      <c r="U211" s="43"/>
      <c r="V211" s="43"/>
      <c r="W211" s="43"/>
      <c r="X211" s="43"/>
      <c r="Y211" s="43"/>
      <c r="Z211" s="43"/>
      <c r="AA211" s="43"/>
      <c r="AB211" s="43"/>
      <c r="AC211" s="45" t="str">
        <f t="shared" si="38"/>
        <v>pendiente</v>
      </c>
      <c r="AD211" s="45" t="str">
        <f t="shared" si="39"/>
        <v>pendiente</v>
      </c>
      <c r="AE211" s="45" t="str">
        <f t="shared" si="40"/>
        <v>pendiente</v>
      </c>
      <c r="AF211" s="45" t="str">
        <f t="shared" si="41"/>
        <v>pendiente</v>
      </c>
      <c r="AG211" s="45" t="str">
        <f t="shared" si="42"/>
        <v>insuficiente</v>
      </c>
      <c r="AH211" s="45" t="str">
        <f t="shared" si="43"/>
        <v>pendiente</v>
      </c>
      <c r="AI211" s="45" t="str">
        <f t="shared" si="44"/>
        <v>SI</v>
      </c>
      <c r="AJ211" s="45" t="str">
        <f t="shared" si="45"/>
        <v>NO</v>
      </c>
      <c r="AK211" s="45" t="str">
        <f t="shared" si="46"/>
        <v>NO</v>
      </c>
      <c r="AL211" s="45"/>
      <c r="AM211" s="45"/>
      <c r="AN211" s="45"/>
      <c r="AO211" s="49"/>
      <c r="AP211" s="45"/>
      <c r="AQ211" s="45"/>
      <c r="AR211" s="45" t="str">
        <f t="shared" si="47"/>
        <v>NO</v>
      </c>
      <c r="AS211" s="43"/>
    </row>
    <row r="212" spans="1:45" ht="44" customHeight="1">
      <c r="A212" s="45">
        <v>204</v>
      </c>
      <c r="B212" s="43" t="str">
        <f>'T01 revisión'!A208</f>
        <v>williamscapitalismo</v>
      </c>
      <c r="C212" s="43" t="str">
        <f>'T01 revisión'!B208</f>
        <v>Capitalismo y esclavitud (Capitalism and Slavery)</v>
      </c>
      <c r="D212" s="43" t="str">
        <f>'T01 revisión'!C208</f>
        <v>Eric Williams</v>
      </c>
      <c r="E212" s="43" t="str">
        <f>'T01 revisión'!D208</f>
        <v>P00</v>
      </c>
      <c r="F212" s="43" t="str">
        <f>'T01 revisión'!E208</f>
        <v>anglófono (Trinidad)</v>
      </c>
      <c r="G212" s="43" t="str">
        <f>'T01 revisión'!H208</f>
        <v>función territorial no demostrada</v>
      </c>
      <c r="H212" s="45" t="str">
        <f t="shared" si="36"/>
        <v>A</v>
      </c>
      <c r="I212" s="45"/>
      <c r="J212" s="45" t="str">
        <f t="shared" si="37"/>
        <v>GPT + muestra Claude/humana</v>
      </c>
      <c r="K212" s="43"/>
      <c r="L212" s="43"/>
      <c r="M212" s="43"/>
      <c r="N212" s="43"/>
      <c r="O212" s="43"/>
      <c r="P212" s="43"/>
      <c r="Q212" s="43"/>
      <c r="R212" s="43"/>
      <c r="S212" s="43"/>
      <c r="T212" s="43"/>
      <c r="U212" s="43"/>
      <c r="V212" s="43"/>
      <c r="W212" s="43"/>
      <c r="X212" s="43"/>
      <c r="Y212" s="43"/>
      <c r="Z212" s="43"/>
      <c r="AA212" s="43"/>
      <c r="AB212" s="43"/>
      <c r="AC212" s="45" t="str">
        <f t="shared" si="38"/>
        <v>pendiente</v>
      </c>
      <c r="AD212" s="45" t="str">
        <f t="shared" si="39"/>
        <v>pendiente</v>
      </c>
      <c r="AE212" s="45" t="str">
        <f t="shared" si="40"/>
        <v>pendiente</v>
      </c>
      <c r="AF212" s="45" t="str">
        <f t="shared" si="41"/>
        <v>pendiente</v>
      </c>
      <c r="AG212" s="45" t="str">
        <f t="shared" si="42"/>
        <v>insuficiente</v>
      </c>
      <c r="AH212" s="45" t="str">
        <f t="shared" si="43"/>
        <v>pendiente</v>
      </c>
      <c r="AI212" s="45" t="str">
        <f t="shared" si="44"/>
        <v>NO</v>
      </c>
      <c r="AJ212" s="45" t="str">
        <f t="shared" si="45"/>
        <v>NO</v>
      </c>
      <c r="AK212" s="45" t="str">
        <f t="shared" si="46"/>
        <v>NO</v>
      </c>
      <c r="AL212" s="45"/>
      <c r="AM212" s="45"/>
      <c r="AN212" s="45"/>
      <c r="AO212" s="49"/>
      <c r="AP212" s="45"/>
      <c r="AQ212" s="45"/>
      <c r="AR212" s="45" t="str">
        <f t="shared" si="47"/>
        <v>NO</v>
      </c>
      <c r="AS212" s="43"/>
    </row>
    <row r="213" spans="1:45" ht="44" customHeight="1">
      <c r="A213" s="45">
        <v>205</v>
      </c>
      <c r="B213" s="43" t="str">
        <f>'T01 revisión'!A209</f>
        <v>wynterblackmetamorphosis</v>
      </c>
      <c r="C213" s="43" t="str">
        <f>'T01 revisión'!B209</f>
        <v>Black Metamorphosis: New Natives in a New World</v>
      </c>
      <c r="D213" s="43" t="str">
        <f>'T01 revisión'!C209</f>
        <v>Sylvia Wynter</v>
      </c>
      <c r="E213" s="43" t="str">
        <f>'T01 revisión'!D209</f>
        <v>B04</v>
      </c>
      <c r="F213" s="43" t="str">
        <f>'T01 revisión'!E209</f>
        <v>anglófono (Jamaica)</v>
      </c>
      <c r="G213" s="43" t="str">
        <f>'T01 revisión'!H209</f>
        <v>función territorial no demostrada</v>
      </c>
      <c r="H213" s="45" t="str">
        <f t="shared" si="36"/>
        <v>A</v>
      </c>
      <c r="I213" s="45"/>
      <c r="J213" s="45" t="str">
        <f t="shared" si="37"/>
        <v>GPT + muestra Claude/humana</v>
      </c>
      <c r="K213" s="43"/>
      <c r="L213" s="43"/>
      <c r="M213" s="43"/>
      <c r="N213" s="43"/>
      <c r="O213" s="43"/>
      <c r="P213" s="43"/>
      <c r="Q213" s="43"/>
      <c r="R213" s="43"/>
      <c r="S213" s="43"/>
      <c r="T213" s="43"/>
      <c r="U213" s="43"/>
      <c r="V213" s="43"/>
      <c r="W213" s="43"/>
      <c r="X213" s="43"/>
      <c r="Y213" s="43"/>
      <c r="Z213" s="43"/>
      <c r="AA213" s="43"/>
      <c r="AB213" s="43"/>
      <c r="AC213" s="45" t="str">
        <f t="shared" si="38"/>
        <v>pendiente</v>
      </c>
      <c r="AD213" s="45" t="str">
        <f t="shared" si="39"/>
        <v>pendiente</v>
      </c>
      <c r="AE213" s="45" t="str">
        <f t="shared" si="40"/>
        <v>pendiente</v>
      </c>
      <c r="AF213" s="45" t="str">
        <f t="shared" si="41"/>
        <v>pendiente</v>
      </c>
      <c r="AG213" s="45" t="str">
        <f t="shared" si="42"/>
        <v>insuficiente</v>
      </c>
      <c r="AH213" s="45" t="str">
        <f t="shared" si="43"/>
        <v>pendiente</v>
      </c>
      <c r="AI213" s="45" t="str">
        <f t="shared" si="44"/>
        <v>NO</v>
      </c>
      <c r="AJ213" s="45" t="str">
        <f t="shared" si="45"/>
        <v>NO</v>
      </c>
      <c r="AK213" s="45" t="str">
        <f t="shared" si="46"/>
        <v>NO</v>
      </c>
      <c r="AL213" s="45"/>
      <c r="AM213" s="45"/>
      <c r="AN213" s="45"/>
      <c r="AO213" s="49"/>
      <c r="AP213" s="45"/>
      <c r="AQ213" s="45"/>
      <c r="AR213" s="45" t="str">
        <f t="shared" si="47"/>
        <v>NO</v>
      </c>
      <c r="AS213" s="43"/>
    </row>
    <row r="214" spans="1:45" ht="44" customHeight="1">
      <c r="A214" s="45">
        <v>206</v>
      </c>
      <c r="B214" s="43" t="str">
        <f>'T01 revisión'!A210</f>
        <v>mgsmithplural</v>
      </c>
      <c r="C214" s="43" t="str">
        <f>'T01 revisión'!B210</f>
        <v>The Plural Society in the British West Indies</v>
      </c>
      <c r="D214" s="43" t="str">
        <f>'T01 revisión'!C210</f>
        <v>M. G. Smith</v>
      </c>
      <c r="E214" s="43" t="str">
        <f>'T01 revisión'!D210</f>
        <v>C03</v>
      </c>
      <c r="F214" s="43" t="str">
        <f>'T01 revisión'!E210</f>
        <v>anglófono (Jamaica)</v>
      </c>
      <c r="G214" s="43" t="str">
        <f>'T01 revisión'!H210</f>
        <v>función territorial no demostrada</v>
      </c>
      <c r="H214" s="45" t="str">
        <f t="shared" si="36"/>
        <v>A</v>
      </c>
      <c r="I214" s="45"/>
      <c r="J214" s="45" t="str">
        <f t="shared" si="37"/>
        <v>GPT + muestra Claude/humana</v>
      </c>
      <c r="K214" s="43"/>
      <c r="L214" s="43"/>
      <c r="M214" s="43"/>
      <c r="N214" s="43"/>
      <c r="O214" s="43"/>
      <c r="P214" s="43"/>
      <c r="Q214" s="43"/>
      <c r="R214" s="43"/>
      <c r="S214" s="43"/>
      <c r="T214" s="43"/>
      <c r="U214" s="43"/>
      <c r="V214" s="43"/>
      <c r="W214" s="43"/>
      <c r="X214" s="43"/>
      <c r="Y214" s="43"/>
      <c r="Z214" s="43"/>
      <c r="AA214" s="43"/>
      <c r="AB214" s="43"/>
      <c r="AC214" s="45" t="str">
        <f t="shared" si="38"/>
        <v>pendiente</v>
      </c>
      <c r="AD214" s="45" t="str">
        <f t="shared" si="39"/>
        <v>pendiente</v>
      </c>
      <c r="AE214" s="45" t="str">
        <f t="shared" si="40"/>
        <v>pendiente</v>
      </c>
      <c r="AF214" s="45" t="str">
        <f t="shared" si="41"/>
        <v>pendiente</v>
      </c>
      <c r="AG214" s="45" t="str">
        <f t="shared" si="42"/>
        <v>insuficiente</v>
      </c>
      <c r="AH214" s="45" t="str">
        <f t="shared" si="43"/>
        <v>pendiente</v>
      </c>
      <c r="AI214" s="45" t="str">
        <f t="shared" si="44"/>
        <v>NO</v>
      </c>
      <c r="AJ214" s="45" t="str">
        <f t="shared" si="45"/>
        <v>NO</v>
      </c>
      <c r="AK214" s="45" t="str">
        <f t="shared" si="46"/>
        <v>NO</v>
      </c>
      <c r="AL214" s="45"/>
      <c r="AM214" s="45"/>
      <c r="AN214" s="45"/>
      <c r="AO214" s="49"/>
      <c r="AP214" s="45"/>
      <c r="AQ214" s="45"/>
      <c r="AR214" s="45" t="str">
        <f t="shared" si="47"/>
        <v>NO</v>
      </c>
      <c r="AS214" s="43"/>
    </row>
    <row r="215" spans="1:45" ht="44" customHeight="1">
      <c r="A215" s="45">
        <v>207</v>
      </c>
      <c r="B215" s="43" t="str">
        <f>'T01 revisión'!A211</f>
        <v>rtsmithmatrifocal</v>
      </c>
      <c r="C215" s="43" t="str">
        <f>'T01 revisión'!B211</f>
        <v>The Matrifocal Family: Power, Pluralism and Politics</v>
      </c>
      <c r="D215" s="43" t="str">
        <f>'T01 revisión'!C211</f>
        <v>Raymond T. Smith</v>
      </c>
      <c r="E215" s="43" t="str">
        <f>'T01 revisión'!D211</f>
        <v>B01</v>
      </c>
      <c r="F215" s="43" t="str">
        <f>'T01 revisión'!E211</f>
        <v>anglófono (R.U./Guyana)</v>
      </c>
      <c r="G215" s="43" t="str">
        <f>'T01 revisión'!H211</f>
        <v>varias procedencias o territorios; abreviaturas por normalizar; función territorial no demostrada</v>
      </c>
      <c r="H215" s="45" t="str">
        <f t="shared" si="36"/>
        <v>B</v>
      </c>
      <c r="I215" s="45"/>
      <c r="J215" s="45" t="str">
        <f t="shared" si="37"/>
        <v>GPT + Claude ciegos; control abreviado</v>
      </c>
      <c r="K215" s="43"/>
      <c r="L215" s="43"/>
      <c r="M215" s="43"/>
      <c r="N215" s="43"/>
      <c r="O215" s="43"/>
      <c r="P215" s="43"/>
      <c r="Q215" s="43"/>
      <c r="R215" s="43"/>
      <c r="S215" s="43"/>
      <c r="T215" s="43"/>
      <c r="U215" s="43"/>
      <c r="V215" s="43"/>
      <c r="W215" s="43"/>
      <c r="X215" s="43"/>
      <c r="Y215" s="43"/>
      <c r="Z215" s="43"/>
      <c r="AA215" s="43"/>
      <c r="AB215" s="43"/>
      <c r="AC215" s="45" t="str">
        <f t="shared" si="38"/>
        <v>pendiente</v>
      </c>
      <c r="AD215" s="45" t="str">
        <f t="shared" si="39"/>
        <v>pendiente</v>
      </c>
      <c r="AE215" s="45" t="str">
        <f t="shared" si="40"/>
        <v>pendiente</v>
      </c>
      <c r="AF215" s="45" t="str">
        <f t="shared" si="41"/>
        <v>pendiente</v>
      </c>
      <c r="AG215" s="45" t="str">
        <f t="shared" si="42"/>
        <v>insuficiente</v>
      </c>
      <c r="AH215" s="45" t="str">
        <f t="shared" si="43"/>
        <v>pendiente</v>
      </c>
      <c r="AI215" s="45" t="str">
        <f t="shared" si="44"/>
        <v>SI</v>
      </c>
      <c r="AJ215" s="45" t="str">
        <f t="shared" si="45"/>
        <v>abreviado</v>
      </c>
      <c r="AK215" s="45" t="str">
        <f t="shared" si="46"/>
        <v>NO</v>
      </c>
      <c r="AL215" s="45"/>
      <c r="AM215" s="45"/>
      <c r="AN215" s="45"/>
      <c r="AO215" s="49"/>
      <c r="AP215" s="45"/>
      <c r="AQ215" s="45"/>
      <c r="AR215" s="45" t="str">
        <f t="shared" si="47"/>
        <v>NO</v>
      </c>
      <c r="AS215" s="43"/>
    </row>
    <row r="216" spans="1:45" ht="44" customHeight="1">
      <c r="A216" s="45">
        <v>208</v>
      </c>
      <c r="B216" s="43" t="str">
        <f>'T01 revisión'!A212</f>
        <v>clarkemymother</v>
      </c>
      <c r="C216" s="43" t="str">
        <f>'T01 revisión'!B212</f>
        <v>My Mother Who Fathered Me: A Study of the Families in Three Selected Communities of Jamaica</v>
      </c>
      <c r="D216" s="43" t="str">
        <f>'T01 revisión'!C212</f>
        <v>Edith Clarke</v>
      </c>
      <c r="E216" s="43" t="str">
        <f>'T01 revisión'!D212</f>
        <v>B01</v>
      </c>
      <c r="F216" s="43" t="str">
        <f>'T01 revisión'!E212</f>
        <v>anglófono (Jamaica)</v>
      </c>
      <c r="G216" s="43" t="str">
        <f>'T01 revisión'!H212</f>
        <v>función territorial no demostrada</v>
      </c>
      <c r="H216" s="45" t="str">
        <f t="shared" si="36"/>
        <v>A</v>
      </c>
      <c r="I216" s="45"/>
      <c r="J216" s="45" t="str">
        <f t="shared" si="37"/>
        <v>GPT + muestra Claude/humana</v>
      </c>
      <c r="K216" s="43"/>
      <c r="L216" s="43"/>
      <c r="M216" s="43"/>
      <c r="N216" s="43"/>
      <c r="O216" s="43"/>
      <c r="P216" s="43"/>
      <c r="Q216" s="43"/>
      <c r="R216" s="43"/>
      <c r="S216" s="43"/>
      <c r="T216" s="43"/>
      <c r="U216" s="43"/>
      <c r="V216" s="43"/>
      <c r="W216" s="43"/>
      <c r="X216" s="43"/>
      <c r="Y216" s="43"/>
      <c r="Z216" s="43"/>
      <c r="AA216" s="43"/>
      <c r="AB216" s="43"/>
      <c r="AC216" s="45" t="str">
        <f t="shared" si="38"/>
        <v>pendiente</v>
      </c>
      <c r="AD216" s="45" t="str">
        <f t="shared" si="39"/>
        <v>pendiente</v>
      </c>
      <c r="AE216" s="45" t="str">
        <f t="shared" si="40"/>
        <v>pendiente</v>
      </c>
      <c r="AF216" s="45" t="str">
        <f t="shared" si="41"/>
        <v>pendiente</v>
      </c>
      <c r="AG216" s="45" t="str">
        <f t="shared" si="42"/>
        <v>insuficiente</v>
      </c>
      <c r="AH216" s="45" t="str">
        <f t="shared" si="43"/>
        <v>pendiente</v>
      </c>
      <c r="AI216" s="45" t="str">
        <f t="shared" si="44"/>
        <v>NO</v>
      </c>
      <c r="AJ216" s="45" t="str">
        <f t="shared" si="45"/>
        <v>NO</v>
      </c>
      <c r="AK216" s="45" t="str">
        <f t="shared" si="46"/>
        <v>NO</v>
      </c>
      <c r="AL216" s="45"/>
      <c r="AM216" s="45"/>
      <c r="AN216" s="45"/>
      <c r="AO216" s="49"/>
      <c r="AP216" s="45"/>
      <c r="AQ216" s="45"/>
      <c r="AR216" s="45" t="str">
        <f t="shared" si="47"/>
        <v>NO</v>
      </c>
      <c r="AS216" s="43"/>
    </row>
    <row r="217" spans="1:45" ht="44" customHeight="1">
      <c r="A217" s="45">
        <v>209</v>
      </c>
      <c r="B217" s="43" t="str">
        <f>'T01 revisión'!A213</f>
        <v>barrowfamily</v>
      </c>
      <c r="C217" s="43" t="str">
        <f>'T01 revisión'!B213</f>
        <v>Family in the Caribbean: Themes and Perspectives</v>
      </c>
      <c r="D217" s="43" t="str">
        <f>'T01 revisión'!C213</f>
        <v>Christine Barrow</v>
      </c>
      <c r="E217" s="43" t="str">
        <f>'T01 revisión'!D213</f>
        <v>B01</v>
      </c>
      <c r="F217" s="43" t="str">
        <f>'T01 revisión'!E213</f>
        <v>anglófono (Barbados)</v>
      </c>
      <c r="G217" s="43" t="str">
        <f>'T01 revisión'!H213</f>
        <v>función territorial no demostrada</v>
      </c>
      <c r="H217" s="45" t="str">
        <f t="shared" si="36"/>
        <v>A</v>
      </c>
      <c r="I217" s="45"/>
      <c r="J217" s="45" t="str">
        <f t="shared" si="37"/>
        <v>GPT + muestra Claude/humana</v>
      </c>
      <c r="K217" s="43"/>
      <c r="L217" s="43"/>
      <c r="M217" s="43"/>
      <c r="N217" s="43"/>
      <c r="O217" s="43"/>
      <c r="P217" s="43"/>
      <c r="Q217" s="43"/>
      <c r="R217" s="43"/>
      <c r="S217" s="43"/>
      <c r="T217" s="43"/>
      <c r="U217" s="43"/>
      <c r="V217" s="43"/>
      <c r="W217" s="43"/>
      <c r="X217" s="43"/>
      <c r="Y217" s="43"/>
      <c r="Z217" s="43"/>
      <c r="AA217" s="43"/>
      <c r="AB217" s="43"/>
      <c r="AC217" s="45" t="str">
        <f t="shared" si="38"/>
        <v>pendiente</v>
      </c>
      <c r="AD217" s="45" t="str">
        <f t="shared" si="39"/>
        <v>pendiente</v>
      </c>
      <c r="AE217" s="45" t="str">
        <f t="shared" si="40"/>
        <v>pendiente</v>
      </c>
      <c r="AF217" s="45" t="str">
        <f t="shared" si="41"/>
        <v>pendiente</v>
      </c>
      <c r="AG217" s="45" t="str">
        <f t="shared" si="42"/>
        <v>insuficiente</v>
      </c>
      <c r="AH217" s="45" t="str">
        <f t="shared" si="43"/>
        <v>pendiente</v>
      </c>
      <c r="AI217" s="45" t="str">
        <f t="shared" si="44"/>
        <v>NO</v>
      </c>
      <c r="AJ217" s="45" t="str">
        <f t="shared" si="45"/>
        <v>NO</v>
      </c>
      <c r="AK217" s="45" t="str">
        <f t="shared" si="46"/>
        <v>NO</v>
      </c>
      <c r="AL217" s="45"/>
      <c r="AM217" s="45"/>
      <c r="AN217" s="45"/>
      <c r="AO217" s="49"/>
      <c r="AP217" s="45"/>
      <c r="AQ217" s="45"/>
      <c r="AR217" s="45" t="str">
        <f t="shared" si="47"/>
        <v>NO</v>
      </c>
      <c r="AS217" s="43"/>
    </row>
    <row r="218" spans="1:45" ht="44" customHeight="1">
      <c r="A218" s="45">
        <v>210</v>
      </c>
      <c r="B218" s="43" t="str">
        <f>'T01 revisión'!A214</f>
        <v>mintzpricebirth</v>
      </c>
      <c r="C218" s="43" t="str">
        <f>'T01 revisión'!B214</f>
        <v>The Birth of African-American Culture: An Anthropological Perspective</v>
      </c>
      <c r="D218" s="43" t="str">
        <f>'T01 revisión'!C214</f>
        <v>Sidney W. Mintz y Richard Price</v>
      </c>
      <c r="E218" s="43" t="str">
        <f>'T01 revisión'!D214</f>
        <v>B04</v>
      </c>
      <c r="F218" s="43" t="str">
        <f>'T01 revisión'!E214</f>
        <v>anglófono (EE.UU.)</v>
      </c>
      <c r="G218" s="43" t="str">
        <f>'T01 revisión'!H214</f>
        <v>abreviaturas por normalizar; función territorial no demostrada</v>
      </c>
      <c r="H218" s="45" t="str">
        <f t="shared" si="36"/>
        <v>A</v>
      </c>
      <c r="I218" s="45"/>
      <c r="J218" s="45" t="str">
        <f t="shared" si="37"/>
        <v>GPT + muestra Claude/humana</v>
      </c>
      <c r="K218" s="43"/>
      <c r="L218" s="43"/>
      <c r="M218" s="43"/>
      <c r="N218" s="43"/>
      <c r="O218" s="43"/>
      <c r="P218" s="43"/>
      <c r="Q218" s="43"/>
      <c r="R218" s="43"/>
      <c r="S218" s="43"/>
      <c r="T218" s="43"/>
      <c r="U218" s="43"/>
      <c r="V218" s="43"/>
      <c r="W218" s="43"/>
      <c r="X218" s="43"/>
      <c r="Y218" s="43"/>
      <c r="Z218" s="43"/>
      <c r="AA218" s="43"/>
      <c r="AB218" s="43"/>
      <c r="AC218" s="45" t="str">
        <f t="shared" si="38"/>
        <v>pendiente</v>
      </c>
      <c r="AD218" s="45" t="str">
        <f t="shared" si="39"/>
        <v>pendiente</v>
      </c>
      <c r="AE218" s="45" t="str">
        <f t="shared" si="40"/>
        <v>pendiente</v>
      </c>
      <c r="AF218" s="45" t="str">
        <f t="shared" si="41"/>
        <v>pendiente</v>
      </c>
      <c r="AG218" s="45" t="str">
        <f t="shared" si="42"/>
        <v>insuficiente</v>
      </c>
      <c r="AH218" s="45" t="str">
        <f t="shared" si="43"/>
        <v>pendiente</v>
      </c>
      <c r="AI218" s="45" t="str">
        <f t="shared" si="44"/>
        <v>SI</v>
      </c>
      <c r="AJ218" s="45" t="str">
        <f t="shared" si="45"/>
        <v>muestra</v>
      </c>
      <c r="AK218" s="45" t="str">
        <f t="shared" si="46"/>
        <v>NO</v>
      </c>
      <c r="AL218" s="45"/>
      <c r="AM218" s="45"/>
      <c r="AN218" s="45"/>
      <c r="AO218" s="49"/>
      <c r="AP218" s="45"/>
      <c r="AQ218" s="45"/>
      <c r="AR218" s="45" t="str">
        <f t="shared" si="47"/>
        <v>NO</v>
      </c>
      <c r="AS218" s="43"/>
    </row>
    <row r="219" spans="1:45" ht="44" customHeight="1">
      <c r="A219" s="45">
        <v>211</v>
      </c>
      <c r="B219" s="43" t="str">
        <f>'T01 revisión'!A215</f>
        <v>trouillottransformaciones</v>
      </c>
      <c r="C219" s="43" t="str">
        <f>'T01 revisión'!B215</f>
        <v>Transformaciones globales: la antropología y el mundo moderno (Global Transformations)</v>
      </c>
      <c r="D219" s="43" t="str">
        <f>'T01 revisión'!C215</f>
        <v>Michel-Rolph Trouillot</v>
      </c>
      <c r="E219" s="43" t="str">
        <f>'T01 revisión'!D215</f>
        <v>C04</v>
      </c>
      <c r="F219" s="43" t="str">
        <f>'T01 revisión'!E215</f>
        <v>francófono (Haití) / anglófono</v>
      </c>
      <c r="G219" s="43" t="str">
        <f>'T01 revisión'!H215</f>
        <v>múltiples lenguas; función territorial no demostrada</v>
      </c>
      <c r="H219" s="45" t="str">
        <f t="shared" si="36"/>
        <v>B</v>
      </c>
      <c r="I219" s="45"/>
      <c r="J219" s="45" t="str">
        <f t="shared" si="37"/>
        <v>GPT + Claude ciegos; control abreviado</v>
      </c>
      <c r="K219" s="43"/>
      <c r="L219" s="43"/>
      <c r="M219" s="43"/>
      <c r="N219" s="43"/>
      <c r="O219" s="43"/>
      <c r="P219" s="43"/>
      <c r="Q219" s="43"/>
      <c r="R219" s="43"/>
      <c r="S219" s="43"/>
      <c r="T219" s="43"/>
      <c r="U219" s="43"/>
      <c r="V219" s="43"/>
      <c r="W219" s="43"/>
      <c r="X219" s="43"/>
      <c r="Y219" s="43"/>
      <c r="Z219" s="43"/>
      <c r="AA219" s="43"/>
      <c r="AB219" s="43"/>
      <c r="AC219" s="45" t="str">
        <f t="shared" si="38"/>
        <v>pendiente</v>
      </c>
      <c r="AD219" s="45" t="str">
        <f t="shared" si="39"/>
        <v>pendiente</v>
      </c>
      <c r="AE219" s="45" t="str">
        <f t="shared" si="40"/>
        <v>pendiente</v>
      </c>
      <c r="AF219" s="45" t="str">
        <f t="shared" si="41"/>
        <v>pendiente</v>
      </c>
      <c r="AG219" s="45" t="str">
        <f t="shared" si="42"/>
        <v>insuficiente</v>
      </c>
      <c r="AH219" s="45" t="str">
        <f t="shared" si="43"/>
        <v>pendiente</v>
      </c>
      <c r="AI219" s="45" t="str">
        <f t="shared" si="44"/>
        <v>SI</v>
      </c>
      <c r="AJ219" s="45" t="str">
        <f t="shared" si="45"/>
        <v>abreviado</v>
      </c>
      <c r="AK219" s="45" t="str">
        <f t="shared" si="46"/>
        <v>NO</v>
      </c>
      <c r="AL219" s="45"/>
      <c r="AM219" s="45"/>
      <c r="AN219" s="45"/>
      <c r="AO219" s="49"/>
      <c r="AP219" s="45"/>
      <c r="AQ219" s="45"/>
      <c r="AR219" s="45" t="str">
        <f t="shared" si="47"/>
        <v>NO</v>
      </c>
      <c r="AS219" s="43"/>
    </row>
    <row r="220" spans="1:45" ht="44" customHeight="1">
      <c r="A220" s="45">
        <v>212</v>
      </c>
      <c r="B220" s="43" t="str">
        <f>'T01 revisión'!A216</f>
        <v>morenofraginals</v>
      </c>
      <c r="C220" s="43" t="str">
        <f>'T01 revisión'!B216</f>
        <v>El ingenio: complejo económico social cubano del azúcar</v>
      </c>
      <c r="D220" s="43" t="str">
        <f>'T01 revisión'!C216</f>
        <v>Manuel Moreno Fraginals</v>
      </c>
      <c r="E220" s="43" t="str">
        <f>'T01 revisión'!D216</f>
        <v>A01</v>
      </c>
      <c r="F220" s="43" t="str">
        <f>'T01 revisión'!E216</f>
        <v>hispano (Cuba)</v>
      </c>
      <c r="G220" s="43" t="str">
        <f>'T01 revisión'!H216</f>
        <v>función territorial no demostrada</v>
      </c>
      <c r="H220" s="45" t="str">
        <f t="shared" si="36"/>
        <v>A</v>
      </c>
      <c r="I220" s="45"/>
      <c r="J220" s="45" t="str">
        <f t="shared" si="37"/>
        <v>GPT + muestra Claude/humana</v>
      </c>
      <c r="K220" s="43"/>
      <c r="L220" s="43"/>
      <c r="M220" s="43"/>
      <c r="N220" s="43"/>
      <c r="O220" s="43"/>
      <c r="P220" s="43"/>
      <c r="Q220" s="43"/>
      <c r="R220" s="43"/>
      <c r="S220" s="43"/>
      <c r="T220" s="43"/>
      <c r="U220" s="43"/>
      <c r="V220" s="43"/>
      <c r="W220" s="43"/>
      <c r="X220" s="43"/>
      <c r="Y220" s="43"/>
      <c r="Z220" s="43"/>
      <c r="AA220" s="43"/>
      <c r="AB220" s="43"/>
      <c r="AC220" s="45" t="str">
        <f t="shared" si="38"/>
        <v>pendiente</v>
      </c>
      <c r="AD220" s="45" t="str">
        <f t="shared" si="39"/>
        <v>pendiente</v>
      </c>
      <c r="AE220" s="45" t="str">
        <f t="shared" si="40"/>
        <v>pendiente</v>
      </c>
      <c r="AF220" s="45" t="str">
        <f t="shared" si="41"/>
        <v>pendiente</v>
      </c>
      <c r="AG220" s="45" t="str">
        <f t="shared" si="42"/>
        <v>insuficiente</v>
      </c>
      <c r="AH220" s="45" t="str">
        <f t="shared" si="43"/>
        <v>pendiente</v>
      </c>
      <c r="AI220" s="45" t="str">
        <f t="shared" si="44"/>
        <v>NO</v>
      </c>
      <c r="AJ220" s="45" t="str">
        <f t="shared" si="45"/>
        <v>NO</v>
      </c>
      <c r="AK220" s="45" t="str">
        <f t="shared" si="46"/>
        <v>NO</v>
      </c>
      <c r="AL220" s="45"/>
      <c r="AM220" s="45"/>
      <c r="AN220" s="45"/>
      <c r="AO220" s="49"/>
      <c r="AP220" s="45"/>
      <c r="AQ220" s="45"/>
      <c r="AR220" s="45" t="str">
        <f t="shared" si="47"/>
        <v>NO</v>
      </c>
      <c r="AS220" s="43"/>
    </row>
    <row r="221" spans="1:45" ht="44" customHeight="1">
      <c r="A221" s="45">
        <v>213</v>
      </c>
      <c r="B221" s="43" t="str">
        <f>'T01 revisión'!A217</f>
        <v>meeks_postcolonial</v>
      </c>
      <c r="C221" s="43" t="str">
        <f>'T01 revisión'!B217</f>
        <v>After the Postcolonial Caribbean: Memory, Imagination, Hope</v>
      </c>
      <c r="D221" s="43" t="str">
        <f>'T01 revisión'!C217</f>
        <v>Brian Meeks</v>
      </c>
      <c r="E221" s="43" t="str">
        <f>'T01 revisión'!D217</f>
        <v>B03</v>
      </c>
      <c r="F221" s="43" t="str">
        <f>'T01 revisión'!E217</f>
        <v>anglófono (Jamaica)</v>
      </c>
      <c r="G221" s="43" t="str">
        <f>'T01 revisión'!H217</f>
        <v>función territorial no demostrada</v>
      </c>
      <c r="H221" s="45" t="str">
        <f t="shared" si="36"/>
        <v>A</v>
      </c>
      <c r="I221" s="45"/>
      <c r="J221" s="45" t="str">
        <f t="shared" si="37"/>
        <v>GPT + muestra Claude/humana</v>
      </c>
      <c r="K221" s="43"/>
      <c r="L221" s="43"/>
      <c r="M221" s="43"/>
      <c r="N221" s="43"/>
      <c r="O221" s="43"/>
      <c r="P221" s="43"/>
      <c r="Q221" s="43"/>
      <c r="R221" s="43"/>
      <c r="S221" s="43"/>
      <c r="T221" s="43"/>
      <c r="U221" s="43"/>
      <c r="V221" s="43"/>
      <c r="W221" s="43"/>
      <c r="X221" s="43"/>
      <c r="Y221" s="43"/>
      <c r="Z221" s="43"/>
      <c r="AA221" s="43"/>
      <c r="AB221" s="43"/>
      <c r="AC221" s="45" t="str">
        <f t="shared" si="38"/>
        <v>pendiente</v>
      </c>
      <c r="AD221" s="45" t="str">
        <f t="shared" si="39"/>
        <v>pendiente</v>
      </c>
      <c r="AE221" s="45" t="str">
        <f t="shared" si="40"/>
        <v>pendiente</v>
      </c>
      <c r="AF221" s="45" t="str">
        <f t="shared" si="41"/>
        <v>pendiente</v>
      </c>
      <c r="AG221" s="45" t="str">
        <f t="shared" si="42"/>
        <v>insuficiente</v>
      </c>
      <c r="AH221" s="45" t="str">
        <f t="shared" si="43"/>
        <v>pendiente</v>
      </c>
      <c r="AI221" s="45" t="str">
        <f t="shared" si="44"/>
        <v>NO</v>
      </c>
      <c r="AJ221" s="45" t="str">
        <f t="shared" si="45"/>
        <v>NO</v>
      </c>
      <c r="AK221" s="45" t="str">
        <f t="shared" si="46"/>
        <v>NO</v>
      </c>
      <c r="AL221" s="45"/>
      <c r="AM221" s="45"/>
      <c r="AN221" s="45"/>
      <c r="AO221" s="49"/>
      <c r="AP221" s="45"/>
      <c r="AQ221" s="45"/>
      <c r="AR221" s="45" t="str">
        <f t="shared" si="47"/>
        <v>NO</v>
      </c>
      <c r="AS221" s="43"/>
    </row>
    <row r="222" spans="1:45" ht="44" customHeight="1">
      <c r="A222" s="45">
        <v>214</v>
      </c>
      <c r="B222" s="43" t="str">
        <f>'T01 revisión'!A218</f>
        <v>oostindiedecolonising</v>
      </c>
      <c r="C222" s="43" t="str">
        <f>'T01 revisión'!B218</f>
        <v>Decolonising the Caribbean: Dutch Policies in a Comparative Perspective</v>
      </c>
      <c r="D222" s="43" t="str">
        <f>'T01 revisión'!C218</f>
        <v>Gert Oostindie e Inge Klinkers</v>
      </c>
      <c r="E222" s="43" t="str">
        <f>'T01 revisión'!D218</f>
        <v>C02</v>
      </c>
      <c r="F222" s="43" t="str">
        <f>'T01 revisión'!E218</f>
        <v>neerlandés (Países Bajos/Caribe)</v>
      </c>
      <c r="G222" s="43" t="str">
        <f>'T01 revisión'!H218</f>
        <v>varias procedencias o territorios; función territorial no demostrada</v>
      </c>
      <c r="H222" s="45" t="str">
        <f t="shared" si="36"/>
        <v>B</v>
      </c>
      <c r="I222" s="45"/>
      <c r="J222" s="45" t="str">
        <f t="shared" si="37"/>
        <v>GPT + Claude ciegos; control abreviado</v>
      </c>
      <c r="K222" s="43"/>
      <c r="L222" s="43"/>
      <c r="M222" s="43"/>
      <c r="N222" s="43"/>
      <c r="O222" s="43"/>
      <c r="P222" s="43"/>
      <c r="Q222" s="43"/>
      <c r="R222" s="43"/>
      <c r="S222" s="43"/>
      <c r="T222" s="43"/>
      <c r="U222" s="43"/>
      <c r="V222" s="43"/>
      <c r="W222" s="43"/>
      <c r="X222" s="43"/>
      <c r="Y222" s="43"/>
      <c r="Z222" s="43"/>
      <c r="AA222" s="43"/>
      <c r="AB222" s="43"/>
      <c r="AC222" s="45" t="str">
        <f t="shared" si="38"/>
        <v>pendiente</v>
      </c>
      <c r="AD222" s="45" t="str">
        <f t="shared" si="39"/>
        <v>pendiente</v>
      </c>
      <c r="AE222" s="45" t="str">
        <f t="shared" si="40"/>
        <v>pendiente</v>
      </c>
      <c r="AF222" s="45" t="str">
        <f t="shared" si="41"/>
        <v>pendiente</v>
      </c>
      <c r="AG222" s="45" t="str">
        <f t="shared" si="42"/>
        <v>insuficiente</v>
      </c>
      <c r="AH222" s="45" t="str">
        <f t="shared" si="43"/>
        <v>pendiente</v>
      </c>
      <c r="AI222" s="45" t="str">
        <f t="shared" si="44"/>
        <v>SI</v>
      </c>
      <c r="AJ222" s="45" t="str">
        <f t="shared" si="45"/>
        <v>abreviado</v>
      </c>
      <c r="AK222" s="45" t="str">
        <f t="shared" si="46"/>
        <v>NO</v>
      </c>
      <c r="AL222" s="45"/>
      <c r="AM222" s="45"/>
      <c r="AN222" s="45"/>
      <c r="AO222" s="49"/>
      <c r="AP222" s="45"/>
      <c r="AQ222" s="45"/>
      <c r="AR222" s="45" t="str">
        <f t="shared" si="47"/>
        <v>NO</v>
      </c>
      <c r="AS222" s="43"/>
    </row>
    <row r="223" spans="1:45" ht="44" customHeight="1">
      <c r="A223" s="45">
        <v>215</v>
      </c>
      <c r="B223" s="43" t="str">
        <f>'T01 revisión'!A219</f>
        <v>kloosterrealm</v>
      </c>
      <c r="C223" s="43" t="str">
        <f>'T01 revisión'!B219</f>
        <v>Realm between Empires: The Second Dutch Atlantic, 1680-1815</v>
      </c>
      <c r="D223" s="43" t="str">
        <f>'T01 revisión'!C219</f>
        <v>Wim Klooster y Gert Oostindie</v>
      </c>
      <c r="E223" s="43" t="str">
        <f>'T01 revisión'!D219</f>
        <v>DE01</v>
      </c>
      <c r="F223" s="43" t="str">
        <f>'T01 revisión'!E219</f>
        <v>neerlandés (Países Bajos/Caribe)</v>
      </c>
      <c r="G223" s="43" t="str">
        <f>'T01 revisión'!H219</f>
        <v>varias procedencias o territorios; función territorial no demostrada</v>
      </c>
      <c r="H223" s="45" t="str">
        <f t="shared" si="36"/>
        <v>B</v>
      </c>
      <c r="I223" s="45"/>
      <c r="J223" s="45" t="str">
        <f t="shared" si="37"/>
        <v>GPT + Claude ciegos; control abreviado</v>
      </c>
      <c r="K223" s="43"/>
      <c r="L223" s="43"/>
      <c r="M223" s="43"/>
      <c r="N223" s="43"/>
      <c r="O223" s="43"/>
      <c r="P223" s="43"/>
      <c r="Q223" s="43"/>
      <c r="R223" s="43"/>
      <c r="S223" s="43"/>
      <c r="T223" s="43"/>
      <c r="U223" s="43"/>
      <c r="V223" s="43"/>
      <c r="W223" s="43"/>
      <c r="X223" s="43"/>
      <c r="Y223" s="43"/>
      <c r="Z223" s="43"/>
      <c r="AA223" s="43"/>
      <c r="AB223" s="43"/>
      <c r="AC223" s="45" t="str">
        <f t="shared" si="38"/>
        <v>pendiente</v>
      </c>
      <c r="AD223" s="45" t="str">
        <f t="shared" si="39"/>
        <v>pendiente</v>
      </c>
      <c r="AE223" s="45" t="str">
        <f t="shared" si="40"/>
        <v>pendiente</v>
      </c>
      <c r="AF223" s="45" t="str">
        <f t="shared" si="41"/>
        <v>pendiente</v>
      </c>
      <c r="AG223" s="45" t="str">
        <f t="shared" si="42"/>
        <v>insuficiente</v>
      </c>
      <c r="AH223" s="45" t="str">
        <f t="shared" si="43"/>
        <v>pendiente</v>
      </c>
      <c r="AI223" s="45" t="str">
        <f t="shared" si="44"/>
        <v>SI</v>
      </c>
      <c r="AJ223" s="45" t="str">
        <f t="shared" si="45"/>
        <v>abreviado</v>
      </c>
      <c r="AK223" s="45" t="str">
        <f t="shared" si="46"/>
        <v>NO</v>
      </c>
      <c r="AL223" s="45"/>
      <c r="AM223" s="45"/>
      <c r="AN223" s="45"/>
      <c r="AO223" s="49"/>
      <c r="AP223" s="45"/>
      <c r="AQ223" s="45"/>
      <c r="AR223" s="45" t="str">
        <f t="shared" si="47"/>
        <v>NO</v>
      </c>
      <c r="AS223" s="43"/>
    </row>
    <row r="224" spans="1:45" ht="44" customHeight="1">
      <c r="A224" s="45">
        <v>216</v>
      </c>
      <c r="B224" s="43" t="str">
        <f>'T01 revisión'!A220</f>
        <v>hoeftesuriname</v>
      </c>
      <c r="C224" s="43" t="str">
        <f>'T01 revisión'!B220</f>
        <v>Suriname in the Long Twentieth Century: Domination, Contestation, Globalization</v>
      </c>
      <c r="D224" s="43" t="str">
        <f>'T01 revisión'!C220</f>
        <v>Rosemarijn Hoefte</v>
      </c>
      <c r="E224" s="43" t="str">
        <f>'T01 revisión'!D220</f>
        <v>B02</v>
      </c>
      <c r="F224" s="43" t="str">
        <f>'T01 revisión'!E220</f>
        <v>neerlandés (Países Bajos/Surinam)</v>
      </c>
      <c r="G224" s="43" t="str">
        <f>'T01 revisión'!H220</f>
        <v>varias procedencias o territorios; función territorial no demostrada</v>
      </c>
      <c r="H224" s="45" t="str">
        <f t="shared" si="36"/>
        <v>B</v>
      </c>
      <c r="I224" s="45"/>
      <c r="J224" s="45" t="str">
        <f t="shared" si="37"/>
        <v>GPT + Claude ciegos; control abreviado</v>
      </c>
      <c r="K224" s="43"/>
      <c r="L224" s="43"/>
      <c r="M224" s="43"/>
      <c r="N224" s="43"/>
      <c r="O224" s="43"/>
      <c r="P224" s="43"/>
      <c r="Q224" s="43"/>
      <c r="R224" s="43"/>
      <c r="S224" s="43"/>
      <c r="T224" s="43"/>
      <c r="U224" s="43"/>
      <c r="V224" s="43"/>
      <c r="W224" s="43"/>
      <c r="X224" s="43"/>
      <c r="Y224" s="43"/>
      <c r="Z224" s="43"/>
      <c r="AA224" s="43"/>
      <c r="AB224" s="43"/>
      <c r="AC224" s="45" t="str">
        <f t="shared" si="38"/>
        <v>pendiente</v>
      </c>
      <c r="AD224" s="45" t="str">
        <f t="shared" si="39"/>
        <v>pendiente</v>
      </c>
      <c r="AE224" s="45" t="str">
        <f t="shared" si="40"/>
        <v>pendiente</v>
      </c>
      <c r="AF224" s="45" t="str">
        <f t="shared" si="41"/>
        <v>pendiente</v>
      </c>
      <c r="AG224" s="45" t="str">
        <f t="shared" si="42"/>
        <v>insuficiente</v>
      </c>
      <c r="AH224" s="45" t="str">
        <f t="shared" si="43"/>
        <v>pendiente</v>
      </c>
      <c r="AI224" s="45" t="str">
        <f t="shared" si="44"/>
        <v>SI</v>
      </c>
      <c r="AJ224" s="45" t="str">
        <f t="shared" si="45"/>
        <v>abreviado</v>
      </c>
      <c r="AK224" s="45" t="str">
        <f t="shared" si="46"/>
        <v>NO</v>
      </c>
      <c r="AL224" s="45"/>
      <c r="AM224" s="45"/>
      <c r="AN224" s="45"/>
      <c r="AO224" s="49"/>
      <c r="AP224" s="45"/>
      <c r="AQ224" s="45"/>
      <c r="AR224" s="45" t="str">
        <f t="shared" si="47"/>
        <v>NO</v>
      </c>
      <c r="AS224" s="43"/>
    </row>
    <row r="225" spans="1:45" ht="44" customHeight="1">
      <c r="A225" s="45">
        <v>217</v>
      </c>
      <c r="B225" s="43" t="str">
        <f>'T01 revisión'!A221</f>
        <v>hoeftetrajectories</v>
      </c>
      <c r="C225" s="43" t="str">
        <f>'T01 revisión'!B221</f>
        <v>Post-Colonial Trajectories in the Caribbean: The Three Guianas</v>
      </c>
      <c r="D225" s="43" t="str">
        <f>'T01 revisión'!C221</f>
        <v>Rosemarijn Hoefte, Matthew L. Bishop y Peter Clegg (eds.)</v>
      </c>
      <c r="E225" s="43" t="str">
        <f>'T01 revisión'!D221</f>
        <v>C02</v>
      </c>
      <c r="F225" s="43" t="str">
        <f>'T01 revisión'!E221</f>
        <v>comparado (Guayanas)</v>
      </c>
      <c r="G225" s="43" t="str">
        <f>'T01 revisión'!H221</f>
        <v>sin lengua explícita; mezcla escala comparativa; función territorial no demostrada</v>
      </c>
      <c r="H225" s="45" t="str">
        <f t="shared" si="36"/>
        <v>C</v>
      </c>
      <c r="I225" s="45"/>
      <c r="J225" s="45" t="str">
        <f t="shared" si="37"/>
        <v>GPT + Claude ciegos; control humano obligatorio</v>
      </c>
      <c r="K225" s="43"/>
      <c r="L225" s="43"/>
      <c r="M225" s="43"/>
      <c r="N225" s="43"/>
      <c r="O225" s="43"/>
      <c r="P225" s="43"/>
      <c r="Q225" s="43"/>
      <c r="R225" s="43"/>
      <c r="S225" s="43"/>
      <c r="T225" s="43"/>
      <c r="U225" s="43"/>
      <c r="V225" s="43"/>
      <c r="W225" s="43"/>
      <c r="X225" s="43"/>
      <c r="Y225" s="43"/>
      <c r="Z225" s="43"/>
      <c r="AA225" s="43"/>
      <c r="AB225" s="43"/>
      <c r="AC225" s="45" t="str">
        <f t="shared" si="38"/>
        <v>pendiente</v>
      </c>
      <c r="AD225" s="45" t="str">
        <f t="shared" si="39"/>
        <v>pendiente</v>
      </c>
      <c r="AE225" s="45" t="str">
        <f t="shared" si="40"/>
        <v>pendiente</v>
      </c>
      <c r="AF225" s="45" t="str">
        <f t="shared" si="41"/>
        <v>pendiente</v>
      </c>
      <c r="AG225" s="45" t="str">
        <f t="shared" si="42"/>
        <v>insuficiente</v>
      </c>
      <c r="AH225" s="45" t="str">
        <f t="shared" si="43"/>
        <v>pendiente</v>
      </c>
      <c r="AI225" s="45" t="str">
        <f t="shared" si="44"/>
        <v>SI</v>
      </c>
      <c r="AJ225" s="45" t="str">
        <f t="shared" si="45"/>
        <v>obligatorio</v>
      </c>
      <c r="AK225" s="45" t="str">
        <f t="shared" si="46"/>
        <v>SI</v>
      </c>
      <c r="AL225" s="45"/>
      <c r="AM225" s="45"/>
      <c r="AN225" s="45"/>
      <c r="AO225" s="49"/>
      <c r="AP225" s="45"/>
      <c r="AQ225" s="45"/>
      <c r="AR225" s="45" t="str">
        <f t="shared" si="47"/>
        <v>NO</v>
      </c>
      <c r="AS225" s="43"/>
    </row>
    <row r="226" spans="1:45" ht="44" customHeight="1">
      <c r="A226" s="45">
        <v>218</v>
      </c>
      <c r="B226" s="43" t="str">
        <f>'T01 revisión'!A222</f>
        <v>bestlevitt</v>
      </c>
      <c r="C226" s="43" t="str">
        <f>'T01 revisión'!B222</f>
        <v>Essays on the Theory of Plantation Economy: A Historical and Institutional Approach to Caribbean Economic Development</v>
      </c>
      <c r="D226" s="43" t="str">
        <f>'T01 revisión'!C222</f>
        <v>Lloyd Best y Kari Polanyi Levitt</v>
      </c>
      <c r="E226" s="43" t="str">
        <f>'T01 revisión'!D222</f>
        <v>A01</v>
      </c>
      <c r="F226" s="43" t="str">
        <f>'T01 revisión'!E222</f>
        <v>anglófono (Trinidad/Canadá)</v>
      </c>
      <c r="G226" s="43" t="str">
        <f>'T01 revisión'!H222</f>
        <v>varias procedencias o territorios; función territorial no demostrada</v>
      </c>
      <c r="H226" s="45" t="str">
        <f t="shared" si="36"/>
        <v>B</v>
      </c>
      <c r="I226" s="45"/>
      <c r="J226" s="45" t="str">
        <f t="shared" si="37"/>
        <v>GPT + Claude ciegos; control abreviado</v>
      </c>
      <c r="K226" s="43"/>
      <c r="L226" s="43"/>
      <c r="M226" s="43"/>
      <c r="N226" s="43"/>
      <c r="O226" s="43"/>
      <c r="P226" s="43"/>
      <c r="Q226" s="43"/>
      <c r="R226" s="43"/>
      <c r="S226" s="43"/>
      <c r="T226" s="43"/>
      <c r="U226" s="43"/>
      <c r="V226" s="43"/>
      <c r="W226" s="43"/>
      <c r="X226" s="43"/>
      <c r="Y226" s="43"/>
      <c r="Z226" s="43"/>
      <c r="AA226" s="43"/>
      <c r="AB226" s="43"/>
      <c r="AC226" s="45" t="str">
        <f t="shared" si="38"/>
        <v>pendiente</v>
      </c>
      <c r="AD226" s="45" t="str">
        <f t="shared" si="39"/>
        <v>pendiente</v>
      </c>
      <c r="AE226" s="45" t="str">
        <f t="shared" si="40"/>
        <v>pendiente</v>
      </c>
      <c r="AF226" s="45" t="str">
        <f t="shared" si="41"/>
        <v>pendiente</v>
      </c>
      <c r="AG226" s="45" t="str">
        <f t="shared" si="42"/>
        <v>insuficiente</v>
      </c>
      <c r="AH226" s="45" t="str">
        <f t="shared" si="43"/>
        <v>pendiente</v>
      </c>
      <c r="AI226" s="45" t="str">
        <f t="shared" si="44"/>
        <v>SI</v>
      </c>
      <c r="AJ226" s="45" t="str">
        <f t="shared" si="45"/>
        <v>abreviado</v>
      </c>
      <c r="AK226" s="45" t="str">
        <f t="shared" si="46"/>
        <v>NO</v>
      </c>
      <c r="AL226" s="45"/>
      <c r="AM226" s="45"/>
      <c r="AN226" s="45"/>
      <c r="AO226" s="49"/>
      <c r="AP226" s="45"/>
      <c r="AQ226" s="45"/>
      <c r="AR226" s="45" t="str">
        <f t="shared" si="47"/>
        <v>NO</v>
      </c>
      <c r="AS226" s="43"/>
    </row>
    <row r="227" spans="1:45" ht="44" customHeight="1">
      <c r="A227" s="45">
        <v>219</v>
      </c>
      <c r="B227" s="43" t="str">
        <f>'T01 revisión'!A223</f>
        <v>duboisturits</v>
      </c>
      <c r="C227" s="43" t="str">
        <f>'T01 revisión'!B223</f>
        <v>Freedom Roots: Histories from the Caribbean</v>
      </c>
      <c r="D227" s="43" t="str">
        <f>'T01 revisión'!C223</f>
        <v>Laurent Dubois y Richard Lee Turits</v>
      </c>
      <c r="E227" s="43" t="str">
        <f>'T01 revisión'!D223</f>
        <v>B03</v>
      </c>
      <c r="F227" s="43" t="str">
        <f>'T01 revisión'!E223</f>
        <v>anglófono (EE.UU.)</v>
      </c>
      <c r="G227" s="43" t="str">
        <f>'T01 revisión'!H223</f>
        <v>abreviaturas por normalizar; función territorial no demostrada</v>
      </c>
      <c r="H227" s="45" t="str">
        <f t="shared" si="36"/>
        <v>A</v>
      </c>
      <c r="I227" s="45"/>
      <c r="J227" s="45" t="str">
        <f t="shared" si="37"/>
        <v>GPT + muestra Claude/humana</v>
      </c>
      <c r="K227" s="43"/>
      <c r="L227" s="43"/>
      <c r="M227" s="43"/>
      <c r="N227" s="43"/>
      <c r="O227" s="43"/>
      <c r="P227" s="43"/>
      <c r="Q227" s="43"/>
      <c r="R227" s="43"/>
      <c r="S227" s="43"/>
      <c r="T227" s="43"/>
      <c r="U227" s="43"/>
      <c r="V227" s="43"/>
      <c r="W227" s="43"/>
      <c r="X227" s="43"/>
      <c r="Y227" s="43"/>
      <c r="Z227" s="43"/>
      <c r="AA227" s="43"/>
      <c r="AB227" s="43"/>
      <c r="AC227" s="45" t="str">
        <f t="shared" si="38"/>
        <v>pendiente</v>
      </c>
      <c r="AD227" s="45" t="str">
        <f t="shared" si="39"/>
        <v>pendiente</v>
      </c>
      <c r="AE227" s="45" t="str">
        <f t="shared" si="40"/>
        <v>pendiente</v>
      </c>
      <c r="AF227" s="45" t="str">
        <f t="shared" si="41"/>
        <v>pendiente</v>
      </c>
      <c r="AG227" s="45" t="str">
        <f t="shared" si="42"/>
        <v>insuficiente</v>
      </c>
      <c r="AH227" s="45" t="str">
        <f t="shared" si="43"/>
        <v>pendiente</v>
      </c>
      <c r="AI227" s="45" t="str">
        <f t="shared" si="44"/>
        <v>NO</v>
      </c>
      <c r="AJ227" s="45" t="str">
        <f t="shared" si="45"/>
        <v>NO</v>
      </c>
      <c r="AK227" s="45" t="str">
        <f t="shared" si="46"/>
        <v>NO</v>
      </c>
      <c r="AL227" s="45"/>
      <c r="AM227" s="45"/>
      <c r="AN227" s="45"/>
      <c r="AO227" s="49"/>
      <c r="AP227" s="45"/>
      <c r="AQ227" s="45"/>
      <c r="AR227" s="45" t="str">
        <f t="shared" si="47"/>
        <v>NO</v>
      </c>
      <c r="AS227" s="43"/>
    </row>
    <row r="228" spans="1:45" ht="44" customHeight="1">
      <c r="A228" s="45">
        <v>220</v>
      </c>
      <c r="B228" s="43" t="str">
        <f>'T01 revisión'!A224</f>
        <v>austinfearblack</v>
      </c>
      <c r="C228" s="43" t="str">
        <f>'T01 revisión'!B224</f>
        <v>Fear of a Black Nation: Race, Sex, and Security in Sixties Montreal</v>
      </c>
      <c r="D228" s="43" t="str">
        <f>'T01 revisión'!C224</f>
        <v>David Austin</v>
      </c>
      <c r="E228" s="43" t="str">
        <f>'T01 revisión'!D224</f>
        <v>B03</v>
      </c>
      <c r="F228" s="43" t="str">
        <f>'T01 revisión'!E224</f>
        <v>anglófono (Canadá/Antillas)</v>
      </c>
      <c r="G228" s="43" t="str">
        <f>'T01 revisión'!H224</f>
        <v>varias procedencias o territorios; función territorial no demostrada</v>
      </c>
      <c r="H228" s="45" t="str">
        <f t="shared" si="36"/>
        <v>B</v>
      </c>
      <c r="I228" s="45"/>
      <c r="J228" s="45" t="str">
        <f t="shared" si="37"/>
        <v>GPT + Claude ciegos; control abreviado</v>
      </c>
      <c r="K228" s="43"/>
      <c r="L228" s="43"/>
      <c r="M228" s="43"/>
      <c r="N228" s="43"/>
      <c r="O228" s="43"/>
      <c r="P228" s="43"/>
      <c r="Q228" s="43"/>
      <c r="R228" s="43"/>
      <c r="S228" s="43"/>
      <c r="T228" s="43"/>
      <c r="U228" s="43"/>
      <c r="V228" s="43"/>
      <c r="W228" s="43"/>
      <c r="X228" s="43"/>
      <c r="Y228" s="43"/>
      <c r="Z228" s="43"/>
      <c r="AA228" s="43"/>
      <c r="AB228" s="43"/>
      <c r="AC228" s="45" t="str">
        <f t="shared" si="38"/>
        <v>pendiente</v>
      </c>
      <c r="AD228" s="45" t="str">
        <f t="shared" si="39"/>
        <v>pendiente</v>
      </c>
      <c r="AE228" s="45" t="str">
        <f t="shared" si="40"/>
        <v>pendiente</v>
      </c>
      <c r="AF228" s="45" t="str">
        <f t="shared" si="41"/>
        <v>pendiente</v>
      </c>
      <c r="AG228" s="45" t="str">
        <f t="shared" si="42"/>
        <v>insuficiente</v>
      </c>
      <c r="AH228" s="45" t="str">
        <f t="shared" si="43"/>
        <v>pendiente</v>
      </c>
      <c r="AI228" s="45" t="str">
        <f t="shared" si="44"/>
        <v>SI</v>
      </c>
      <c r="AJ228" s="45" t="str">
        <f t="shared" si="45"/>
        <v>abreviado</v>
      </c>
      <c r="AK228" s="45" t="str">
        <f t="shared" si="46"/>
        <v>NO</v>
      </c>
      <c r="AL228" s="45"/>
      <c r="AM228" s="45"/>
      <c r="AN228" s="45"/>
      <c r="AO228" s="49"/>
      <c r="AP228" s="45"/>
      <c r="AQ228" s="45"/>
      <c r="AR228" s="45" t="str">
        <f t="shared" si="47"/>
        <v>NO</v>
      </c>
      <c r="AS228" s="43"/>
    </row>
    <row r="229" spans="1:45" ht="44" customHeight="1">
      <c r="A229" s="45">
        <v>221</v>
      </c>
      <c r="B229" s="43" t="str">
        <f>'T01 revisión'!A225</f>
        <v>puriradical</v>
      </c>
      <c r="C229" s="43" t="str">
        <f>'T01 revisión'!B225</f>
        <v>The Legacies of Caribbean Radical Politics</v>
      </c>
      <c r="D229" s="43" t="str">
        <f>'T01 revisión'!C225</f>
        <v>Shalini Puri (ed.)</v>
      </c>
      <c r="E229" s="43" t="str">
        <f>'T01 revisión'!D225</f>
        <v>B03</v>
      </c>
      <c r="F229" s="43" t="str">
        <f>'T01 revisión'!E225</f>
        <v>comparado (anglófono Caribe)</v>
      </c>
      <c r="G229" s="43" t="str">
        <f>'T01 revisión'!H225</f>
        <v>mezcla escala comparativa; función territorial no demostrada</v>
      </c>
      <c r="H229" s="45" t="str">
        <f t="shared" si="36"/>
        <v>C</v>
      </c>
      <c r="I229" s="45"/>
      <c r="J229" s="45" t="str">
        <f t="shared" si="37"/>
        <v>GPT + Claude ciegos; control humano obligatorio</v>
      </c>
      <c r="K229" s="43"/>
      <c r="L229" s="43"/>
      <c r="M229" s="43"/>
      <c r="N229" s="43"/>
      <c r="O229" s="43"/>
      <c r="P229" s="43"/>
      <c r="Q229" s="43"/>
      <c r="R229" s="43"/>
      <c r="S229" s="43"/>
      <c r="T229" s="43"/>
      <c r="U229" s="43"/>
      <c r="V229" s="43"/>
      <c r="W229" s="43"/>
      <c r="X229" s="43"/>
      <c r="Y229" s="43"/>
      <c r="Z229" s="43"/>
      <c r="AA229" s="43"/>
      <c r="AB229" s="43"/>
      <c r="AC229" s="45" t="str">
        <f t="shared" si="38"/>
        <v>pendiente</v>
      </c>
      <c r="AD229" s="45" t="str">
        <f t="shared" si="39"/>
        <v>pendiente</v>
      </c>
      <c r="AE229" s="45" t="str">
        <f t="shared" si="40"/>
        <v>pendiente</v>
      </c>
      <c r="AF229" s="45" t="str">
        <f t="shared" si="41"/>
        <v>pendiente</v>
      </c>
      <c r="AG229" s="45" t="str">
        <f t="shared" si="42"/>
        <v>insuficiente</v>
      </c>
      <c r="AH229" s="45" t="str">
        <f t="shared" si="43"/>
        <v>pendiente</v>
      </c>
      <c r="AI229" s="45" t="str">
        <f t="shared" si="44"/>
        <v>SI</v>
      </c>
      <c r="AJ229" s="45" t="str">
        <f t="shared" si="45"/>
        <v>obligatorio</v>
      </c>
      <c r="AK229" s="45" t="str">
        <f t="shared" si="46"/>
        <v>SI</v>
      </c>
      <c r="AL229" s="45"/>
      <c r="AM229" s="45"/>
      <c r="AN229" s="45"/>
      <c r="AO229" s="49"/>
      <c r="AP229" s="45"/>
      <c r="AQ229" s="45"/>
      <c r="AR229" s="45" t="str">
        <f t="shared" si="47"/>
        <v>NO</v>
      </c>
      <c r="AS229" s="43"/>
    </row>
    <row r="230" spans="1:45" ht="44" customHeight="1">
      <c r="A230" s="45">
        <v>222</v>
      </c>
      <c r="B230" s="43" t="str">
        <f>'T01 revisión'!A226</f>
        <v>grenaderevolution</v>
      </c>
      <c r="C230" s="43" t="str">
        <f>'T01 revisión'!B226</f>
        <v>The Grenada Revolution: Reflections and Lessons</v>
      </c>
      <c r="D230" s="43" t="str">
        <f>'T01 revisión'!C226</f>
        <v>Wendy C. Grenade (ed.)</v>
      </c>
      <c r="E230" s="43" t="str">
        <f>'T01 revisión'!D226</f>
        <v>A03</v>
      </c>
      <c r="F230" s="43" t="str">
        <f>'T01 revisión'!E226</f>
        <v>anglófono (Granada/Barbados)</v>
      </c>
      <c r="G230" s="43" t="str">
        <f>'T01 revisión'!H226</f>
        <v>varias procedencias o territorios; función territorial no demostrada</v>
      </c>
      <c r="H230" s="45" t="str">
        <f t="shared" si="36"/>
        <v>B</v>
      </c>
      <c r="I230" s="45"/>
      <c r="J230" s="45" t="str">
        <f t="shared" si="37"/>
        <v>GPT + Claude ciegos; control abreviado</v>
      </c>
      <c r="K230" s="43"/>
      <c r="L230" s="43"/>
      <c r="M230" s="43"/>
      <c r="N230" s="43"/>
      <c r="O230" s="43"/>
      <c r="P230" s="43"/>
      <c r="Q230" s="43"/>
      <c r="R230" s="43"/>
      <c r="S230" s="43"/>
      <c r="T230" s="43"/>
      <c r="U230" s="43"/>
      <c r="V230" s="43"/>
      <c r="W230" s="43"/>
      <c r="X230" s="43"/>
      <c r="Y230" s="43"/>
      <c r="Z230" s="43"/>
      <c r="AA230" s="43"/>
      <c r="AB230" s="43"/>
      <c r="AC230" s="45" t="str">
        <f t="shared" si="38"/>
        <v>pendiente</v>
      </c>
      <c r="AD230" s="45" t="str">
        <f t="shared" si="39"/>
        <v>pendiente</v>
      </c>
      <c r="AE230" s="45" t="str">
        <f t="shared" si="40"/>
        <v>pendiente</v>
      </c>
      <c r="AF230" s="45" t="str">
        <f t="shared" si="41"/>
        <v>pendiente</v>
      </c>
      <c r="AG230" s="45" t="str">
        <f t="shared" si="42"/>
        <v>insuficiente</v>
      </c>
      <c r="AH230" s="45" t="str">
        <f t="shared" si="43"/>
        <v>pendiente</v>
      </c>
      <c r="AI230" s="45" t="str">
        <f t="shared" si="44"/>
        <v>SI</v>
      </c>
      <c r="AJ230" s="45" t="str">
        <f t="shared" si="45"/>
        <v>abreviado</v>
      </c>
      <c r="AK230" s="45" t="str">
        <f t="shared" si="46"/>
        <v>NO</v>
      </c>
      <c r="AL230" s="45"/>
      <c r="AM230" s="45"/>
      <c r="AN230" s="45"/>
      <c r="AO230" s="49"/>
      <c r="AP230" s="45"/>
      <c r="AQ230" s="45"/>
      <c r="AR230" s="45" t="str">
        <f t="shared" si="47"/>
        <v>NO</v>
      </c>
      <c r="AS230" s="43"/>
    </row>
    <row r="231" spans="1:45" ht="44" customHeight="1">
      <c r="A231" s="45">
        <v>223</v>
      </c>
      <c r="B231" s="43" t="str">
        <f>'T01 revisión'!A227</f>
        <v>smithredblack</v>
      </c>
      <c r="C231" s="43" t="str">
        <f>'T01 revisión'!B227</f>
        <v>Red and Black in Haiti: Radicalism, Conflict, and Political Change, 1934-1957</v>
      </c>
      <c r="D231" s="43" t="str">
        <f>'T01 revisión'!C227</f>
        <v>Matthew J. Smith</v>
      </c>
      <c r="E231" s="43" t="str">
        <f>'T01 revisión'!D227</f>
        <v>A03</v>
      </c>
      <c r="F231" s="43" t="str">
        <f>'T01 revisión'!E227</f>
        <v>anglófono (Jamaica/Haití)</v>
      </c>
      <c r="G231" s="43" t="str">
        <f>'T01 revisión'!H227</f>
        <v>varias procedencias o territorios; función territorial no demostrada</v>
      </c>
      <c r="H231" s="45" t="str">
        <f t="shared" si="36"/>
        <v>B</v>
      </c>
      <c r="I231" s="45"/>
      <c r="J231" s="45" t="str">
        <f t="shared" si="37"/>
        <v>GPT + Claude ciegos; control abreviado</v>
      </c>
      <c r="K231" s="43"/>
      <c r="L231" s="43"/>
      <c r="M231" s="43"/>
      <c r="N231" s="43"/>
      <c r="O231" s="43"/>
      <c r="P231" s="43"/>
      <c r="Q231" s="43"/>
      <c r="R231" s="43"/>
      <c r="S231" s="43"/>
      <c r="T231" s="43"/>
      <c r="U231" s="43"/>
      <c r="V231" s="43"/>
      <c r="W231" s="43"/>
      <c r="X231" s="43"/>
      <c r="Y231" s="43"/>
      <c r="Z231" s="43"/>
      <c r="AA231" s="43"/>
      <c r="AB231" s="43"/>
      <c r="AC231" s="45" t="str">
        <f t="shared" si="38"/>
        <v>pendiente</v>
      </c>
      <c r="AD231" s="45" t="str">
        <f t="shared" si="39"/>
        <v>pendiente</v>
      </c>
      <c r="AE231" s="45" t="str">
        <f t="shared" si="40"/>
        <v>pendiente</v>
      </c>
      <c r="AF231" s="45" t="str">
        <f t="shared" si="41"/>
        <v>pendiente</v>
      </c>
      <c r="AG231" s="45" t="str">
        <f t="shared" si="42"/>
        <v>insuficiente</v>
      </c>
      <c r="AH231" s="45" t="str">
        <f t="shared" si="43"/>
        <v>pendiente</v>
      </c>
      <c r="AI231" s="45" t="str">
        <f t="shared" si="44"/>
        <v>SI</v>
      </c>
      <c r="AJ231" s="45" t="str">
        <f t="shared" si="45"/>
        <v>abreviado</v>
      </c>
      <c r="AK231" s="45" t="str">
        <f t="shared" si="46"/>
        <v>NO</v>
      </c>
      <c r="AL231" s="45"/>
      <c r="AM231" s="45"/>
      <c r="AN231" s="45"/>
      <c r="AO231" s="49"/>
      <c r="AP231" s="45"/>
      <c r="AQ231" s="45"/>
      <c r="AR231" s="45" t="str">
        <f t="shared" si="47"/>
        <v>NO</v>
      </c>
      <c r="AS231" s="43"/>
    </row>
    <row r="232" spans="1:45" ht="44" customHeight="1">
      <c r="A232" s="45">
        <v>224</v>
      </c>
      <c r="B232" s="43" t="str">
        <f>'T01 revisión'!A228</f>
        <v>becklessavingsouls</v>
      </c>
      <c r="C232" s="43" t="str">
        <f>'T01 revisión'!B228</f>
        <v>Saving Souls: The Struggle to End the Transatlantic Trade in Africans</v>
      </c>
      <c r="D232" s="43" t="str">
        <f>'T01 revisión'!C228</f>
        <v>Hilary McD. Beckles y Verene A. Shepherd (eds.)</v>
      </c>
      <c r="E232" s="43" t="str">
        <f>'T01 revisión'!D228</f>
        <v>A03</v>
      </c>
      <c r="F232" s="43" t="str">
        <f>'T01 revisión'!E228</f>
        <v>anglófono (Barbados/Jamaica)</v>
      </c>
      <c r="G232" s="43" t="str">
        <f>'T01 revisión'!H228</f>
        <v>varias procedencias o territorios; función territorial no demostrada</v>
      </c>
      <c r="H232" s="45" t="str">
        <f t="shared" si="36"/>
        <v>B</v>
      </c>
      <c r="I232" s="45"/>
      <c r="J232" s="45" t="str">
        <f t="shared" si="37"/>
        <v>GPT + Claude ciegos; control abreviado</v>
      </c>
      <c r="K232" s="43"/>
      <c r="L232" s="43"/>
      <c r="M232" s="43"/>
      <c r="N232" s="43"/>
      <c r="O232" s="43"/>
      <c r="P232" s="43"/>
      <c r="Q232" s="43"/>
      <c r="R232" s="43"/>
      <c r="S232" s="43"/>
      <c r="T232" s="43"/>
      <c r="U232" s="43"/>
      <c r="V232" s="43"/>
      <c r="W232" s="43"/>
      <c r="X232" s="43"/>
      <c r="Y232" s="43"/>
      <c r="Z232" s="43"/>
      <c r="AA232" s="43"/>
      <c r="AB232" s="43"/>
      <c r="AC232" s="45" t="str">
        <f t="shared" si="38"/>
        <v>pendiente</v>
      </c>
      <c r="AD232" s="45" t="str">
        <f t="shared" si="39"/>
        <v>pendiente</v>
      </c>
      <c r="AE232" s="45" t="str">
        <f t="shared" si="40"/>
        <v>pendiente</v>
      </c>
      <c r="AF232" s="45" t="str">
        <f t="shared" si="41"/>
        <v>pendiente</v>
      </c>
      <c r="AG232" s="45" t="str">
        <f t="shared" si="42"/>
        <v>insuficiente</v>
      </c>
      <c r="AH232" s="45" t="str">
        <f t="shared" si="43"/>
        <v>pendiente</v>
      </c>
      <c r="AI232" s="45" t="str">
        <f t="shared" si="44"/>
        <v>SI</v>
      </c>
      <c r="AJ232" s="45" t="str">
        <f t="shared" si="45"/>
        <v>abreviado</v>
      </c>
      <c r="AK232" s="45" t="str">
        <f t="shared" si="46"/>
        <v>NO</v>
      </c>
      <c r="AL232" s="45"/>
      <c r="AM232" s="45"/>
      <c r="AN232" s="45"/>
      <c r="AO232" s="49"/>
      <c r="AP232" s="45"/>
      <c r="AQ232" s="45"/>
      <c r="AR232" s="45" t="str">
        <f t="shared" si="47"/>
        <v>NO</v>
      </c>
      <c r="AS232" s="43"/>
    </row>
    <row r="233" spans="1:45" ht="44" customHeight="1">
      <c r="A233" s="45">
        <v>225</v>
      </c>
      <c r="B233" s="43" t="str">
        <f>'T01 revisión'!A229</f>
        <v>kalefragments</v>
      </c>
      <c r="C233" s="43" t="str">
        <f>'T01 revisión'!B229</f>
        <v>Fragments of Empire: Capital, Slavery, and Indian Indentured Labor in the British Caribbean</v>
      </c>
      <c r="D233" s="43" t="str">
        <f>'T01 revisión'!C229</f>
        <v>Madhavi Kale</v>
      </c>
      <c r="E233" s="43" t="str">
        <f>'T01 revisión'!D229</f>
        <v>DE01</v>
      </c>
      <c r="F233" s="43" t="str">
        <f>'T01 revisión'!E229</f>
        <v>anglófono (EE.UU./India)</v>
      </c>
      <c r="G233" s="43" t="str">
        <f>'T01 revisión'!H229</f>
        <v>varias procedencias o territorios; abreviaturas por normalizar; función territorial no demostrada</v>
      </c>
      <c r="H233" s="45" t="str">
        <f t="shared" si="36"/>
        <v>B</v>
      </c>
      <c r="I233" s="45"/>
      <c r="J233" s="45" t="str">
        <f t="shared" si="37"/>
        <v>GPT + Claude ciegos; control abreviado</v>
      </c>
      <c r="K233" s="43"/>
      <c r="L233" s="43"/>
      <c r="M233" s="43"/>
      <c r="N233" s="43"/>
      <c r="O233" s="43"/>
      <c r="P233" s="43"/>
      <c r="Q233" s="43"/>
      <c r="R233" s="43"/>
      <c r="S233" s="43"/>
      <c r="T233" s="43"/>
      <c r="U233" s="43"/>
      <c r="V233" s="43"/>
      <c r="W233" s="43"/>
      <c r="X233" s="43"/>
      <c r="Y233" s="43"/>
      <c r="Z233" s="43"/>
      <c r="AA233" s="43"/>
      <c r="AB233" s="43"/>
      <c r="AC233" s="45" t="str">
        <f t="shared" si="38"/>
        <v>pendiente</v>
      </c>
      <c r="AD233" s="45" t="str">
        <f t="shared" si="39"/>
        <v>pendiente</v>
      </c>
      <c r="AE233" s="45" t="str">
        <f t="shared" si="40"/>
        <v>pendiente</v>
      </c>
      <c r="AF233" s="45" t="str">
        <f t="shared" si="41"/>
        <v>pendiente</v>
      </c>
      <c r="AG233" s="45" t="str">
        <f t="shared" si="42"/>
        <v>insuficiente</v>
      </c>
      <c r="AH233" s="45" t="str">
        <f t="shared" si="43"/>
        <v>pendiente</v>
      </c>
      <c r="AI233" s="45" t="str">
        <f t="shared" si="44"/>
        <v>SI</v>
      </c>
      <c r="AJ233" s="45" t="str">
        <f t="shared" si="45"/>
        <v>abreviado</v>
      </c>
      <c r="AK233" s="45" t="str">
        <f t="shared" si="46"/>
        <v>NO</v>
      </c>
      <c r="AL233" s="45"/>
      <c r="AM233" s="45"/>
      <c r="AN233" s="45"/>
      <c r="AO233" s="49"/>
      <c r="AP233" s="45"/>
      <c r="AQ233" s="45"/>
      <c r="AR233" s="45" t="str">
        <f t="shared" si="47"/>
        <v>NO</v>
      </c>
      <c r="AS233" s="43"/>
    </row>
    <row r="234" spans="1:45" ht="44" customHeight="1">
      <c r="A234" s="45">
        <v>226</v>
      </c>
      <c r="B234" s="43" t="str">
        <f>'T01 revisión'!A230</f>
        <v>shepherdmaharani</v>
      </c>
      <c r="C234" s="43" t="str">
        <f>'T01 revisión'!B230</f>
        <v>Maharani's Misery: Narratives of a Passage from India to the Caribbean</v>
      </c>
      <c r="D234" s="43" t="str">
        <f>'T01 revisión'!C230</f>
        <v>Verene A. Shepherd</v>
      </c>
      <c r="E234" s="43" t="str">
        <f>'T01 revisión'!D230</f>
        <v>A01</v>
      </c>
      <c r="F234" s="43" t="str">
        <f>'T01 revisión'!E230</f>
        <v>anglófono (Jamaica)</v>
      </c>
      <c r="G234" s="43" t="str">
        <f>'T01 revisión'!H230</f>
        <v>función territorial no demostrada</v>
      </c>
      <c r="H234" s="45" t="str">
        <f t="shared" si="36"/>
        <v>A</v>
      </c>
      <c r="I234" s="45"/>
      <c r="J234" s="45" t="str">
        <f t="shared" si="37"/>
        <v>GPT + muestra Claude/humana</v>
      </c>
      <c r="K234" s="43"/>
      <c r="L234" s="43"/>
      <c r="M234" s="43"/>
      <c r="N234" s="43"/>
      <c r="O234" s="43"/>
      <c r="P234" s="43"/>
      <c r="Q234" s="43"/>
      <c r="R234" s="43"/>
      <c r="S234" s="43"/>
      <c r="T234" s="43"/>
      <c r="U234" s="43"/>
      <c r="V234" s="43"/>
      <c r="W234" s="43"/>
      <c r="X234" s="43"/>
      <c r="Y234" s="43"/>
      <c r="Z234" s="43"/>
      <c r="AA234" s="43"/>
      <c r="AB234" s="43"/>
      <c r="AC234" s="45" t="str">
        <f t="shared" si="38"/>
        <v>pendiente</v>
      </c>
      <c r="AD234" s="45" t="str">
        <f t="shared" si="39"/>
        <v>pendiente</v>
      </c>
      <c r="AE234" s="45" t="str">
        <f t="shared" si="40"/>
        <v>pendiente</v>
      </c>
      <c r="AF234" s="45" t="str">
        <f t="shared" si="41"/>
        <v>pendiente</v>
      </c>
      <c r="AG234" s="45" t="str">
        <f t="shared" si="42"/>
        <v>insuficiente</v>
      </c>
      <c r="AH234" s="45" t="str">
        <f t="shared" si="43"/>
        <v>pendiente</v>
      </c>
      <c r="AI234" s="45" t="str">
        <f t="shared" si="44"/>
        <v>NO</v>
      </c>
      <c r="AJ234" s="45" t="str">
        <f t="shared" si="45"/>
        <v>NO</v>
      </c>
      <c r="AK234" s="45" t="str">
        <f t="shared" si="46"/>
        <v>NO</v>
      </c>
      <c r="AL234" s="45"/>
      <c r="AM234" s="45"/>
      <c r="AN234" s="45"/>
      <c r="AO234" s="49"/>
      <c r="AP234" s="45"/>
      <c r="AQ234" s="45"/>
      <c r="AR234" s="45" t="str">
        <f t="shared" si="47"/>
        <v>NO</v>
      </c>
      <c r="AS234" s="43"/>
    </row>
    <row r="235" spans="1:45" ht="44" customHeight="1">
      <c r="A235" s="45">
        <v>227</v>
      </c>
      <c r="B235" s="43" t="str">
        <f>'T01 revisión'!A231</f>
        <v>looklaichinese</v>
      </c>
      <c r="C235" s="43" t="str">
        <f>'T01 revisión'!B231</f>
        <v>The Chinese in the West Indies, 1806-1995: A Documentary History</v>
      </c>
      <c r="D235" s="43" t="str">
        <f>'T01 revisión'!C231</f>
        <v>Walton Look Lai</v>
      </c>
      <c r="E235" s="43" t="str">
        <f>'T01 revisión'!D231</f>
        <v>A03</v>
      </c>
      <c r="F235" s="43" t="str">
        <f>'T01 revisión'!E231</f>
        <v>anglófono (Trinidad)</v>
      </c>
      <c r="G235" s="43" t="str">
        <f>'T01 revisión'!H231</f>
        <v>función territorial no demostrada</v>
      </c>
      <c r="H235" s="45" t="str">
        <f t="shared" si="36"/>
        <v>A</v>
      </c>
      <c r="I235" s="45"/>
      <c r="J235" s="45" t="str">
        <f t="shared" si="37"/>
        <v>GPT + muestra Claude/humana</v>
      </c>
      <c r="K235" s="43"/>
      <c r="L235" s="43"/>
      <c r="M235" s="43"/>
      <c r="N235" s="43"/>
      <c r="O235" s="43"/>
      <c r="P235" s="43"/>
      <c r="Q235" s="43"/>
      <c r="R235" s="43"/>
      <c r="S235" s="43"/>
      <c r="T235" s="43"/>
      <c r="U235" s="43"/>
      <c r="V235" s="43"/>
      <c r="W235" s="43"/>
      <c r="X235" s="43"/>
      <c r="Y235" s="43"/>
      <c r="Z235" s="43"/>
      <c r="AA235" s="43"/>
      <c r="AB235" s="43"/>
      <c r="AC235" s="45" t="str">
        <f t="shared" si="38"/>
        <v>pendiente</v>
      </c>
      <c r="AD235" s="45" t="str">
        <f t="shared" si="39"/>
        <v>pendiente</v>
      </c>
      <c r="AE235" s="45" t="str">
        <f t="shared" si="40"/>
        <v>pendiente</v>
      </c>
      <c r="AF235" s="45" t="str">
        <f t="shared" si="41"/>
        <v>pendiente</v>
      </c>
      <c r="AG235" s="45" t="str">
        <f t="shared" si="42"/>
        <v>insuficiente</v>
      </c>
      <c r="AH235" s="45" t="str">
        <f t="shared" si="43"/>
        <v>pendiente</v>
      </c>
      <c r="AI235" s="45" t="str">
        <f t="shared" si="44"/>
        <v>NO</v>
      </c>
      <c r="AJ235" s="45" t="str">
        <f t="shared" si="45"/>
        <v>NO</v>
      </c>
      <c r="AK235" s="45" t="str">
        <f t="shared" si="46"/>
        <v>NO</v>
      </c>
      <c r="AL235" s="45"/>
      <c r="AM235" s="45"/>
      <c r="AN235" s="45"/>
      <c r="AO235" s="49"/>
      <c r="AP235" s="45"/>
      <c r="AQ235" s="45"/>
      <c r="AR235" s="45" t="str">
        <f t="shared" si="47"/>
        <v>NO</v>
      </c>
      <c r="AS235" s="43"/>
    </row>
    <row r="236" spans="1:45" ht="44" customHeight="1">
      <c r="A236" s="45">
        <v>228</v>
      </c>
      <c r="B236" s="43" t="str">
        <f>'T01 revisión'!A232</f>
        <v>putnamradical</v>
      </c>
      <c r="C236" s="43" t="str">
        <f>'T01 revisión'!B232</f>
        <v>Radical Moves: Caribbean Migrants and the Politics of Race in the Jazz Age</v>
      </c>
      <c r="D236" s="43" t="str">
        <f>'T01 revisión'!C232</f>
        <v>Lara Putnam</v>
      </c>
      <c r="E236" s="43" t="str">
        <f>'T01 revisión'!D232</f>
        <v>A02</v>
      </c>
      <c r="F236" s="43" t="str">
        <f>'T01 revisión'!E232</f>
        <v>anglófono (EE.UU.)</v>
      </c>
      <c r="G236" s="43" t="str">
        <f>'T01 revisión'!H232</f>
        <v>abreviaturas por normalizar; función territorial no demostrada</v>
      </c>
      <c r="H236" s="45" t="str">
        <f t="shared" si="36"/>
        <v>A</v>
      </c>
      <c r="I236" s="45"/>
      <c r="J236" s="45" t="str">
        <f t="shared" si="37"/>
        <v>GPT + muestra Claude/humana</v>
      </c>
      <c r="K236" s="43"/>
      <c r="L236" s="43"/>
      <c r="M236" s="43"/>
      <c r="N236" s="43"/>
      <c r="O236" s="43"/>
      <c r="P236" s="43"/>
      <c r="Q236" s="43"/>
      <c r="R236" s="43"/>
      <c r="S236" s="43"/>
      <c r="T236" s="43"/>
      <c r="U236" s="43"/>
      <c r="V236" s="43"/>
      <c r="W236" s="43"/>
      <c r="X236" s="43"/>
      <c r="Y236" s="43"/>
      <c r="Z236" s="43"/>
      <c r="AA236" s="43"/>
      <c r="AB236" s="43"/>
      <c r="AC236" s="45" t="str">
        <f t="shared" si="38"/>
        <v>pendiente</v>
      </c>
      <c r="AD236" s="45" t="str">
        <f t="shared" si="39"/>
        <v>pendiente</v>
      </c>
      <c r="AE236" s="45" t="str">
        <f t="shared" si="40"/>
        <v>pendiente</v>
      </c>
      <c r="AF236" s="45" t="str">
        <f t="shared" si="41"/>
        <v>pendiente</v>
      </c>
      <c r="AG236" s="45" t="str">
        <f t="shared" si="42"/>
        <v>insuficiente</v>
      </c>
      <c r="AH236" s="45" t="str">
        <f t="shared" si="43"/>
        <v>pendiente</v>
      </c>
      <c r="AI236" s="45" t="str">
        <f t="shared" si="44"/>
        <v>NO</v>
      </c>
      <c r="AJ236" s="45" t="str">
        <f t="shared" si="45"/>
        <v>NO</v>
      </c>
      <c r="AK236" s="45" t="str">
        <f t="shared" si="46"/>
        <v>NO</v>
      </c>
      <c r="AL236" s="45"/>
      <c r="AM236" s="45"/>
      <c r="AN236" s="45"/>
      <c r="AO236" s="49"/>
      <c r="AP236" s="45"/>
      <c r="AQ236" s="45"/>
      <c r="AR236" s="45" t="str">
        <f t="shared" si="47"/>
        <v>NO</v>
      </c>
      <c r="AS236" s="43"/>
    </row>
    <row r="237" spans="1:45" ht="44" customHeight="1">
      <c r="A237" s="45">
        <v>229</v>
      </c>
      <c r="B237" s="43" t="str">
        <f>'T01 revisión'!A233</f>
        <v>harpellecostarica</v>
      </c>
      <c r="C237" s="43" t="str">
        <f>'T01 revisión'!B233</f>
        <v>The West Indians of Costa Rica: Race, Class, and the Integration of an Ethnic Minority</v>
      </c>
      <c r="D237" s="43" t="str">
        <f>'T01 revisión'!C233</f>
        <v>Ronald N. Harpelle</v>
      </c>
      <c r="E237" s="43" t="str">
        <f>'T01 revisión'!D233</f>
        <v>A02</v>
      </c>
      <c r="F237" s="43" t="str">
        <f>'T01 revisión'!E233</f>
        <v>anglófono (Canadá/Costa Rica)</v>
      </c>
      <c r="G237" s="43" t="str">
        <f>'T01 revisión'!H233</f>
        <v>varias procedencias o territorios; función territorial no demostrada</v>
      </c>
      <c r="H237" s="45" t="str">
        <f t="shared" si="36"/>
        <v>B</v>
      </c>
      <c r="I237" s="45"/>
      <c r="J237" s="45" t="str">
        <f t="shared" si="37"/>
        <v>GPT + Claude ciegos; control abreviado</v>
      </c>
      <c r="K237" s="43"/>
      <c r="L237" s="43"/>
      <c r="M237" s="43"/>
      <c r="N237" s="43"/>
      <c r="O237" s="43"/>
      <c r="P237" s="43"/>
      <c r="Q237" s="43"/>
      <c r="R237" s="43"/>
      <c r="S237" s="43"/>
      <c r="T237" s="43"/>
      <c r="U237" s="43"/>
      <c r="V237" s="43"/>
      <c r="W237" s="43"/>
      <c r="X237" s="43"/>
      <c r="Y237" s="43"/>
      <c r="Z237" s="43"/>
      <c r="AA237" s="43"/>
      <c r="AB237" s="43"/>
      <c r="AC237" s="45" t="str">
        <f t="shared" si="38"/>
        <v>pendiente</v>
      </c>
      <c r="AD237" s="45" t="str">
        <f t="shared" si="39"/>
        <v>pendiente</v>
      </c>
      <c r="AE237" s="45" t="str">
        <f t="shared" si="40"/>
        <v>pendiente</v>
      </c>
      <c r="AF237" s="45" t="str">
        <f t="shared" si="41"/>
        <v>pendiente</v>
      </c>
      <c r="AG237" s="45" t="str">
        <f t="shared" si="42"/>
        <v>insuficiente</v>
      </c>
      <c r="AH237" s="45" t="str">
        <f t="shared" si="43"/>
        <v>pendiente</v>
      </c>
      <c r="AI237" s="45" t="str">
        <f t="shared" si="44"/>
        <v>SI</v>
      </c>
      <c r="AJ237" s="45" t="str">
        <f t="shared" si="45"/>
        <v>abreviado</v>
      </c>
      <c r="AK237" s="45" t="str">
        <f t="shared" si="46"/>
        <v>NO</v>
      </c>
      <c r="AL237" s="45"/>
      <c r="AM237" s="45"/>
      <c r="AN237" s="45"/>
      <c r="AO237" s="49"/>
      <c r="AP237" s="45"/>
      <c r="AQ237" s="45"/>
      <c r="AR237" s="45" t="str">
        <f t="shared" si="47"/>
        <v>NO</v>
      </c>
      <c r="AS237" s="43"/>
    </row>
    <row r="238" spans="1:45" ht="44" customHeight="1">
      <c r="A238" s="45">
        <v>230</v>
      </c>
      <c r="B238" s="43" t="str">
        <f>'T01 revisión'!A234</f>
        <v>bourgoisethnicity</v>
      </c>
      <c r="C238" s="43" t="str">
        <f>'T01 revisión'!B234</f>
        <v>Ethnicity at Work: Divided Labor on a Central American Banana Plantation</v>
      </c>
      <c r="D238" s="43" t="str">
        <f>'T01 revisión'!C234</f>
        <v>Philippe Bourgois</v>
      </c>
      <c r="E238" s="43" t="str">
        <f>'T01 revisión'!D234</f>
        <v>P00</v>
      </c>
      <c r="F238" s="43" t="str">
        <f>'T01 revisión'!E234</f>
        <v>anglófono (EE.UU./Centroamérica)</v>
      </c>
      <c r="G238" s="43" t="str">
        <f>'T01 revisión'!H234</f>
        <v>varias procedencias o territorios; abreviaturas por normalizar; función territorial no demostrada</v>
      </c>
      <c r="H238" s="45" t="str">
        <f t="shared" si="36"/>
        <v>B</v>
      </c>
      <c r="I238" s="45"/>
      <c r="J238" s="45" t="str">
        <f t="shared" si="37"/>
        <v>GPT + Claude ciegos; control abreviado</v>
      </c>
      <c r="K238" s="43"/>
      <c r="L238" s="43"/>
      <c r="M238" s="43"/>
      <c r="N238" s="43"/>
      <c r="O238" s="43"/>
      <c r="P238" s="43"/>
      <c r="Q238" s="43"/>
      <c r="R238" s="43"/>
      <c r="S238" s="43"/>
      <c r="T238" s="43"/>
      <c r="U238" s="43"/>
      <c r="V238" s="43"/>
      <c r="W238" s="43"/>
      <c r="X238" s="43"/>
      <c r="Y238" s="43"/>
      <c r="Z238" s="43"/>
      <c r="AA238" s="43"/>
      <c r="AB238" s="43"/>
      <c r="AC238" s="45" t="str">
        <f t="shared" si="38"/>
        <v>pendiente</v>
      </c>
      <c r="AD238" s="45" t="str">
        <f t="shared" si="39"/>
        <v>pendiente</v>
      </c>
      <c r="AE238" s="45" t="str">
        <f t="shared" si="40"/>
        <v>pendiente</v>
      </c>
      <c r="AF238" s="45" t="str">
        <f t="shared" si="41"/>
        <v>pendiente</v>
      </c>
      <c r="AG238" s="45" t="str">
        <f t="shared" si="42"/>
        <v>insuficiente</v>
      </c>
      <c r="AH238" s="45" t="str">
        <f t="shared" si="43"/>
        <v>pendiente</v>
      </c>
      <c r="AI238" s="45" t="str">
        <f t="shared" si="44"/>
        <v>SI</v>
      </c>
      <c r="AJ238" s="45" t="str">
        <f t="shared" si="45"/>
        <v>abreviado</v>
      </c>
      <c r="AK238" s="45" t="str">
        <f t="shared" si="46"/>
        <v>NO</v>
      </c>
      <c r="AL238" s="45"/>
      <c r="AM238" s="45"/>
      <c r="AN238" s="45"/>
      <c r="AO238" s="49"/>
      <c r="AP238" s="45"/>
      <c r="AQ238" s="45"/>
      <c r="AR238" s="45" t="str">
        <f t="shared" si="47"/>
        <v>NO</v>
      </c>
      <c r="AS238" s="43"/>
    </row>
    <row r="239" spans="1:45" ht="44" customHeight="1">
      <c r="A239" s="45">
        <v>231</v>
      </c>
      <c r="B239" s="43" t="str">
        <f>'T01 revisión'!A235</f>
        <v>legrandfrontier</v>
      </c>
      <c r="C239" s="43" t="str">
        <f>'T01 revisión'!B235</f>
        <v>Colonización y protesta campesina en Colombia, 1850-1950 (Frontier Expansion and Peasant Protest in Colombia)</v>
      </c>
      <c r="D239" s="43" t="str">
        <f>'T01 revisión'!C235</f>
        <v>Catherine LeGrand</v>
      </c>
      <c r="E239" s="43" t="str">
        <f>'T01 revisión'!D235</f>
        <v>DE01</v>
      </c>
      <c r="F239" s="43" t="str">
        <f>'T01 revisión'!E235</f>
        <v>anglófono (Canadá/Colombia)</v>
      </c>
      <c r="G239" s="43" t="str">
        <f>'T01 revisión'!H235</f>
        <v>varias procedencias o territorios; función territorial no demostrada</v>
      </c>
      <c r="H239" s="45" t="str">
        <f t="shared" si="36"/>
        <v>B</v>
      </c>
      <c r="I239" s="45"/>
      <c r="J239" s="45" t="str">
        <f t="shared" si="37"/>
        <v>GPT + Claude ciegos; control abreviado</v>
      </c>
      <c r="K239" s="43"/>
      <c r="L239" s="43"/>
      <c r="M239" s="43"/>
      <c r="N239" s="43"/>
      <c r="O239" s="43"/>
      <c r="P239" s="43"/>
      <c r="Q239" s="43"/>
      <c r="R239" s="43"/>
      <c r="S239" s="43"/>
      <c r="T239" s="43"/>
      <c r="U239" s="43"/>
      <c r="V239" s="43"/>
      <c r="W239" s="43"/>
      <c r="X239" s="43"/>
      <c r="Y239" s="43"/>
      <c r="Z239" s="43"/>
      <c r="AA239" s="43"/>
      <c r="AB239" s="43"/>
      <c r="AC239" s="45" t="str">
        <f t="shared" si="38"/>
        <v>pendiente</v>
      </c>
      <c r="AD239" s="45" t="str">
        <f t="shared" si="39"/>
        <v>pendiente</v>
      </c>
      <c r="AE239" s="45" t="str">
        <f t="shared" si="40"/>
        <v>pendiente</v>
      </c>
      <c r="AF239" s="45" t="str">
        <f t="shared" si="41"/>
        <v>pendiente</v>
      </c>
      <c r="AG239" s="45" t="str">
        <f t="shared" si="42"/>
        <v>insuficiente</v>
      </c>
      <c r="AH239" s="45" t="str">
        <f t="shared" si="43"/>
        <v>pendiente</v>
      </c>
      <c r="AI239" s="45" t="str">
        <f t="shared" si="44"/>
        <v>SI</v>
      </c>
      <c r="AJ239" s="45" t="str">
        <f t="shared" si="45"/>
        <v>abreviado</v>
      </c>
      <c r="AK239" s="45" t="str">
        <f t="shared" si="46"/>
        <v>NO</v>
      </c>
      <c r="AL239" s="45"/>
      <c r="AM239" s="45"/>
      <c r="AN239" s="45"/>
      <c r="AO239" s="49"/>
      <c r="AP239" s="45"/>
      <c r="AQ239" s="45"/>
      <c r="AR239" s="45" t="str">
        <f t="shared" si="47"/>
        <v>NO</v>
      </c>
      <c r="AS239" s="43"/>
    </row>
    <row r="240" spans="1:45" ht="44" customHeight="1">
      <c r="A240" s="45">
        <v>232</v>
      </c>
      <c r="B240" s="43" t="str">
        <f>'T01 revisión'!A236</f>
        <v>keeganhofman</v>
      </c>
      <c r="C240" s="43" t="str">
        <f>'T01 revisión'!B236</f>
        <v>The Caribbean before Columbus</v>
      </c>
      <c r="D240" s="43" t="str">
        <f>'T01 revisión'!C236</f>
        <v>William F. Keegan y Corinne L. Hofman</v>
      </c>
      <c r="E240" s="43" t="str">
        <f>'T01 revisión'!D236</f>
        <v>P00</v>
      </c>
      <c r="F240" s="43" t="str">
        <f>'T01 revisión'!E236</f>
        <v>anglófono (EE.UU./Países Bajos)</v>
      </c>
      <c r="G240" s="43" t="str">
        <f>'T01 revisión'!H236</f>
        <v>varias procedencias o territorios; abreviaturas por normalizar; función territorial no demostrada</v>
      </c>
      <c r="H240" s="45" t="str">
        <f t="shared" si="36"/>
        <v>B</v>
      </c>
      <c r="I240" s="45"/>
      <c r="J240" s="45" t="str">
        <f t="shared" si="37"/>
        <v>GPT + Claude ciegos; control abreviado</v>
      </c>
      <c r="K240" s="43"/>
      <c r="L240" s="43"/>
      <c r="M240" s="43"/>
      <c r="N240" s="43"/>
      <c r="O240" s="43"/>
      <c r="P240" s="43"/>
      <c r="Q240" s="43"/>
      <c r="R240" s="43"/>
      <c r="S240" s="43"/>
      <c r="T240" s="43"/>
      <c r="U240" s="43"/>
      <c r="V240" s="43"/>
      <c r="W240" s="43"/>
      <c r="X240" s="43"/>
      <c r="Y240" s="43"/>
      <c r="Z240" s="43"/>
      <c r="AA240" s="43"/>
      <c r="AB240" s="43"/>
      <c r="AC240" s="45" t="str">
        <f t="shared" si="38"/>
        <v>pendiente</v>
      </c>
      <c r="AD240" s="45" t="str">
        <f t="shared" si="39"/>
        <v>pendiente</v>
      </c>
      <c r="AE240" s="45" t="str">
        <f t="shared" si="40"/>
        <v>pendiente</v>
      </c>
      <c r="AF240" s="45" t="str">
        <f t="shared" si="41"/>
        <v>pendiente</v>
      </c>
      <c r="AG240" s="45" t="str">
        <f t="shared" si="42"/>
        <v>insuficiente</v>
      </c>
      <c r="AH240" s="45" t="str">
        <f t="shared" si="43"/>
        <v>pendiente</v>
      </c>
      <c r="AI240" s="45" t="str">
        <f t="shared" si="44"/>
        <v>SI</v>
      </c>
      <c r="AJ240" s="45" t="str">
        <f t="shared" si="45"/>
        <v>abreviado</v>
      </c>
      <c r="AK240" s="45" t="str">
        <f t="shared" si="46"/>
        <v>NO</v>
      </c>
      <c r="AL240" s="45"/>
      <c r="AM240" s="45"/>
      <c r="AN240" s="45"/>
      <c r="AO240" s="49"/>
      <c r="AP240" s="45"/>
      <c r="AQ240" s="45"/>
      <c r="AR240" s="45" t="str">
        <f t="shared" si="47"/>
        <v>NO</v>
      </c>
      <c r="AS240" s="43"/>
    </row>
    <row r="241" spans="1:45" ht="44" customHeight="1">
      <c r="A241" s="46">
        <v>233</v>
      </c>
      <c r="B241" s="44" t="str">
        <f>'T01 revisión'!A237</f>
        <v>atkinsonearliest</v>
      </c>
      <c r="C241" s="44" t="str">
        <f>'T01 revisión'!B237</f>
        <v>The Earliest Inhabitants: The Dynamics of the Jamaican Taíno</v>
      </c>
      <c r="D241" s="44" t="str">
        <f>'T01 revisión'!C237</f>
        <v>Lesley-Gail Atkinson (ed.)</v>
      </c>
      <c r="E241" s="44" t="str">
        <f>'T01 revisión'!D237</f>
        <v>C04</v>
      </c>
      <c r="F241" s="44" t="str">
        <f>'T01 revisión'!E237</f>
        <v>anglófono (Jamaica)</v>
      </c>
      <c r="G241" s="44" t="str">
        <f>'T01 revisión'!H237</f>
        <v>función territorial no demostrada</v>
      </c>
      <c r="H241" s="46" t="str">
        <f t="shared" si="36"/>
        <v>A</v>
      </c>
      <c r="I241" s="46"/>
      <c r="J241" s="46" t="str">
        <f t="shared" si="37"/>
        <v>GPT + muestra Claude/humana</v>
      </c>
      <c r="K241" s="44"/>
      <c r="L241" s="44"/>
      <c r="M241" s="44"/>
      <c r="N241" s="44"/>
      <c r="O241" s="44"/>
      <c r="P241" s="44"/>
      <c r="Q241" s="44"/>
      <c r="R241" s="44"/>
      <c r="S241" s="44"/>
      <c r="T241" s="44"/>
      <c r="U241" s="44"/>
      <c r="V241" s="44"/>
      <c r="W241" s="44"/>
      <c r="X241" s="44"/>
      <c r="Y241" s="44"/>
      <c r="Z241" s="44"/>
      <c r="AA241" s="44"/>
      <c r="AB241" s="44"/>
      <c r="AC241" s="46" t="str">
        <f t="shared" si="38"/>
        <v>pendiente</v>
      </c>
      <c r="AD241" s="46" t="str">
        <f t="shared" si="39"/>
        <v>pendiente</v>
      </c>
      <c r="AE241" s="46" t="str">
        <f t="shared" si="40"/>
        <v>pendiente</v>
      </c>
      <c r="AF241" s="46" t="str">
        <f t="shared" si="41"/>
        <v>pendiente</v>
      </c>
      <c r="AG241" s="46" t="str">
        <f t="shared" si="42"/>
        <v>insuficiente</v>
      </c>
      <c r="AH241" s="46" t="str">
        <f t="shared" si="43"/>
        <v>pendiente</v>
      </c>
      <c r="AI241" s="46" t="str">
        <f t="shared" si="44"/>
        <v>NO</v>
      </c>
      <c r="AJ241" s="46" t="str">
        <f t="shared" si="45"/>
        <v>NO</v>
      </c>
      <c r="AK241" s="46" t="str">
        <f t="shared" si="46"/>
        <v>NO</v>
      </c>
      <c r="AL241" s="46"/>
      <c r="AM241" s="46"/>
      <c r="AN241" s="46"/>
      <c r="AO241" s="50"/>
      <c r="AP241" s="46"/>
      <c r="AQ241" s="46"/>
      <c r="AR241" s="46" t="str">
        <f t="shared" si="47"/>
        <v>NO</v>
      </c>
      <c r="AS241" s="44"/>
    </row>
  </sheetData>
  <mergeCells count="3">
    <mergeCell ref="A1:AS1"/>
    <mergeCell ref="A2:AS2"/>
    <mergeCell ref="A6:AS6"/>
  </mergeCells>
  <conditionalFormatting sqref="H9:H241">
    <cfRule type="containsText" dxfId="4" priority="1" operator="containsText" text="C"/>
    <cfRule type="containsText" dxfId="3" priority="2" operator="containsText" text="B"/>
    <cfRule type="containsText" dxfId="2" priority="3" operator="containsText" text="A"/>
  </conditionalFormatting>
  <conditionalFormatting sqref="AK9:AK241">
    <cfRule type="containsText" dxfId="1" priority="4" operator="containsText" text="SI"/>
  </conditionalFormatting>
  <conditionalFormatting sqref="AR9:AR241">
    <cfRule type="containsText" dxfId="0" priority="5" operator="containsText" text="SI"/>
  </conditionalFormatting>
  <dataValidations count="5">
    <dataValidation type="list" sqref="I9:I241" xr:uid="{00000000-0002-0000-1200-000000000000}">
      <formula1>"A,B,C"</formula1>
    </dataValidation>
    <dataValidation type="list" sqref="S9:S241 AB9:AB241" xr:uid="{00000000-0002-0000-1200-000001000000}">
      <formula1>"alta,media,baja"</formula1>
    </dataValidation>
    <dataValidation type="list" sqref="AL9:AL241" xr:uid="{00000000-0002-0000-1200-000003000000}">
      <formula1>"pendiente,en_revision,revisada,no_verificable"</formula1>
    </dataValidation>
    <dataValidation type="list" sqref="AP9:AP241" xr:uid="{00000000-0002-0000-1200-000004000000}">
      <formula1>"pendiente,pasa,falla"</formula1>
    </dataValidation>
    <dataValidation type="list" sqref="AQ9:AQ241" xr:uid="{00000000-0002-0000-1200-000005000000}">
      <formula1>"pendiente,aprobada,observada"</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3"/>
  <sheetViews>
    <sheetView showGridLines="0" workbookViewId="0"/>
  </sheetViews>
  <sheetFormatPr baseColWidth="10" defaultColWidth="8.83203125" defaultRowHeight="14"/>
  <cols>
    <col min="1" max="1" width="20" customWidth="1"/>
    <col min="2" max="2" width="22" customWidth="1"/>
    <col min="3" max="3" width="92" customWidth="1"/>
    <col min="4" max="4" width="38" customWidth="1"/>
    <col min="5" max="5" width="34" customWidth="1"/>
    <col min="6" max="6" width="38" customWidth="1"/>
  </cols>
  <sheetData>
    <row r="1" spans="1:6" ht="30" customHeight="1">
      <c r="A1" s="93" t="s">
        <v>3069</v>
      </c>
      <c r="B1" s="93" t="s">
        <v>3069</v>
      </c>
      <c r="C1" s="93" t="s">
        <v>3069</v>
      </c>
      <c r="D1" s="93" t="s">
        <v>3069</v>
      </c>
      <c r="E1" s="93" t="s">
        <v>3069</v>
      </c>
      <c r="F1" s="93" t="s">
        <v>3069</v>
      </c>
    </row>
    <row r="2" spans="1:6" ht="34" customHeight="1">
      <c r="A2" s="94" t="s">
        <v>3070</v>
      </c>
      <c r="B2" s="94" t="s">
        <v>3070</v>
      </c>
      <c r="C2" s="94" t="s">
        <v>3070</v>
      </c>
      <c r="D2" s="94" t="s">
        <v>3070</v>
      </c>
      <c r="E2" s="94" t="s">
        <v>3070</v>
      </c>
      <c r="F2" s="94" t="s">
        <v>3070</v>
      </c>
    </row>
    <row r="4" spans="1:6" ht="34" customHeight="1">
      <c r="A4" s="42" t="s">
        <v>3071</v>
      </c>
      <c r="B4" s="42" t="s">
        <v>3072</v>
      </c>
      <c r="C4" s="42" t="s">
        <v>3073</v>
      </c>
      <c r="D4" s="42" t="s">
        <v>3074</v>
      </c>
      <c r="E4" s="42" t="s">
        <v>3075</v>
      </c>
      <c r="F4" s="42" t="s">
        <v>3076</v>
      </c>
    </row>
    <row r="5" spans="1:6" ht="86" customHeight="1">
      <c r="A5" s="43" t="s">
        <v>3077</v>
      </c>
      <c r="B5" s="43" t="s">
        <v>3078</v>
      </c>
      <c r="C5" s="43" t="s">
        <v>3079</v>
      </c>
      <c r="D5" s="43" t="s">
        <v>3080</v>
      </c>
      <c r="E5" s="43" t="s">
        <v>3081</v>
      </c>
      <c r="F5" s="43" t="s">
        <v>3082</v>
      </c>
    </row>
    <row r="6" spans="1:6" ht="86" customHeight="1">
      <c r="A6" s="43" t="s">
        <v>2739</v>
      </c>
      <c r="B6" s="43" t="s">
        <v>3083</v>
      </c>
      <c r="C6" s="43" t="s">
        <v>3084</v>
      </c>
      <c r="D6" s="43" t="s">
        <v>3085</v>
      </c>
      <c r="E6" s="43" t="s">
        <v>3086</v>
      </c>
      <c r="F6" s="43" t="s">
        <v>3087</v>
      </c>
    </row>
    <row r="7" spans="1:6" ht="86" customHeight="1">
      <c r="A7" s="43" t="s">
        <v>2739</v>
      </c>
      <c r="B7" s="43" t="s">
        <v>3088</v>
      </c>
      <c r="C7" s="43" t="s">
        <v>3089</v>
      </c>
      <c r="D7" s="43"/>
      <c r="E7" s="43"/>
      <c r="F7" s="43"/>
    </row>
    <row r="8" spans="1:6" ht="86" customHeight="1">
      <c r="A8" s="43" t="s">
        <v>2739</v>
      </c>
      <c r="B8" s="43" t="s">
        <v>3090</v>
      </c>
      <c r="C8" s="43" t="s">
        <v>3091</v>
      </c>
      <c r="D8" s="43"/>
      <c r="E8" s="43"/>
      <c r="F8" s="43"/>
    </row>
    <row r="9" spans="1:6" ht="86" customHeight="1">
      <c r="A9" s="43" t="s">
        <v>2758</v>
      </c>
      <c r="B9" s="43" t="s">
        <v>3083</v>
      </c>
      <c r="C9" s="43" t="s">
        <v>3092</v>
      </c>
      <c r="D9" s="43" t="s">
        <v>3093</v>
      </c>
      <c r="E9" s="43" t="s">
        <v>3086</v>
      </c>
      <c r="F9" s="43" t="s">
        <v>3087</v>
      </c>
    </row>
    <row r="10" spans="1:6" ht="86" customHeight="1">
      <c r="A10" s="43" t="s">
        <v>2758</v>
      </c>
      <c r="B10" s="43" t="s">
        <v>3088</v>
      </c>
      <c r="C10" s="43" t="s">
        <v>3094</v>
      </c>
      <c r="D10" s="43"/>
      <c r="E10" s="43"/>
      <c r="F10" s="43"/>
    </row>
    <row r="11" spans="1:6" ht="86" customHeight="1">
      <c r="A11" s="43" t="s">
        <v>2758</v>
      </c>
      <c r="B11" s="43" t="s">
        <v>3090</v>
      </c>
      <c r="C11" s="43" t="s">
        <v>3091</v>
      </c>
      <c r="D11" s="43"/>
      <c r="E11" s="43"/>
      <c r="F11" s="43"/>
    </row>
    <row r="12" spans="1:6" ht="86" customHeight="1">
      <c r="A12" s="43" t="s">
        <v>3095</v>
      </c>
      <c r="B12" s="43" t="s">
        <v>2119</v>
      </c>
      <c r="C12" s="43" t="s">
        <v>3096</v>
      </c>
      <c r="D12" s="43" t="s">
        <v>3097</v>
      </c>
      <c r="E12" s="43" t="s">
        <v>3098</v>
      </c>
      <c r="F12" s="43" t="s">
        <v>3099</v>
      </c>
    </row>
    <row r="13" spans="1:6" ht="86" customHeight="1">
      <c r="A13" s="44" t="s">
        <v>2098</v>
      </c>
      <c r="B13" s="44" t="s">
        <v>3100</v>
      </c>
      <c r="C13" s="44" t="s">
        <v>3101</v>
      </c>
      <c r="D13" s="44" t="s">
        <v>3102</v>
      </c>
      <c r="E13" s="44" t="s">
        <v>3103</v>
      </c>
      <c r="F13" s="44" t="s">
        <v>3104</v>
      </c>
    </row>
  </sheetData>
  <mergeCells count="2">
    <mergeCell ref="A1:F1"/>
    <mergeCell ref="A2:F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35"/>
  <sheetViews>
    <sheetView showGridLines="0" workbookViewId="0"/>
  </sheetViews>
  <sheetFormatPr baseColWidth="10" defaultColWidth="8.83203125" defaultRowHeight="14"/>
  <cols>
    <col min="1" max="1" width="9" customWidth="1"/>
    <col min="2" max="2" width="24" customWidth="1"/>
    <col min="3" max="3" width="58" customWidth="1"/>
    <col min="4" max="4" width="26" customWidth="1"/>
    <col min="5" max="5" width="42" customWidth="1"/>
    <col min="6" max="6" width="28" customWidth="1"/>
    <col min="7" max="7" width="58" customWidth="1"/>
    <col min="8" max="8" width="18" customWidth="1"/>
  </cols>
  <sheetData>
    <row r="1" spans="1:8" ht="28" customHeight="1">
      <c r="A1" s="95" t="s">
        <v>3105</v>
      </c>
      <c r="B1" s="95"/>
      <c r="C1" s="95"/>
      <c r="D1" s="95"/>
      <c r="E1" s="95"/>
      <c r="F1" s="95"/>
      <c r="G1" s="95"/>
      <c r="H1" s="95"/>
    </row>
    <row r="2" spans="1:8" ht="34" customHeight="1">
      <c r="A2" s="96" t="s">
        <v>3106</v>
      </c>
      <c r="B2" s="96"/>
      <c r="C2" s="96"/>
      <c r="D2" s="96"/>
      <c r="E2" s="96"/>
      <c r="F2" s="96"/>
      <c r="G2" s="96"/>
      <c r="H2" s="96"/>
    </row>
    <row r="4" spans="1:8" ht="34" customHeight="1">
      <c r="A4" s="51" t="s">
        <v>104</v>
      </c>
      <c r="B4" s="52" t="s">
        <v>97</v>
      </c>
      <c r="C4" s="52" t="s">
        <v>3107</v>
      </c>
      <c r="D4" s="52" t="s">
        <v>2214</v>
      </c>
      <c r="E4" s="52" t="s">
        <v>3108</v>
      </c>
      <c r="F4" s="52" t="s">
        <v>3109</v>
      </c>
      <c r="G4" s="52" t="s">
        <v>3110</v>
      </c>
      <c r="H4" s="53" t="s">
        <v>3111</v>
      </c>
    </row>
    <row r="5" spans="1:8" ht="70" customHeight="1">
      <c r="A5" s="57">
        <v>1</v>
      </c>
      <c r="B5" s="54" t="s">
        <v>120</v>
      </c>
      <c r="C5" s="54" t="s">
        <v>2944</v>
      </c>
      <c r="D5" s="54" t="s">
        <v>3112</v>
      </c>
      <c r="E5" s="54" t="s">
        <v>3113</v>
      </c>
      <c r="F5" s="60" t="s">
        <v>3114</v>
      </c>
      <c r="G5" s="54" t="s">
        <v>3115</v>
      </c>
      <c r="H5" s="63" t="s">
        <v>71</v>
      </c>
    </row>
    <row r="6" spans="1:8" ht="70" customHeight="1">
      <c r="A6" s="58">
        <v>2</v>
      </c>
      <c r="B6" s="55" t="s">
        <v>135</v>
      </c>
      <c r="C6" s="55" t="s">
        <v>2949</v>
      </c>
      <c r="D6" s="55" t="s">
        <v>3116</v>
      </c>
      <c r="E6" s="55" t="s">
        <v>3117</v>
      </c>
      <c r="F6" s="61" t="s">
        <v>3118</v>
      </c>
      <c r="G6" s="55" t="s">
        <v>3119</v>
      </c>
      <c r="H6" s="64" t="s">
        <v>71</v>
      </c>
    </row>
    <row r="7" spans="1:8" ht="70" customHeight="1">
      <c r="A7" s="58">
        <v>3</v>
      </c>
      <c r="B7" s="55" t="s">
        <v>171</v>
      </c>
      <c r="C7" s="55" t="s">
        <v>2962</v>
      </c>
      <c r="D7" s="55" t="s">
        <v>3120</v>
      </c>
      <c r="E7" s="55" t="s">
        <v>3121</v>
      </c>
      <c r="F7" s="61" t="s">
        <v>3118</v>
      </c>
      <c r="G7" s="55" t="s">
        <v>3122</v>
      </c>
      <c r="H7" s="64" t="s">
        <v>71</v>
      </c>
    </row>
    <row r="8" spans="1:8" ht="70" customHeight="1">
      <c r="A8" s="58">
        <v>4</v>
      </c>
      <c r="B8" s="55" t="s">
        <v>186</v>
      </c>
      <c r="C8" s="55" t="s">
        <v>2974</v>
      </c>
      <c r="D8" s="55" t="s">
        <v>3123</v>
      </c>
      <c r="E8" s="55" t="s">
        <v>3124</v>
      </c>
      <c r="F8" s="61" t="s">
        <v>3114</v>
      </c>
      <c r="G8" s="55" t="s">
        <v>3125</v>
      </c>
      <c r="H8" s="64" t="s">
        <v>71</v>
      </c>
    </row>
    <row r="9" spans="1:8" ht="70" customHeight="1">
      <c r="A9" s="58">
        <v>5</v>
      </c>
      <c r="B9" s="55" t="s">
        <v>191</v>
      </c>
      <c r="C9" s="55" t="s">
        <v>2979</v>
      </c>
      <c r="D9" s="55" t="s">
        <v>3126</v>
      </c>
      <c r="E9" s="55" t="s">
        <v>3127</v>
      </c>
      <c r="F9" s="61" t="s">
        <v>3128</v>
      </c>
      <c r="G9" s="55" t="s">
        <v>3129</v>
      </c>
      <c r="H9" s="64" t="s">
        <v>71</v>
      </c>
    </row>
    <row r="10" spans="1:8" ht="70" customHeight="1">
      <c r="A10" s="58">
        <v>6</v>
      </c>
      <c r="B10" s="55" t="s">
        <v>597</v>
      </c>
      <c r="C10" s="55" t="s">
        <v>3038</v>
      </c>
      <c r="D10" s="55" t="s">
        <v>3130</v>
      </c>
      <c r="E10" s="55" t="s">
        <v>3131</v>
      </c>
      <c r="F10" s="61" t="s">
        <v>3118</v>
      </c>
      <c r="G10" s="55" t="s">
        <v>3132</v>
      </c>
      <c r="H10" s="64" t="s">
        <v>71</v>
      </c>
    </row>
    <row r="11" spans="1:8" ht="70" customHeight="1">
      <c r="A11" s="58">
        <v>7</v>
      </c>
      <c r="B11" s="55" t="s">
        <v>148</v>
      </c>
      <c r="C11" s="55" t="s">
        <v>2955</v>
      </c>
      <c r="D11" s="55" t="s">
        <v>3123</v>
      </c>
      <c r="E11" s="55" t="s">
        <v>3133</v>
      </c>
      <c r="F11" s="61" t="s">
        <v>3118</v>
      </c>
      <c r="G11" s="55" t="s">
        <v>3134</v>
      </c>
      <c r="H11" s="64" t="s">
        <v>71</v>
      </c>
    </row>
    <row r="12" spans="1:8" ht="70" customHeight="1">
      <c r="A12" s="58">
        <v>8</v>
      </c>
      <c r="B12" s="55" t="s">
        <v>245</v>
      </c>
      <c r="C12" s="55" t="s">
        <v>2994</v>
      </c>
      <c r="D12" s="55" t="s">
        <v>3135</v>
      </c>
      <c r="E12" s="55" t="s">
        <v>3136</v>
      </c>
      <c r="F12" s="61" t="s">
        <v>3118</v>
      </c>
      <c r="G12" s="55" t="s">
        <v>3137</v>
      </c>
      <c r="H12" s="64" t="s">
        <v>71</v>
      </c>
    </row>
    <row r="13" spans="1:8" ht="70" customHeight="1">
      <c r="A13" s="58">
        <v>9</v>
      </c>
      <c r="B13" s="55" t="s">
        <v>297</v>
      </c>
      <c r="C13" s="55" t="s">
        <v>3010</v>
      </c>
      <c r="D13" s="55" t="s">
        <v>3138</v>
      </c>
      <c r="E13" s="55" t="s">
        <v>3139</v>
      </c>
      <c r="F13" s="61" t="s">
        <v>3118</v>
      </c>
      <c r="G13" s="55" t="s">
        <v>3140</v>
      </c>
      <c r="H13" s="64" t="s">
        <v>71</v>
      </c>
    </row>
    <row r="14" spans="1:8" ht="70" customHeight="1">
      <c r="A14" s="58">
        <v>10</v>
      </c>
      <c r="B14" s="55" t="s">
        <v>317</v>
      </c>
      <c r="C14" s="55" t="s">
        <v>3016</v>
      </c>
      <c r="D14" s="55" t="s">
        <v>3135</v>
      </c>
      <c r="E14" s="55" t="s">
        <v>3141</v>
      </c>
      <c r="F14" s="61" t="s">
        <v>3118</v>
      </c>
      <c r="G14" s="55" t="s">
        <v>3142</v>
      </c>
      <c r="H14" s="64" t="s">
        <v>71</v>
      </c>
    </row>
    <row r="15" spans="1:8" ht="70" customHeight="1">
      <c r="A15" s="58">
        <v>11</v>
      </c>
      <c r="B15" s="55" t="s">
        <v>642</v>
      </c>
      <c r="C15" s="55" t="s">
        <v>3048</v>
      </c>
      <c r="D15" s="55" t="s">
        <v>3135</v>
      </c>
      <c r="E15" s="55" t="s">
        <v>3143</v>
      </c>
      <c r="F15" s="61" t="s">
        <v>3118</v>
      </c>
      <c r="G15" s="55" t="s">
        <v>3144</v>
      </c>
      <c r="H15" s="64" t="s">
        <v>71</v>
      </c>
    </row>
    <row r="16" spans="1:8" ht="70" customHeight="1">
      <c r="A16" s="58">
        <v>12</v>
      </c>
      <c r="B16" s="55" t="s">
        <v>617</v>
      </c>
      <c r="C16" s="55" t="s">
        <v>3043</v>
      </c>
      <c r="D16" s="55" t="s">
        <v>3135</v>
      </c>
      <c r="E16" s="55" t="s">
        <v>3145</v>
      </c>
      <c r="F16" s="61" t="s">
        <v>3118</v>
      </c>
      <c r="G16" s="55" t="s">
        <v>3146</v>
      </c>
      <c r="H16" s="64" t="s">
        <v>71</v>
      </c>
    </row>
    <row r="17" spans="1:8" ht="70" customHeight="1">
      <c r="A17" s="58">
        <v>13</v>
      </c>
      <c r="B17" s="55" t="s">
        <v>202</v>
      </c>
      <c r="C17" s="55" t="s">
        <v>2984</v>
      </c>
      <c r="D17" s="55" t="s">
        <v>3147</v>
      </c>
      <c r="E17" s="55" t="s">
        <v>3148</v>
      </c>
      <c r="F17" s="61" t="s">
        <v>3149</v>
      </c>
      <c r="G17" s="55" t="s">
        <v>3150</v>
      </c>
      <c r="H17" s="64" t="s">
        <v>71</v>
      </c>
    </row>
    <row r="18" spans="1:8" ht="70" customHeight="1">
      <c r="A18" s="58">
        <v>14</v>
      </c>
      <c r="B18" s="55" t="s">
        <v>270</v>
      </c>
      <c r="C18" s="55" t="s">
        <v>2998</v>
      </c>
      <c r="D18" s="55" t="s">
        <v>3135</v>
      </c>
      <c r="E18" s="55" t="s">
        <v>3151</v>
      </c>
      <c r="F18" s="61" t="s">
        <v>3118</v>
      </c>
      <c r="G18" s="55" t="s">
        <v>3152</v>
      </c>
      <c r="H18" s="64" t="s">
        <v>71</v>
      </c>
    </row>
    <row r="19" spans="1:8" ht="70" customHeight="1">
      <c r="A19" s="58">
        <v>15</v>
      </c>
      <c r="B19" s="55" t="s">
        <v>481</v>
      </c>
      <c r="C19" s="55" t="s">
        <v>3027</v>
      </c>
      <c r="D19" s="55" t="s">
        <v>3153</v>
      </c>
      <c r="E19" s="55" t="s">
        <v>3154</v>
      </c>
      <c r="F19" s="61" t="s">
        <v>3155</v>
      </c>
      <c r="G19" s="55" t="s">
        <v>3156</v>
      </c>
      <c r="H19" s="64" t="s">
        <v>71</v>
      </c>
    </row>
    <row r="20" spans="1:8" ht="70" customHeight="1">
      <c r="A20" s="58">
        <v>16</v>
      </c>
      <c r="B20" s="55" t="s">
        <v>498</v>
      </c>
      <c r="C20" s="55" t="s">
        <v>3033</v>
      </c>
      <c r="D20" s="55" t="s">
        <v>3135</v>
      </c>
      <c r="E20" s="55" t="s">
        <v>3157</v>
      </c>
      <c r="F20" s="61" t="s">
        <v>3118</v>
      </c>
      <c r="G20" s="55" t="s">
        <v>3158</v>
      </c>
      <c r="H20" s="64" t="s">
        <v>71</v>
      </c>
    </row>
    <row r="21" spans="1:8" ht="70" customHeight="1">
      <c r="A21" s="58">
        <v>17</v>
      </c>
      <c r="B21" s="55" t="s">
        <v>768</v>
      </c>
      <c r="C21" s="55" t="s">
        <v>3057</v>
      </c>
      <c r="D21" s="55" t="s">
        <v>3159</v>
      </c>
      <c r="E21" s="55" t="s">
        <v>3160</v>
      </c>
      <c r="F21" s="61" t="s">
        <v>3118</v>
      </c>
      <c r="G21" s="55" t="s">
        <v>3161</v>
      </c>
      <c r="H21" s="64" t="s">
        <v>71</v>
      </c>
    </row>
    <row r="22" spans="1:8" ht="70" customHeight="1">
      <c r="A22" s="58">
        <v>18</v>
      </c>
      <c r="B22" s="55" t="s">
        <v>777</v>
      </c>
      <c r="C22" s="55" t="s">
        <v>3062</v>
      </c>
      <c r="D22" s="55" t="s">
        <v>3135</v>
      </c>
      <c r="E22" s="55" t="s">
        <v>3162</v>
      </c>
      <c r="F22" s="61" t="s">
        <v>3118</v>
      </c>
      <c r="G22" s="55" t="s">
        <v>3163</v>
      </c>
      <c r="H22" s="64" t="s">
        <v>71</v>
      </c>
    </row>
    <row r="23" spans="1:8" ht="70" customHeight="1">
      <c r="A23" s="58">
        <v>19</v>
      </c>
      <c r="B23" s="55" t="s">
        <v>179</v>
      </c>
      <c r="C23" s="55" t="s">
        <v>2968</v>
      </c>
      <c r="D23" s="55" t="s">
        <v>3164</v>
      </c>
      <c r="E23" s="55" t="s">
        <v>3165</v>
      </c>
      <c r="F23" s="61" t="s">
        <v>3166</v>
      </c>
      <c r="G23" s="55" t="s">
        <v>3167</v>
      </c>
      <c r="H23" s="64" t="s">
        <v>71</v>
      </c>
    </row>
    <row r="24" spans="1:8" ht="70" customHeight="1">
      <c r="A24" s="58">
        <v>20</v>
      </c>
      <c r="B24" s="55" t="s">
        <v>458</v>
      </c>
      <c r="C24" s="55" t="s">
        <v>3022</v>
      </c>
      <c r="D24" s="55" t="s">
        <v>3126</v>
      </c>
      <c r="E24" s="55" t="s">
        <v>3168</v>
      </c>
      <c r="F24" s="61" t="s">
        <v>3114</v>
      </c>
      <c r="G24" s="55" t="s">
        <v>3169</v>
      </c>
      <c r="H24" s="64" t="s">
        <v>71</v>
      </c>
    </row>
    <row r="25" spans="1:8" ht="70" customHeight="1">
      <c r="A25" s="58">
        <v>21</v>
      </c>
      <c r="B25" s="55" t="s">
        <v>287</v>
      </c>
      <c r="C25" s="55" t="s">
        <v>3005</v>
      </c>
      <c r="D25" s="55" t="s">
        <v>3170</v>
      </c>
      <c r="E25" s="55" t="s">
        <v>3171</v>
      </c>
      <c r="F25" s="61" t="s">
        <v>3172</v>
      </c>
      <c r="G25" s="55" t="s">
        <v>3173</v>
      </c>
      <c r="H25" s="64" t="s">
        <v>71</v>
      </c>
    </row>
    <row r="26" spans="1:8" ht="70" customHeight="1">
      <c r="A26" s="58">
        <v>22</v>
      </c>
      <c r="B26" s="55" t="s">
        <v>855</v>
      </c>
      <c r="C26" s="55" t="s">
        <v>3005</v>
      </c>
      <c r="D26" s="55" t="s">
        <v>3170</v>
      </c>
      <c r="E26" s="55" t="s">
        <v>3171</v>
      </c>
      <c r="F26" s="61" t="s">
        <v>3172</v>
      </c>
      <c r="G26" s="55" t="s">
        <v>3174</v>
      </c>
      <c r="H26" s="64" t="s">
        <v>71</v>
      </c>
    </row>
    <row r="27" spans="1:8" ht="70" customHeight="1">
      <c r="A27" s="58">
        <v>23</v>
      </c>
      <c r="B27" s="55" t="s">
        <v>210</v>
      </c>
      <c r="C27" s="55" t="s">
        <v>2989</v>
      </c>
      <c r="D27" s="55" t="s">
        <v>3175</v>
      </c>
      <c r="E27" s="55" t="s">
        <v>3176</v>
      </c>
      <c r="F27" s="61" t="s">
        <v>3177</v>
      </c>
      <c r="G27" s="55" t="s">
        <v>3178</v>
      </c>
      <c r="H27" s="64" t="s">
        <v>71</v>
      </c>
    </row>
    <row r="28" spans="1:8" ht="70" customHeight="1">
      <c r="A28" s="59">
        <v>24</v>
      </c>
      <c r="B28" s="56" t="s">
        <v>747</v>
      </c>
      <c r="C28" s="56" t="s">
        <v>3051</v>
      </c>
      <c r="D28" s="56" t="s">
        <v>3179</v>
      </c>
      <c r="E28" s="56" t="s">
        <v>3180</v>
      </c>
      <c r="F28" s="62" t="s">
        <v>3181</v>
      </c>
      <c r="G28" s="56" t="s">
        <v>3182</v>
      </c>
      <c r="H28" s="65" t="s">
        <v>71</v>
      </c>
    </row>
    <row r="30" spans="1:8" ht="24" customHeight="1">
      <c r="A30" s="95" t="s">
        <v>3183</v>
      </c>
      <c r="B30" s="95"/>
      <c r="C30" s="95"/>
      <c r="D30" s="95"/>
      <c r="E30" s="95"/>
      <c r="F30" s="95"/>
      <c r="G30" s="95"/>
      <c r="H30" s="95"/>
    </row>
    <row r="31" spans="1:8">
      <c r="A31" s="66" t="s">
        <v>3184</v>
      </c>
      <c r="B31" s="69">
        <f>COUNTA(B5:B28)</f>
        <v>24</v>
      </c>
    </row>
    <row r="32" spans="1:8">
      <c r="A32" s="67" t="s">
        <v>3185</v>
      </c>
      <c r="B32" s="70">
        <f>COUNTIF('Calibración 24'!K5:K28,"dictamen_gpt_emitido")</f>
        <v>24</v>
      </c>
    </row>
    <row r="33" spans="1:2">
      <c r="A33" s="67" t="s">
        <v>3186</v>
      </c>
      <c r="B33" s="70">
        <f>COUNTIF(F5:F28,"suficiente_para_T01")+COUNTIF(F5:F28,"suficiente_para_alerta_y_lengua")+COUNTIF(F5:F28,"suficiente_para_T01_y_fusion")+COUNTIF(F5:F28,"suficiente_para_alerta_y_T01")+COUNTIF(F5:F28,"suficiente_para_T01_con_alerta_editorial")</f>
        <v>18</v>
      </c>
    </row>
    <row r="34" spans="1:2">
      <c r="A34" s="67" t="s">
        <v>3187</v>
      </c>
      <c r="B34" s="70">
        <f>B31-B33</f>
        <v>6</v>
      </c>
    </row>
    <row r="35" spans="1:2">
      <c r="A35" s="68" t="s">
        <v>3188</v>
      </c>
      <c r="B35" s="71">
        <f>COUNTIF(H5:H28,"recibido")</f>
        <v>0</v>
      </c>
    </row>
  </sheetData>
  <mergeCells count="3">
    <mergeCell ref="A1:H1"/>
    <mergeCell ref="A2:H2"/>
    <mergeCell ref="A30:H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21</vt:i4>
      </vt:variant>
    </vt:vector>
  </HeadingPairs>
  <TitlesOfParts>
    <vt:vector size="21" baseType="lpstr">
      <vt:lpstr>Control 233</vt:lpstr>
      <vt:lpstr>Lotes</vt:lpstr>
      <vt:lpstr>Plan 233</vt:lpstr>
      <vt:lpstr>Plan relaciones</vt:lpstr>
      <vt:lpstr>Protocolo</vt:lpstr>
      <vt:lpstr>Reglas</vt:lpstr>
      <vt:lpstr>Piloto aprobado</vt:lpstr>
      <vt:lpstr>Corrientes</vt:lpstr>
      <vt:lpstr>Incidencias</vt:lpstr>
      <vt:lpstr>Rastro versiones</vt:lpstr>
      <vt:lpstr>T01 revisión</vt:lpstr>
      <vt:lpstr>Valores tr</vt:lpstr>
      <vt:lpstr>Nuevas 30</vt:lpstr>
      <vt:lpstr>Reglas T01</vt:lpstr>
      <vt:lpstr>Control T01</vt:lpstr>
      <vt:lpstr>Memoria operativa</vt:lpstr>
      <vt:lpstr>Protocolo IA</vt:lpstr>
      <vt:lpstr>Calibración 24</vt:lpstr>
      <vt:lpstr>Control IA</vt:lpstr>
      <vt:lpstr>Prompts IA</vt:lpstr>
      <vt:lpstr>Fuentes calibración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Rafael Almanza Hernandez</cp:lastModifiedBy>
  <dcterms:created xsi:type="dcterms:W3CDTF">2026-08-09T03:11:45Z</dcterms:created>
  <dcterms:modified xsi:type="dcterms:W3CDTF">2026-08-09T03:11:45Z</dcterms:modified>
</cp:coreProperties>
</file>